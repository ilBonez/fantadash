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a" sheetId="1" r:id="rId5"/>
    <sheet state="visible" name="Portieri" sheetId="2" r:id="rId6"/>
    <sheet state="visible" name="Difensori" sheetId="3" r:id="rId7"/>
    <sheet state="visible" name="Centrocampisti" sheetId="4" r:id="rId8"/>
    <sheet state="visible" name="Attaccanti" sheetId="5" r:id="rId9"/>
    <sheet state="visible" name="Abbinamenti" sheetId="6" r:id="rId10"/>
    <sheet state="visible" name="Infortunati" sheetId="7" r:id="rId11"/>
    <sheet state="visible" name="Asta" sheetId="8" r:id="rId12"/>
    <sheet state="visible" name="Statistiche 25-26" sheetId="9" r:id="rId13"/>
    <sheet state="hidden" name="DB" sheetId="10" r:id="rId14"/>
  </sheets>
  <definedNames>
    <definedName name="LISTA_D">DB!$AC$2:$AC$190</definedName>
    <definedName name="LISTA_P">DB!$AB$2:$AB$65</definedName>
    <definedName name="LISTA_A">DB!$AE$2:$AE$90</definedName>
    <definedName name="LISTA_C">DB!$AD$2:$AD$194</definedName>
    <definedName hidden="1" localSheetId="1" name="_xlnm._FilterDatabase">Portieri!$A$3:$AI$67</definedName>
    <definedName hidden="1" localSheetId="2" name="_xlnm._FilterDatabase">Difensori!$A$3:$AI$192</definedName>
    <definedName hidden="1" localSheetId="3" name="_xlnm._FilterDatabase">Centrocampisti!$A$3:$AI$196</definedName>
    <definedName hidden="1" localSheetId="4" name="_xlnm._FilterDatabase">Attaccanti!$A$3:$AI$92</definedName>
    <definedName hidden="1" localSheetId="6" name="_xlnm._FilterDatabase">Infortunati!$A$3:$H$46</definedName>
    <definedName hidden="1" localSheetId="8" name="_xlnm._FilterDatabase">'Statistiche 25-26'!$A$3:$L$585</definedName>
  </definedNames>
  <calcPr/>
</workbook>
</file>

<file path=xl/sharedStrings.xml><?xml version="1.0" encoding="utf-8"?>
<sst xmlns="http://schemas.openxmlformats.org/spreadsheetml/2006/main" count="15345" uniqueCount="1674">
  <si>
    <t>FANTACALCIO CLASSIC - SERIE A 2026/27</t>
  </si>
  <si>
    <t>PORTIERI - Listone Fantacalcio Classic 2026/27</t>
  </si>
  <si>
    <t>DIFENSORI - Listone Fantacalcio Classic 2026/27</t>
  </si>
  <si>
    <t>64 giocatori, solo quelli presenti nelle rose ufficiali di Serie A 2026/27. Ordinati per indice di priorita. Colonna NOTA: infortuni, rischio titolarita e nuovi acquisti (dati al 01/09/2026, dopo 2 giornate).</t>
  </si>
  <si>
    <t>CENTROCAMPISTI - Listone Fantacalcio Classic 2026/27</t>
  </si>
  <si>
    <t>Listone, priorita, abbinamenti di calendario e foglio d'asta. Dati: Fantacalcio.it, aggiornati al 1 settembre 2026. Solo giocatori nelle rose ufficiali di Serie A.</t>
  </si>
  <si>
    <t>189 giocatori, solo quelli presenti nelle rose ufficiali di Serie A 2026/27. Ordinati per indice di priorita. Colonna NOTA: infortuni, rischio titolarita e nuovi acquisti (dati al 01/09/2026, dopo 2 giornate).</t>
  </si>
  <si>
    <t>Prio</t>
  </si>
  <si>
    <t>193 giocatori, solo quelli presenti nelle rose ufficiali di Serie A 2026/27. Ordinati per indice di priorita. Colonna NOTA: infortuni, rischio titolarita e nuovi acquisti (dati al 01/09/2026, dopo 2 giornate).</t>
  </si>
  <si>
    <t>Indice</t>
  </si>
  <si>
    <t>Giocatore</t>
  </si>
  <si>
    <t>Squadra</t>
  </si>
  <si>
    <t>PARAMETRI DELLA LEGA  -  compila solo le celle gialle</t>
  </si>
  <si>
    <t>Ruolo Mantra</t>
  </si>
  <si>
    <t>Qt.I</t>
  </si>
  <si>
    <t>Qt.A</t>
  </si>
  <si>
    <t>FVM</t>
  </si>
  <si>
    <t>Prezzo consigliato</t>
  </si>
  <si>
    <t>Prezzo max</t>
  </si>
  <si>
    <t>Fascia</t>
  </si>
  <si>
    <t>Gerarchia stimata</t>
  </si>
  <si>
    <t>Budget per squadra (crediti)</t>
  </si>
  <si>
    <t>NOTA</t>
  </si>
  <si>
    <t>Rigorista</t>
  </si>
  <si>
    <t>Calci piazzati</t>
  </si>
  <si>
    <t>PG 25/26</t>
  </si>
  <si>
    <t>MV 25/26</t>
  </si>
  <si>
    <t>Il monte crediti di ogni fantallenatore.</t>
  </si>
  <si>
    <t>FM 25/26</t>
  </si>
  <si>
    <t>Gol 25/26</t>
  </si>
  <si>
    <t>Assist 25/26</t>
  </si>
  <si>
    <t>Numero di squadre nella lega</t>
  </si>
  <si>
    <t>Rig. segnati 25/26</t>
  </si>
  <si>
    <t>Serve a sapere quanti giocatori vengono davvero assegnati.</t>
  </si>
  <si>
    <t>Amm. 25/26</t>
  </si>
  <si>
    <t>Esp. 25/26</t>
  </si>
  <si>
    <t>PG 26/27 (su 2)</t>
  </si>
  <si>
    <t>Giocatori per rosa</t>
  </si>
  <si>
    <t>MV 26/27</t>
  </si>
  <si>
    <t>FM 26/27</t>
  </si>
  <si>
    <t>Gol 26/27</t>
  </si>
  <si>
    <t>Assist 26/27</t>
  </si>
  <si>
    <t>Squadra 25/26</t>
  </si>
  <si>
    <t>Nuovo/Trasf.</t>
  </si>
  <si>
    <t>FM ponderata</t>
  </si>
  <si>
    <t>Miglior abbinamento (calendario)</t>
  </si>
  <si>
    <t>Trasferte in comune</t>
  </si>
  <si>
    <t>Rank FVM di ruolo</t>
  </si>
  <si>
    <t>Dettaglio infortunio / stato</t>
  </si>
  <si>
    <t>3 portieri + 8 difensori + 8 centrocampisti + 6 attaccanti.</t>
  </si>
  <si>
    <t>Crediti totali in gioco</t>
  </si>
  <si>
    <t>Budget x numero squadre: la torta che vi dividete all'asta.</t>
  </si>
  <si>
    <t>Reparto</t>
  </si>
  <si>
    <t>Slot in rosa</t>
  </si>
  <si>
    <t>% del budget</t>
  </si>
  <si>
    <t>Crediti del reparto</t>
  </si>
  <si>
    <t>Giocatori assegnati nella lega</t>
  </si>
  <si>
    <t>Fattore prezzo (K)</t>
  </si>
  <si>
    <t>Portieri</t>
  </si>
  <si>
    <t>Svilar</t>
  </si>
  <si>
    <t>Roma</t>
  </si>
  <si>
    <t>Portiere</t>
  </si>
  <si>
    <t>Difensori</t>
  </si>
  <si>
    <t>Dimarco</t>
  </si>
  <si>
    <t>Inter</t>
  </si>
  <si>
    <t>Esterno basso / Esterno alto</t>
  </si>
  <si>
    <t>Calhanoglu</t>
  </si>
  <si>
    <t>Centrocampisti</t>
  </si>
  <si>
    <t>Titolare</t>
  </si>
  <si>
    <t>Mediano / Centrale</t>
  </si>
  <si>
    <t>Titolare confermato (2/2)</t>
  </si>
  <si>
    <t>-</t>
  </si>
  <si>
    <t>0/0</t>
  </si>
  <si>
    <t>No</t>
  </si>
  <si>
    <t>Attaccanti</t>
  </si>
  <si>
    <t>Meret (NAP)</t>
  </si>
  <si>
    <t>Totale</t>
  </si>
  <si>
    <t>2o</t>
  </si>
  <si>
    <t>CURVA DEI PREZZI</t>
  </si>
  <si>
    <t>Compressione della curva (0,5 - 1,0)</t>
  </si>
  <si>
    <t>1,00 = prezzi proporzionali al FVM (top carissimi). 0,50 = curva molto piatta. 0,60 e la taratura consigliata: il miglior attaccante vale circa il 26% del budget.</t>
  </si>
  <si>
    <t>Prezzo consigliato =</t>
  </si>
  <si>
    <t>FVM^compressione x K</t>
  </si>
  <si>
    <t>K e calcolato per reparto in modo che la somma dei prezzi consigliati usi esattamente i crediti del reparto.</t>
  </si>
  <si>
    <t>1o</t>
  </si>
  <si>
    <t>Pavlovic (MIL)</t>
  </si>
  <si>
    <t>PESI DELL'INDICE DI PRIORITA (totale 100)</t>
  </si>
  <si>
    <t>Peso valore di mercato (FVM)</t>
  </si>
  <si>
    <t>Quanto pesa la valutazione di mercato del giocatore.</t>
  </si>
  <si>
    <t>Peso rendimento (fantamedia ponderata)</t>
  </si>
  <si>
    <t>Vicario</t>
  </si>
  <si>
    <t>4/5</t>
  </si>
  <si>
    <t>Fantamedia 2025/26 corretta per le presenze.</t>
  </si>
  <si>
    <t>Juventus</t>
  </si>
  <si>
    <t>Peso rigorista</t>
  </si>
  <si>
    <t>1o rigorista = 1,00 | 2o = 0,60 | 3o = 0,35 | 4o = 0,20.</t>
  </si>
  <si>
    <t>Peso calci piazzati</t>
  </si>
  <si>
    <t>1o tiratore = 1,00 | 2o = 0,60 | 3o = 0,35.</t>
  </si>
  <si>
    <t>VALORI DI RIFERIMENTO (calcolati)</t>
  </si>
  <si>
    <t>FVM massimo - Portieri</t>
  </si>
  <si>
    <t>Nuovo - Titolare confermato (2/2)</t>
  </si>
  <si>
    <t>FVM massimo - Difensori</t>
  </si>
  <si>
    <t>Wesley</t>
  </si>
  <si>
    <t>Si</t>
  </si>
  <si>
    <t>Esterno basso</t>
  </si>
  <si>
    <t>Svilar (ROM)</t>
  </si>
  <si>
    <t>Pulisic (MIL)</t>
  </si>
  <si>
    <t>FVM massimo - Centrocampisti</t>
  </si>
  <si>
    <t>FVM massimo - Attaccanti</t>
  </si>
  <si>
    <t>COME SI USA</t>
  </si>
  <si>
    <t>Martinez Jo.</t>
  </si>
  <si>
    <t>1.</t>
  </si>
  <si>
    <t>Fogli Portieri / Difensori / Centrocampisti / Attaccanti: il listone completo (587 giocatori), gia ordinato per priorita. Ogni foglio ha i filtri attivi sull'intestazione.</t>
  </si>
  <si>
    <t>Rrahmani (NAP)</t>
  </si>
  <si>
    <t>2.</t>
  </si>
  <si>
    <t>Cambia i parametri qui sopra (celle gialle): budget, numero squadre, percentuali di reparto, pesi e compressione. Tutti i prezzi consigliati e le priorita si ricalcolano.</t>
  </si>
  <si>
    <t>3.</t>
  </si>
  <si>
    <t>Foglio Abbinamenti: la matrice del calendario 2026/27. Il numero dice quante volte due squadre giocano in trasferta nella stessa giornata: piu basso = si coprono meglio. Sotto trovi le migliori coppie e i migliori terzetti di portieri.</t>
  </si>
  <si>
    <t>4.</t>
  </si>
  <si>
    <t>Foglio Asta: scegli i giocatori dai menu a tendina e scrivi il prezzo pagato. I crediti scalano riga per riga a partire da 500 e il controllo abbinamento portieri si aggiorna da solo.</t>
  </si>
  <si>
    <t>5.</t>
  </si>
  <si>
    <t>Foglio Statistiche 25-26: i dati grezzi della scorsa stagione, filtrabili.</t>
  </si>
  <si>
    <t>LEGENDA COLORI</t>
  </si>
  <si>
    <t>Giallo</t>
  </si>
  <si>
    <t>Maignan (MIL)</t>
  </si>
  <si>
    <t>Celle da compilare o parametri modificabili.</t>
  </si>
  <si>
    <t>Verde</t>
  </si>
  <si>
    <t>Situazione favorevole: buon affare, abbinamento ottimo, budget in linea, titolare.</t>
  </si>
  <si>
    <t>Rosso</t>
  </si>
  <si>
    <t>Attenzione: prezzo sopra il consigliato, abbinamento sfavorevole, budget sforato, riserva.</t>
  </si>
  <si>
    <t>Paz N.</t>
  </si>
  <si>
    <t>Arancione</t>
  </si>
  <si>
    <t>Titolare sulla carta ma zero presenze nelle prime due giornate: rischia il posto. Nel foglio Asta segnala anche un giocatore inserito due volte.</t>
  </si>
  <si>
    <t>Como</t>
  </si>
  <si>
    <t>Trequartista / Attaccante</t>
  </si>
  <si>
    <t>Bremer</t>
  </si>
  <si>
    <t>LA COLONNA NOTA (aggiornata al 01/09/2026, dopo 2 giornate)</t>
  </si>
  <si>
    <t>Difensore centrale</t>
  </si>
  <si>
    <t>INFORTUNATO (lungo stop)</t>
  </si>
  <si>
    <t>Rientro previsto da ottobre in poi: all'asta vale molto meno del prezzo consigliato, oppure e' un investimento a scadenza.</t>
  </si>
  <si>
    <t>Infortunato</t>
  </si>
  <si>
    <t>Fuori adesso ma con rientro atteso entro settembre: si prende scontato.</t>
  </si>
  <si>
    <t>Carnesecchi</t>
  </si>
  <si>
    <t>Atalanta</t>
  </si>
  <si>
    <t>In dubbio / da valutare</t>
  </si>
  <si>
    <t>Acciaccato, convocazione a rischio per la prossima giornata.</t>
  </si>
  <si>
    <t>RISCHIA il posto (0/2)</t>
  </si>
  <si>
    <t>Sulla carta titolare per quotazione, ma non ha ancora giocato un minuto nelle prime due giornate.</t>
  </si>
  <si>
    <t>Rischia il posto (1/2)</t>
  </si>
  <si>
    <t>Una presenza su due: gerarchia non ancora chiara.</t>
  </si>
  <si>
    <t>Ha giocato entrambe le partite: il posto ce l'ha.</t>
  </si>
  <si>
    <t>In ballottaggio / Riserva</t>
  </si>
  <si>
    <t>Non e' il titolare designato secondo le quotazioni; fra parentesi le presenze nelle prime due.</t>
  </si>
  <si>
    <t>Nuovo</t>
  </si>
  <si>
    <t>Cambia squadra rispetto al 2025/26 oppure arriva da fuori Serie A: nessuno storico italiano su cui basarsi.</t>
  </si>
  <si>
    <t>NOTE SUL METODO</t>
  </si>
  <si>
    <t>Indice di priorita</t>
  </si>
  <si>
    <t>Combina valore di mercato (FVM di Fantacalcio.it), rendimento 2025/26 ponderato sulle presenze, ruolo di rigorista e di tiratore da calci piazzati. E' un ordinamento ragionato, non una verita assoluta: usalo come punto di partenza.</t>
  </si>
  <si>
    <t>Ostigard (GEN)</t>
  </si>
  <si>
    <t>Fantamedia ponderata</t>
  </si>
  <si>
    <t>3o</t>
  </si>
  <si>
    <t>FM 2025/26 x (PG/25, massimo 1) + 5,50 x (1 - PG/25). Chi ha giocato poco viene riportato verso la media di riferimento 5,50, cosi tre partite fortunate non lo mandano in cima alla lista.</t>
  </si>
  <si>
    <t>Giocatori senza storico</t>
  </si>
  <si>
    <t>Nuovi acquisti dall'estero o dalla Serie B: presenze = 0 e fantamedia stimata 5,50. Per loro pesa quasi solo il FVM. Sono segnalati nella colonna Nuovo/Trasf.</t>
  </si>
  <si>
    <t>Derivata dalla quotazione all'interno della stessa squadra e ruolo (titolare / ballottaggio / riserva). Da rileggere a ridosso dell'asta: il mercato e ancora aperto.</t>
  </si>
  <si>
    <t>Il FVM di Fantacalcio.it (che vale per aste da 1.000 crediti) viene compresso e riscalato sui crediti realmente in gioco nella tua lega, reparto per reparto. Somma FVM dei primi 250 giocatori: 11862 punti.</t>
  </si>
  <si>
    <t>0/2</t>
  </si>
  <si>
    <t>Prezzo massimo</t>
  </si>
  <si>
    <t>Prezzo consigliato + 20%: oltre questa cifra stai pagando il giocatore piu di quanto valga per la tua rosa.</t>
  </si>
  <si>
    <t>Chi c'e' nel listone</t>
  </si>
  <si>
    <t>Solo i 535 calciatori presenti nelle rose ufficiali delle 20 squadre di Serie A 2026/27 su Fantacalcio.it. Le quotazioni includono anche giocatori nel frattempo ceduti all'estero (Leao, Lukaku, Nkunku, David, Gimenez, Morata, Di Gregorio, Suzuki e altri): sono stati tolti uno per uno incrociando il listone con la rosa di ogni squadra.</t>
  </si>
  <si>
    <t>FONTI</t>
  </si>
  <si>
    <t>Maignan</t>
  </si>
  <si>
    <t>Quotazioni ufficiali Classic e Mantra, rose delle 20 squadre, statistiche 2025/26 e 2026/27, rigoristi e tiratori da fermo, indisponibili, griglia portieri: Fantacalcio.it, consultati il 01/09/2026. Calendario Serie A 2026/27 (20 squadre, neopromosse Frosinone, Monza e Venezia).</t>
  </si>
  <si>
    <t>Ostigard</t>
  </si>
  <si>
    <t>Milan</t>
  </si>
  <si>
    <t>McTominay (NAP)</t>
  </si>
  <si>
    <t>Genoa</t>
  </si>
  <si>
    <t>Martinez Jo. (INT)</t>
  </si>
  <si>
    <t>Bremer (JUV)</t>
  </si>
  <si>
    <t>Orsolini</t>
  </si>
  <si>
    <t>Butez</t>
  </si>
  <si>
    <t>Bologna</t>
  </si>
  <si>
    <t>Esterno alto / Attaccante</t>
  </si>
  <si>
    <t>Solet</t>
  </si>
  <si>
    <t>Udinese</t>
  </si>
  <si>
    <t>De Gea (FIO)</t>
  </si>
  <si>
    <t>Infortunato - presenze finora: 2/2</t>
  </si>
  <si>
    <t>1/1</t>
  </si>
  <si>
    <t>Meret</t>
  </si>
  <si>
    <t>4/6</t>
  </si>
  <si>
    <t>Napoli</t>
  </si>
  <si>
    <t>Risentimento ai flessori della coscia sinistra (31/8). Esami in corso, salta il Sassuolo.</t>
  </si>
  <si>
    <t>Pavlovic</t>
  </si>
  <si>
    <t>Mandas</t>
  </si>
  <si>
    <t>Lazio</t>
  </si>
  <si>
    <t>Dimarco (INT)</t>
  </si>
  <si>
    <t>McTominay</t>
  </si>
  <si>
    <t>Centrale / Trequartista</t>
  </si>
  <si>
    <t>Mancini</t>
  </si>
  <si>
    <t>Skorupski</t>
  </si>
  <si>
    <t>INFORTUNATO (lungo stop) - presenze finora: 2/2</t>
  </si>
  <si>
    <t>0/1</t>
  </si>
  <si>
    <t>Orsolini (BOL)</t>
  </si>
  <si>
    <t>Carnesecchi (ATA)</t>
  </si>
  <si>
    <t>Ablazione per una lieve aritmia benigna (1/9). Rientro da inizio ottobre.</t>
  </si>
  <si>
    <t>Akanji</t>
  </si>
  <si>
    <t>De Gea</t>
  </si>
  <si>
    <t>Fiorentina</t>
  </si>
  <si>
    <t>Pulisic</t>
  </si>
  <si>
    <t>Butez (COM)</t>
  </si>
  <si>
    <t>Perri</t>
  </si>
  <si>
    <t>Torino</t>
  </si>
  <si>
    <t>Bisseck</t>
  </si>
  <si>
    <t>Nuovo - RISCHIA il posto (0/2)</t>
  </si>
  <si>
    <t>Vicario (JUV)</t>
  </si>
  <si>
    <t>Calhanoglu (INT)</t>
  </si>
  <si>
    <t>ATTACCANTI - Listone Fantacalcio Classic 2026/27</t>
  </si>
  <si>
    <t>Okoye</t>
  </si>
  <si>
    <t>89 giocatori, solo quelli presenti nelle rose ufficiali di Serie A 2026/27. Ordinati per indice di priorita. Colonna NOTA: infortuni, rischio titolarita e nuovi acquisti (dati al 01/09/2026, dopo 2 giornate).</t>
  </si>
  <si>
    <t>Rrahmani</t>
  </si>
  <si>
    <t>De Bruyne</t>
  </si>
  <si>
    <t>Trequartista</t>
  </si>
  <si>
    <t>Wesley (ROM)</t>
  </si>
  <si>
    <t>Sanchez Ro.</t>
  </si>
  <si>
    <t>3/3</t>
  </si>
  <si>
    <t>Ballottaggio</t>
  </si>
  <si>
    <t>Nuovo - In ballottaggio (0/2)</t>
  </si>
  <si>
    <t>Kalulu</t>
  </si>
  <si>
    <t>Terzino destro / Difensore centrale</t>
  </si>
  <si>
    <t>Belghali (TOR)</t>
  </si>
  <si>
    <t>Falcone</t>
  </si>
  <si>
    <t>Lecce</t>
  </si>
  <si>
    <t>Rabiot</t>
  </si>
  <si>
    <t>Malen</t>
  </si>
  <si>
    <t>Punta centrale</t>
  </si>
  <si>
    <t>Bastoni</t>
  </si>
  <si>
    <t>Skorupski (BOL)</t>
  </si>
  <si>
    <t>Caprile</t>
  </si>
  <si>
    <t>Cagliari</t>
  </si>
  <si>
    <t>N'Dicka</t>
  </si>
  <si>
    <t>3/4</t>
  </si>
  <si>
    <t>In dubbio / da valutare - presenze finora: 1/2</t>
  </si>
  <si>
    <t>Bijlow</t>
  </si>
  <si>
    <t>Hojlund (NAP)</t>
  </si>
  <si>
    <t>Marusic (LAZ)</t>
  </si>
  <si>
    <t>Da Cunha</t>
  </si>
  <si>
    <t>Fastidio all'adduttore nel riscaldamento a Lecce (31/8). A rischio con l'Atalanta.</t>
  </si>
  <si>
    <t>Di Lorenzo</t>
  </si>
  <si>
    <t>Terzino destro / Esterno basso</t>
  </si>
  <si>
    <t>4/4</t>
  </si>
  <si>
    <t>Martinez L.</t>
  </si>
  <si>
    <t>Muric</t>
  </si>
  <si>
    <t>Sassuolo</t>
  </si>
  <si>
    <t>Atta (FIO)</t>
  </si>
  <si>
    <t>Corvi (PAR)</t>
  </si>
  <si>
    <t>Ramos G. (MIL)</t>
  </si>
  <si>
    <t>Baturina</t>
  </si>
  <si>
    <t>Spinazzola</t>
  </si>
  <si>
    <t>Terzino sinistro / Esterno basso</t>
  </si>
  <si>
    <t>Palmisani</t>
  </si>
  <si>
    <t>Frosinone</t>
  </si>
  <si>
    <t>Hojlund</t>
  </si>
  <si>
    <t>Stankovic F.</t>
  </si>
  <si>
    <t>Venezia</t>
  </si>
  <si>
    <t>Scalvini</t>
  </si>
  <si>
    <t>Malen (ROM)</t>
  </si>
  <si>
    <t>Vlasic</t>
  </si>
  <si>
    <t>Caprile (CAG)</t>
  </si>
  <si>
    <t>Thuram</t>
  </si>
  <si>
    <t>Mina (CAG)</t>
  </si>
  <si>
    <t>Tornqvist</t>
  </si>
  <si>
    <t>Monza</t>
  </si>
  <si>
    <t>5/5</t>
  </si>
  <si>
    <t>Hermoso</t>
  </si>
  <si>
    <t>McKennie (JUV)</t>
  </si>
  <si>
    <t>Falcone (LEC)</t>
  </si>
  <si>
    <t>In ballottaggio (2/2)</t>
  </si>
  <si>
    <t>Douvikas</t>
  </si>
  <si>
    <t>Milinkovic-Savic V.</t>
  </si>
  <si>
    <t>Zaniolo</t>
  </si>
  <si>
    <t>In ballottaggio (0/2)</t>
  </si>
  <si>
    <t>Valeri</t>
  </si>
  <si>
    <t>Parma</t>
  </si>
  <si>
    <t>Infortunato - presenze finora: 1/2</t>
  </si>
  <si>
    <t>Berardi</t>
  </si>
  <si>
    <t>Corvi</t>
  </si>
  <si>
    <t>Attaccante</t>
  </si>
  <si>
    <t>Tiago Gabriel (LEC)</t>
  </si>
  <si>
    <t>Lesione al bicipite femorale destro (1a giornata). Stop ~25 giorni, rientro seconda meta di settembre.</t>
  </si>
  <si>
    <t>2/3</t>
  </si>
  <si>
    <t>Martinez L. (INT)</t>
  </si>
  <si>
    <t>Molina N.</t>
  </si>
  <si>
    <t>Daffara</t>
  </si>
  <si>
    <t>Nuovo - Rischia il posto (1/2)</t>
  </si>
  <si>
    <t>Scamacca</t>
  </si>
  <si>
    <t>Atta</t>
  </si>
  <si>
    <t>2/2</t>
  </si>
  <si>
    <t>Kempf</t>
  </si>
  <si>
    <t>Mascardi</t>
  </si>
  <si>
    <t>Nuovo - In ballottaggio (2/2)</t>
  </si>
  <si>
    <t>In ballottaggio (1/2)</t>
  </si>
  <si>
    <t>Davis K.</t>
  </si>
  <si>
    <t>Paz N. (COM)</t>
  </si>
  <si>
    <t>Dodò (FIO)</t>
  </si>
  <si>
    <t>Thiam</t>
  </si>
  <si>
    <t>Berardi (SAS)</t>
  </si>
  <si>
    <t>Mina</t>
  </si>
  <si>
    <t>Zaccagni</t>
  </si>
  <si>
    <t>In dubbio / da valutare - presenze finora: 0/2</t>
  </si>
  <si>
    <t>Yildiz</t>
  </si>
  <si>
    <t>Scalvini (ATA)</t>
  </si>
  <si>
    <t>Affaticamento al polpaccio (29/8). Out con l'Inter, a rischio anche col Lecce.</t>
  </si>
  <si>
    <t>Provedel</t>
  </si>
  <si>
    <t>INFORTUNATO (lungo stop) - presenze finora: 1/2</t>
  </si>
  <si>
    <t>1/2</t>
  </si>
  <si>
    <t>Simeone (TOR)</t>
  </si>
  <si>
    <t>Ramon</t>
  </si>
  <si>
    <t>Operato il 31/8: frattura base V metatarso piede sinistro. Stop ~3 mesi, rientro fine novembre.</t>
  </si>
  <si>
    <t>Muric (SAS)</t>
  </si>
  <si>
    <t>Konè M. (ROM)</t>
  </si>
  <si>
    <t>Kean</t>
  </si>
  <si>
    <t>Christensen O.</t>
  </si>
  <si>
    <t>Vasquez</t>
  </si>
  <si>
    <t>Terzino sinistro / Difensore centrale</t>
  </si>
  <si>
    <t>Zielinski</t>
  </si>
  <si>
    <t>Centrale</t>
  </si>
  <si>
    <t>Terracciano</t>
  </si>
  <si>
    <t>Krstovic</t>
  </si>
  <si>
    <t>Zappacosta</t>
  </si>
  <si>
    <t>Ramos G.</t>
  </si>
  <si>
    <t>Pessina Mas.</t>
  </si>
  <si>
    <t>Riserva</t>
  </si>
  <si>
    <t>Riserva (0/2)</t>
  </si>
  <si>
    <t>Barella</t>
  </si>
  <si>
    <t>Miranda J.</t>
  </si>
  <si>
    <t>Bleve</t>
  </si>
  <si>
    <t>Dybala</t>
  </si>
  <si>
    <t>Nuovo - Riserva (0/2)</t>
  </si>
  <si>
    <t>Valle</t>
  </si>
  <si>
    <t>Pinamonti (LAZ)</t>
  </si>
  <si>
    <t>Contini</t>
  </si>
  <si>
    <t>Laurientè</t>
  </si>
  <si>
    <t>Stankovic F. (VEN)</t>
  </si>
  <si>
    <t>Modric</t>
  </si>
  <si>
    <t>4o</t>
  </si>
  <si>
    <t>De Marzi</t>
  </si>
  <si>
    <t>Kristensen T.</t>
  </si>
  <si>
    <t>In dubbio / da valutare - Nuovo - presenze finora: 0/2</t>
  </si>
  <si>
    <t>Milinkovic-Savic V. (NAP)</t>
  </si>
  <si>
    <t>Simeone</t>
  </si>
  <si>
    <t>Problema alla caviglia: saltate Sassuolo e Bologna, a rischio anche con la Roma.</t>
  </si>
  <si>
    <t>Desplanches</t>
  </si>
  <si>
    <t>Vojvoda</t>
  </si>
  <si>
    <t>Yildiz (JUV)</t>
  </si>
  <si>
    <t>Esposito F.P.</t>
  </si>
  <si>
    <t>Ghidotti</t>
  </si>
  <si>
    <t>McKennie</t>
  </si>
  <si>
    <t>Belghali</t>
  </si>
  <si>
    <t>Mascardi (TOR)</t>
  </si>
  <si>
    <t>Gollini</t>
  </si>
  <si>
    <t>Verona</t>
  </si>
  <si>
    <t>De Ketelaere</t>
  </si>
  <si>
    <t>Vlasic (TOR)</t>
  </si>
  <si>
    <t>Daffara (PAR)</t>
  </si>
  <si>
    <t>Affaticamento muscolare dal 27/8. Gia assente col Parma, convocazione a rischio.</t>
  </si>
  <si>
    <t>Celik</t>
  </si>
  <si>
    <t>Braccetto / Terzino destro / Esterno basso</t>
  </si>
  <si>
    <t>Maldini (CAG)</t>
  </si>
  <si>
    <t>Grabara</t>
  </si>
  <si>
    <t>Conceicao</t>
  </si>
  <si>
    <t>Kolo Muani</t>
  </si>
  <si>
    <t>Diego Carlos</t>
  </si>
  <si>
    <t>Grandi</t>
  </si>
  <si>
    <t>Colombo</t>
  </si>
  <si>
    <t>Happonen</t>
  </si>
  <si>
    <t>Carlos Augusto</t>
  </si>
  <si>
    <t>Braccetto / Terzino sinistro / Esterno basso</t>
  </si>
  <si>
    <t>Ekkelenkamp</t>
  </si>
  <si>
    <t>Esposito Se.</t>
  </si>
  <si>
    <t>Lezzerini</t>
  </si>
  <si>
    <t>Rensch</t>
  </si>
  <si>
    <t>Risentimento al flessore sinistro: fuori con Fiorentina e Lecce. Da valutare.</t>
  </si>
  <si>
    <t>Castro S.</t>
  </si>
  <si>
    <t>Lolic</t>
  </si>
  <si>
    <t>Gila</t>
  </si>
  <si>
    <t>Bernardeschi</t>
  </si>
  <si>
    <t>Esterno alto / Trequartista</t>
  </si>
  <si>
    <t>Mrozek</t>
  </si>
  <si>
    <t>Bartesaghi</t>
  </si>
  <si>
    <t>Soulè</t>
  </si>
  <si>
    <t>Penev</t>
  </si>
  <si>
    <t>Riserva (2/2)</t>
  </si>
  <si>
    <t>Bernabè</t>
  </si>
  <si>
    <t>Kabasele</t>
  </si>
  <si>
    <t>Pinamonti</t>
  </si>
  <si>
    <t>Piana</t>
  </si>
  <si>
    <t>Thorstvedt (SAS)</t>
  </si>
  <si>
    <t>Bernasconi</t>
  </si>
  <si>
    <t>Pinsoglio</t>
  </si>
  <si>
    <t>Pellegrino M.</t>
  </si>
  <si>
    <t>Perri (TOR)</t>
  </si>
  <si>
    <t>Politano</t>
  </si>
  <si>
    <t>Esterno alto</t>
  </si>
  <si>
    <t>Douvikas (COM)</t>
  </si>
  <si>
    <t>Delprato</t>
  </si>
  <si>
    <t>Pisseri</t>
  </si>
  <si>
    <t>Bonny</t>
  </si>
  <si>
    <t>Riserva (1/2)</t>
  </si>
  <si>
    <t>Pozzi</t>
  </si>
  <si>
    <t>Dodò</t>
  </si>
  <si>
    <t>Santos A.</t>
  </si>
  <si>
    <t>Kempf (COM)</t>
  </si>
  <si>
    <t>Radunovic</t>
  </si>
  <si>
    <t>Samardzic</t>
  </si>
  <si>
    <t>Tiago Gabriel</t>
  </si>
  <si>
    <t>Adams C.</t>
  </si>
  <si>
    <t>Valeri (PAR)</t>
  </si>
  <si>
    <t>Renzetti</t>
  </si>
  <si>
    <t>Calò (FRO)</t>
  </si>
  <si>
    <t>Norton-Cuffy</t>
  </si>
  <si>
    <t>Woltemade</t>
  </si>
  <si>
    <t>Russo A.</t>
  </si>
  <si>
    <t>Rowe</t>
  </si>
  <si>
    <t>Holm</t>
  </si>
  <si>
    <t>Raspadori</t>
  </si>
  <si>
    <t>Satalino</t>
  </si>
  <si>
    <t>Marusic</t>
  </si>
  <si>
    <t>Terzino destro / Terzino sinistro / Esterno basso</t>
  </si>
  <si>
    <t>Konè M.</t>
  </si>
  <si>
    <t>Sherri</t>
  </si>
  <si>
    <t>Vitinha O.</t>
  </si>
  <si>
    <t>Mancini (ROM)</t>
  </si>
  <si>
    <t>Lesione muscolare alla coscia (24/8). Ipotesi rientro da inizio ottobre.</t>
  </si>
  <si>
    <t>Zaccagni (LAZ)</t>
  </si>
  <si>
    <t>Siviero</t>
  </si>
  <si>
    <t>Obrador</t>
  </si>
  <si>
    <t>Maldini</t>
  </si>
  <si>
    <t>Akanji (INT)</t>
  </si>
  <si>
    <t>Scamacca (ATA)</t>
  </si>
  <si>
    <t>Stolz</t>
  </si>
  <si>
    <t>Ederson D.S.</t>
  </si>
  <si>
    <t>Cambiaso</t>
  </si>
  <si>
    <t>Dovbyk</t>
  </si>
  <si>
    <t>Strajnar</t>
  </si>
  <si>
    <t>Beukema</t>
  </si>
  <si>
    <t>Neres</t>
  </si>
  <si>
    <t>Torriani</t>
  </si>
  <si>
    <t>Rodriguez Je.</t>
  </si>
  <si>
    <t>Kelly L.</t>
  </si>
  <si>
    <t>Stulic</t>
  </si>
  <si>
    <t>Vigorito</t>
  </si>
  <si>
    <t>Tourè E. (PAR)</t>
  </si>
  <si>
    <t>Boga</t>
  </si>
  <si>
    <t>Zanoli</t>
  </si>
  <si>
    <t>Zambo Anguissa</t>
  </si>
  <si>
    <t>Di Gennaro</t>
  </si>
  <si>
    <t>INFORTUNATO (lungo stop) - presenze finora: 0/2</t>
  </si>
  <si>
    <t>Vasquez (GEN)</t>
  </si>
  <si>
    <t>Operato al crociato a gennaio. Puo tornare in campo da ottobre.</t>
  </si>
  <si>
    <t>Borrelli</t>
  </si>
  <si>
    <t>Romagnoli</t>
  </si>
  <si>
    <t>Padelli</t>
  </si>
  <si>
    <t>N'Dicka (ROM)</t>
  </si>
  <si>
    <t>Locatelli</t>
  </si>
  <si>
    <t>Giovane</t>
  </si>
  <si>
    <t>Sportiello</t>
  </si>
  <si>
    <t>Idzes</t>
  </si>
  <si>
    <t>Palmisani (FRO)</t>
  </si>
  <si>
    <t>Bastoni (INT)</t>
  </si>
  <si>
    <t>Bowie</t>
  </si>
  <si>
    <t>Montipò</t>
  </si>
  <si>
    <t>De Winter</t>
  </si>
  <si>
    <t>Nuovo - Riserva (2/2)</t>
  </si>
  <si>
    <t>Cataldi</t>
  </si>
  <si>
    <t>Motta</t>
  </si>
  <si>
    <t>Diao</t>
  </si>
  <si>
    <t>Infortunato - presenze finora: 0/2</t>
  </si>
  <si>
    <t>Zortea</t>
  </si>
  <si>
    <t>Ernia bilaterale, saltata la preparazione. Recuperabile da meta settembre.</t>
  </si>
  <si>
    <t>Pellegrino M. (FIO)</t>
  </si>
  <si>
    <t>Di Lorenzo (NAP)</t>
  </si>
  <si>
    <t>Paleari</t>
  </si>
  <si>
    <t>Piccoli</t>
  </si>
  <si>
    <t>Thorstvedt</t>
  </si>
  <si>
    <t>Gallo</t>
  </si>
  <si>
    <t>Sommariva</t>
  </si>
  <si>
    <t>Noslin</t>
  </si>
  <si>
    <t>Tavares N.</t>
  </si>
  <si>
    <t>Turati</t>
  </si>
  <si>
    <t>Mora</t>
  </si>
  <si>
    <t>Hermoso (ROM)</t>
  </si>
  <si>
    <t>Kevin Carlos</t>
  </si>
  <si>
    <t>NOTA (colonna M): rosso = infortunato, giallo = in dubbio per la prossima giornata, arancione = titolare sulla carta ma zero presenze nelle prime due giornate (rischia il posto), verde = titolare confermato con 2 presenze su 2. 'Nuovo' segnala chi cambia squadra o arriva da fuori Serie A. Il dettaglio dell'infortunio e nell'ultima colonna. Indice = peso FVM x (FVM / FVM max di ruolo) + peso rendimento x fantamedia ponderata normalizzata + peso rigorista + peso calci piazzati; i pesi si cambiano nel foglio Guida (B22:B25). Fonte: Fantacalcio.it, quotazioni, statistiche e indisponibili al 01/09/2026 (2 giornate giocate).</t>
  </si>
  <si>
    <t>Lucumì</t>
  </si>
  <si>
    <t>Nuovo - In ballottaggio (1/2)</t>
  </si>
  <si>
    <t>Ekhator</t>
  </si>
  <si>
    <t>Saelemaekers</t>
  </si>
  <si>
    <t>INFORTUNATO (lungo stop) - Nuovo - presenze finora: 0/2</t>
  </si>
  <si>
    <t>Coco</t>
  </si>
  <si>
    <t>Lesione di medio grado del semitendinoso. Possibile rientro da fine ottobre.</t>
  </si>
  <si>
    <t>Celik (JUV)</t>
  </si>
  <si>
    <t>Nzola</t>
  </si>
  <si>
    <t>Buongiorno</t>
  </si>
  <si>
    <t>Taylor K.</t>
  </si>
  <si>
    <t>Geubbels</t>
  </si>
  <si>
    <t>Operato al menisco del ginocchio destro a luglio. Rientro ipotizzato a meta novembre.</t>
  </si>
  <si>
    <t>Infortunato - Nuovo - presenze finora: 2/2</t>
  </si>
  <si>
    <t>Gatti</t>
  </si>
  <si>
    <t>Distorsione alla caviglia (31/8). Salta la trasferta di Cagliari, tempi da valutare.</t>
  </si>
  <si>
    <t>Cutrone</t>
  </si>
  <si>
    <t>Perrone</t>
  </si>
  <si>
    <t>Stulic (LEC)</t>
  </si>
  <si>
    <t>Parisi</t>
  </si>
  <si>
    <t>Tourè E.</t>
  </si>
  <si>
    <t>Recupero dalla lesione del crociato: punta a tornare convocabile da novembre.</t>
  </si>
  <si>
    <t>Laurientè (SAS)</t>
  </si>
  <si>
    <t>Mandragora</t>
  </si>
  <si>
    <t>Spence</t>
  </si>
  <si>
    <t>Sulemana K.</t>
  </si>
  <si>
    <t>Gila (MIL)</t>
  </si>
  <si>
    <t>Bobcek (FRO)</t>
  </si>
  <si>
    <t>Lesione collaterale mediale ginocchio sinistro (8/8). Rientro da inizio ottobre.</t>
  </si>
  <si>
    <t>Ismajli</t>
  </si>
  <si>
    <t>Adams A.</t>
  </si>
  <si>
    <t>Isaksen</t>
  </si>
  <si>
    <t>Gabbia</t>
  </si>
  <si>
    <t>Zapata D.</t>
  </si>
  <si>
    <t>Carlos Augusto (INT)</t>
  </si>
  <si>
    <t>Kolo Muani (JUV)</t>
  </si>
  <si>
    <t>Gudmundsson A.</t>
  </si>
  <si>
    <t>Lang</t>
  </si>
  <si>
    <t>Kossounou</t>
  </si>
  <si>
    <t>Dybala (ROM)</t>
  </si>
  <si>
    <t>Miranda J. (BOL)</t>
  </si>
  <si>
    <t>Varela G.</t>
  </si>
  <si>
    <t>Marcandalli</t>
  </si>
  <si>
    <t>Pellegrini Lo.</t>
  </si>
  <si>
    <t>Fastidio all'adduttore (30/8). Salta la trasferta di Parma, tempi da valutare.</t>
  </si>
  <si>
    <t>Kulenovic</t>
  </si>
  <si>
    <t>Obert</t>
  </si>
  <si>
    <t>Konè I.</t>
  </si>
  <si>
    <t>Kristensen T. (ATA)</t>
  </si>
  <si>
    <t>Elphege</t>
  </si>
  <si>
    <t>Kamara H.</t>
  </si>
  <si>
    <t>Rottura di tibia e perone ai Mondiali di giugno. Punta a rientrare a dicembre.</t>
  </si>
  <si>
    <t>Frattesi</t>
  </si>
  <si>
    <t>N'Dri</t>
  </si>
  <si>
    <t>Bellanova</t>
  </si>
  <si>
    <t>Holm (BOL)</t>
  </si>
  <si>
    <t>Bobcek</t>
  </si>
  <si>
    <t>Gaetano</t>
  </si>
  <si>
    <t>Heggem</t>
  </si>
  <si>
    <t>De Ketelaere (ATA)</t>
  </si>
  <si>
    <t>ABBINAMENTI DI CALENDARIO - SERIE A 2026/27</t>
  </si>
  <si>
    <t>Quante volte due squadre giocano in trasferta nella stessa giornata (su 38). Piu basso = si coprono meglio a vicenda.</t>
  </si>
  <si>
    <t>MATRICE COMPLETA (verde = ottimo abbinamento, rosso = da evitare)</t>
  </si>
  <si>
    <t>Bernasconi (ATA)</t>
  </si>
  <si>
    <t>Mendy P.</t>
  </si>
  <si>
    <t>Ghilardi</t>
  </si>
  <si>
    <t>Calò</t>
  </si>
  <si>
    <t>Ngonge</t>
  </si>
  <si>
    <t>Hien</t>
  </si>
  <si>
    <t>Samardzic (ATA)</t>
  </si>
  <si>
    <t>Beto</t>
  </si>
  <si>
    <t>Operato a fine giugno al semimembranoso della coscia sinistra. Rientro da inizio ottobre.</t>
  </si>
  <si>
    <t>Casadei</t>
  </si>
  <si>
    <t>Provstgaard</t>
  </si>
  <si>
    <t>Rensch (ROM)</t>
  </si>
  <si>
    <t>Yeboah J.</t>
  </si>
  <si>
    <t>Affaticamento muscolare: fuori col Sassuolo, a rischio anche a Firenze.</t>
  </si>
  <si>
    <t>Chalobah T.</t>
  </si>
  <si>
    <t>Romero D.</t>
  </si>
  <si>
    <t>Baldanzi</t>
  </si>
  <si>
    <t>MIGLIORI COPPIE DI SQUADRE (le 25 con meno trasferte in comune)</t>
  </si>
  <si>
    <t>#</t>
  </si>
  <si>
    <t>Squadra A</t>
  </si>
  <si>
    <t>Squadra B</t>
  </si>
  <si>
    <t>Giudizio</t>
  </si>
  <si>
    <t>Tomori</t>
  </si>
  <si>
    <t>Perfetto</t>
  </si>
  <si>
    <t>Ottimo</t>
  </si>
  <si>
    <t>Ghedjemis</t>
  </si>
  <si>
    <t>Spence (INT)</t>
  </si>
  <si>
    <t>Thuram K.</t>
  </si>
  <si>
    <t>Raspadori (ATA)</t>
  </si>
  <si>
    <t>Bertola</t>
  </si>
  <si>
    <t>Terzino destro / Terzino sinistro / Difensore centrale</t>
  </si>
  <si>
    <t>Adorante</t>
  </si>
  <si>
    <t>PEGGIORI COPPIE (da NON accoppiare)</t>
  </si>
  <si>
    <t>Da evitare</t>
  </si>
  <si>
    <t>Sindrome femoro-rotulea, non convocato col Parma. Da valutare per il Milan.</t>
  </si>
  <si>
    <t>Operato alla schiena a fine luglio. Fuori per buona parte dell'andata, rientro da ottobre.</t>
  </si>
  <si>
    <t>Smolcic I.</t>
  </si>
  <si>
    <t>Lucca</t>
  </si>
  <si>
    <t>TOP 20 TERZETTI DI PORTIERI (3 portieri titolari che si coprono a vicenda)</t>
  </si>
  <si>
    <t>Berisha M.</t>
  </si>
  <si>
    <t>Portiere 1</t>
  </si>
  <si>
    <t>Portiere 2</t>
  </si>
  <si>
    <t>Portiere 3</t>
  </si>
  <si>
    <t>1+2</t>
  </si>
  <si>
    <t>1+3</t>
  </si>
  <si>
    <t>2+3</t>
  </si>
  <si>
    <t>Totale trasferte in comune</t>
  </si>
  <si>
    <t>Costo consigliato totale</t>
  </si>
  <si>
    <t>Indice medio</t>
  </si>
  <si>
    <t>Mandas (LAZ)</t>
  </si>
  <si>
    <t>Dovbyk (BOL)</t>
  </si>
  <si>
    <t>Valenti</t>
  </si>
  <si>
    <t>Bernabè (PAR)</t>
  </si>
  <si>
    <t>Gueye</t>
  </si>
  <si>
    <t>Cambiaghi</t>
  </si>
  <si>
    <t>Vitinha O. (GEN)</t>
  </si>
  <si>
    <t>Joao Mario</t>
  </si>
  <si>
    <t>Camarda</t>
  </si>
  <si>
    <t>Nuovo - Riserva (1/2)</t>
  </si>
  <si>
    <t>Politano (NAP)</t>
  </si>
  <si>
    <t>Come si legge: il numero e quante volte, nelle 38 giornate, le due squadre giocano ENTRAMBE in trasferta. Per i portieri l'ideale e avere sempre almeno un titolare in casa: piu il numero e basso, meglio ruota la coppia. Vale anche per difensori, centrocampisti e attaccanti che si alternano in formazione. Le coppie a 0 sono i derby di citta (Inter-Milan, Roma-Lazio, Juventus-Torino), che non giocano mai fuori casa insieme. Fonte: griglia portieri e calendario Serie A 2026/27, Fantacalcio.it.</t>
  </si>
  <si>
    <t>Comuzzo</t>
  </si>
  <si>
    <t>Volpato</t>
  </si>
  <si>
    <t>Vaz</t>
  </si>
  <si>
    <t>Cambiaso (JUV)</t>
  </si>
  <si>
    <t>Noslin (LAZ)</t>
  </si>
  <si>
    <t>Zielinski (INT)</t>
  </si>
  <si>
    <t>Ranieri L.</t>
  </si>
  <si>
    <t>Osmajic</t>
  </si>
  <si>
    <t>Woltemade (JUV)</t>
  </si>
  <si>
    <t>Odgaard</t>
  </si>
  <si>
    <t>Idrissi R.</t>
  </si>
  <si>
    <t>Raimondo</t>
  </si>
  <si>
    <t>Parisi (FIO)</t>
  </si>
  <si>
    <t>In ripresa dalla rottura del crociato. Arruolabile da fine ottobre.</t>
  </si>
  <si>
    <t>Cabal</t>
  </si>
  <si>
    <t>Ratkov</t>
  </si>
  <si>
    <t>Mkhitaryan</t>
  </si>
  <si>
    <t>Zapata D. (TOR)</t>
  </si>
  <si>
    <t>Coco (TOR)</t>
  </si>
  <si>
    <t>Gnonto</t>
  </si>
  <si>
    <t>Modric (MIL)</t>
  </si>
  <si>
    <t>Van Der Brempt</t>
  </si>
  <si>
    <t>Pessina</t>
  </si>
  <si>
    <t>Kvernadze</t>
  </si>
  <si>
    <t>Kolasinac</t>
  </si>
  <si>
    <t>Sulemana K. (ATA)</t>
  </si>
  <si>
    <t>Berisha M. (LEC)</t>
  </si>
  <si>
    <t>Lussazione della rotula del ginocchio destro. Prova a rientrare da inizio novembre.</t>
  </si>
  <si>
    <t>Zortea (BOL)</t>
  </si>
  <si>
    <t>Bayo V.</t>
  </si>
  <si>
    <t>Cancellieri</t>
  </si>
  <si>
    <t>Doig</t>
  </si>
  <si>
    <t>Mota</t>
  </si>
  <si>
    <t>Vitik</t>
  </si>
  <si>
    <t>Zalewski</t>
  </si>
  <si>
    <t>Zeballos</t>
  </si>
  <si>
    <t>Beukema (NAP)</t>
  </si>
  <si>
    <t>INFORTUNATI E GIOCATORI IN DUBBIO</t>
  </si>
  <si>
    <t>Fortini</t>
  </si>
  <si>
    <t>Fonte: Fantacalcio.it - Indisponibili Serie A, aggiornato al 1 settembre 2026 (dopo la 2a giornata).</t>
  </si>
  <si>
    <t>Geubbels (LEC)</t>
  </si>
  <si>
    <t>Ruolo</t>
  </si>
  <si>
    <t>Stato</t>
  </si>
  <si>
    <t>Prio di ruolo</t>
  </si>
  <si>
    <t>Dettaglio e tempi di recupero</t>
  </si>
  <si>
    <t>Infortunato - lungo stop</t>
  </si>
  <si>
    <t>Milik</t>
  </si>
  <si>
    <t>Kelly L. (JUV)</t>
  </si>
  <si>
    <t>Difensore</t>
  </si>
  <si>
    <t>Busio</t>
  </si>
  <si>
    <t>Pellegrini Lu.</t>
  </si>
  <si>
    <t>Centrocampista</t>
  </si>
  <si>
    <t>Marianucci</t>
  </si>
  <si>
    <t>Lesione di alto grado del collaterale mediale (8/8). Stop di almeno due mesi.</t>
  </si>
  <si>
    <t>Nicolussi Caviglia</t>
  </si>
  <si>
    <t>Fatah</t>
  </si>
  <si>
    <t>Operato a fine agosto alla coscia destra. Ipotesi rientro da novembre.</t>
  </si>
  <si>
    <t>Pieragnolo</t>
  </si>
  <si>
    <t>Recupero dalla lesione del crociato anteriore. Convocabile da ottobre.</t>
  </si>
  <si>
    <t>Sverko</t>
  </si>
  <si>
    <t>Pessina (MON)</t>
  </si>
  <si>
    <t>Operato in estate all'anca. Recuperabile da fine ottobre.</t>
  </si>
  <si>
    <t>Infortunato - rientro entro settembre</t>
  </si>
  <si>
    <t>El Azzouzi O.</t>
  </si>
  <si>
    <t>Troilo</t>
  </si>
  <si>
    <t>Lesione al bicipite femorale sinistro. Rientro dalla seconda meta di settembre.</t>
  </si>
  <si>
    <t>Trepy</t>
  </si>
  <si>
    <t>Ricoverato il 16/8, dimesso il 28/8. Condizioni monitorate, out nel prossimo turno.</t>
  </si>
  <si>
    <t>Addai</t>
  </si>
  <si>
    <t>Rottura del tendine d'Achille. Prova a rientrare dalla seconda meta di settembre.</t>
  </si>
  <si>
    <t>Rovella</t>
  </si>
  <si>
    <t>Guaio muscolare al polpaccio (30/8). Assente nel prossimo turno.</t>
  </si>
  <si>
    <t>Cristante</t>
  </si>
  <si>
    <t>Dele-Bashiru</t>
  </si>
  <si>
    <t>Rrahmani Al.</t>
  </si>
  <si>
    <t>Guaio muscolare alla gamba (24/8). Si confida di riaverlo da meta settembre.</t>
  </si>
  <si>
    <t>Patric</t>
  </si>
  <si>
    <t>Problema fisico, out nella 3a giornata. Tempi di recupero da valutare.</t>
  </si>
  <si>
    <t>Idzes (SAS)</t>
  </si>
  <si>
    <t>Walukiewicz</t>
  </si>
  <si>
    <t>Forte trauma contusivo alla gamba destra. Rientro da valutare a meta settembre.</t>
  </si>
  <si>
    <t>Candè</t>
  </si>
  <si>
    <t>Rottura del crociato a gennaio: punta a tornare convocabile da meta settembre.</t>
  </si>
  <si>
    <t>Boloca</t>
  </si>
  <si>
    <t>Problema al ginocchio, fuori causa a inizio campionato. Rientro da fine settembre.</t>
  </si>
  <si>
    <t>Kevin Carlos (CAG)</t>
  </si>
  <si>
    <t>Palma</t>
  </si>
  <si>
    <t>Cataldi (LAZ)</t>
  </si>
  <si>
    <t>Problema all'adduttore destro (1a giornata). Ai box fino a meta settembre.</t>
  </si>
  <si>
    <t>Chakvetadze</t>
  </si>
  <si>
    <t>Frattura del terzo metatarso del piede destro. Arruolabile dalla prima meta di settembre.</t>
  </si>
  <si>
    <t>In dubbio per la prossima</t>
  </si>
  <si>
    <t>Couto</t>
  </si>
  <si>
    <t>Birligea</t>
  </si>
  <si>
    <t>Caqueret</t>
  </si>
  <si>
    <t>Ciurria</t>
  </si>
  <si>
    <t>Noie fisiche: forfait contro il Parma. Da valutare.</t>
  </si>
  <si>
    <t>Franjic</t>
  </si>
  <si>
    <t>Costretto al cambio a Milano per un guaio fisico. Forfait a Frosinone.</t>
  </si>
  <si>
    <t>Moreno M.</t>
  </si>
  <si>
    <t>Noie fisiche: forfait con Lecce e Milan. Punta a rientrare a inizio settembre.</t>
  </si>
  <si>
    <t>Rosso = rientro previsto da ottobre in poi. Giallo = fuori ora, rientro atteso entro settembre. Arancione = acciaccato, convocazione a rischio per la prossima giornata. La stessa informazione e' ripetuta nella colonna NOTA di ogni foglio di ruolo.</t>
  </si>
  <si>
    <t>Stones</t>
  </si>
  <si>
    <t>Lontani</t>
  </si>
  <si>
    <t>Basic</t>
  </si>
  <si>
    <t>De Winter (MIL)</t>
  </si>
  <si>
    <t>Mutandwa</t>
  </si>
  <si>
    <t>Pisilli</t>
  </si>
  <si>
    <t>Frigan</t>
  </si>
  <si>
    <t>Siebert</t>
  </si>
  <si>
    <t>Pasalic</t>
  </si>
  <si>
    <t>Havel</t>
  </si>
  <si>
    <t>Terracciano F.</t>
  </si>
  <si>
    <t>Loftus-Cheek</t>
  </si>
  <si>
    <t>Braccetto / Terzino destro / Terzino sinistro</t>
  </si>
  <si>
    <t>Ekhator (JUV)</t>
  </si>
  <si>
    <t>Cremonese</t>
  </si>
  <si>
    <t>Mkhitaryan (INT)</t>
  </si>
  <si>
    <t>Robinson J.</t>
  </si>
  <si>
    <t>Bella-Kotchap</t>
  </si>
  <si>
    <t>Sucic P.</t>
  </si>
  <si>
    <t>Buongiorno (NAP)</t>
  </si>
  <si>
    <t>Saelemaekers (MIL)</t>
  </si>
  <si>
    <t>FOGLIO D'ASTA - LA MIA ROSA 2026/27</t>
  </si>
  <si>
    <t>Scegli i giocatori dai menu a tendina (colonna C) e scrivi il prezzo pagato (colonna H). I crediti scalano da 500.</t>
  </si>
  <si>
    <t>BUDGET</t>
  </si>
  <si>
    <t>BUDGET PER REPARTO</t>
  </si>
  <si>
    <t>Budget iniziale</t>
  </si>
  <si>
    <t>Veiga D.</t>
  </si>
  <si>
    <t>Coulibaly L.</t>
  </si>
  <si>
    <t>Consigliato</t>
  </si>
  <si>
    <t>Speso</t>
  </si>
  <si>
    <t>Differenza</t>
  </si>
  <si>
    <t>Crediti spesi</t>
  </si>
  <si>
    <t>Robinho Junior</t>
  </si>
  <si>
    <t>Crediti residui</t>
  </si>
  <si>
    <t>Cutrone (MON)</t>
  </si>
  <si>
    <t>Olivera</t>
  </si>
  <si>
    <t>Slot ancora liberi</t>
  </si>
  <si>
    <t>Diouf</t>
  </si>
  <si>
    <t>Esterno basso / Centrale</t>
  </si>
  <si>
    <t>De Martis</t>
  </si>
  <si>
    <t>Credito medio per slot libero</t>
  </si>
  <si>
    <t>N'Dri (LEC)</t>
  </si>
  <si>
    <t>Zè Pedro</t>
  </si>
  <si>
    <t>Giocatore (menu a tendina)</t>
  </si>
  <si>
    <t>Prezzo pagato</t>
  </si>
  <si>
    <t>Lauberbach</t>
  </si>
  <si>
    <t>Gerarchia</t>
  </si>
  <si>
    <t>NOTA / stato</t>
  </si>
  <si>
    <t>PG 26/27</t>
  </si>
  <si>
    <t>Fagioli</t>
  </si>
  <si>
    <t>Miglior abbinamento suggerito</t>
  </si>
  <si>
    <t>Varela G. (MON)</t>
  </si>
  <si>
    <t>Rodriguez Je. (COM)</t>
  </si>
  <si>
    <t>Rodriguez Ju.</t>
  </si>
  <si>
    <t>Messias</t>
  </si>
  <si>
    <t>Lisman</t>
  </si>
  <si>
    <t>Locatelli (JUV)</t>
  </si>
  <si>
    <t>Britschgi</t>
  </si>
  <si>
    <t>Mastantuono</t>
  </si>
  <si>
    <t>Floriani Mussolini</t>
  </si>
  <si>
    <t>Folorunsho</t>
  </si>
  <si>
    <t>Estupinan</t>
  </si>
  <si>
    <t>Schmid</t>
  </si>
  <si>
    <t>Dragusin</t>
  </si>
  <si>
    <t>Gaetano (ATA)</t>
  </si>
  <si>
    <t>Pierotti</t>
  </si>
  <si>
    <t>Theate</t>
  </si>
  <si>
    <t>Mora (ROM)</t>
  </si>
  <si>
    <t>Mazzocchi</t>
  </si>
  <si>
    <t>Lobotka</t>
  </si>
  <si>
    <t>Gaspar K.</t>
  </si>
  <si>
    <t>Konè I. (SAS)</t>
  </si>
  <si>
    <t>Sutalo J.</t>
  </si>
  <si>
    <t>Ndour</t>
  </si>
  <si>
    <t>Pongracic</t>
  </si>
  <si>
    <t>Taylor K. (LAZ)</t>
  </si>
  <si>
    <t>Badiashile</t>
  </si>
  <si>
    <t>Vergara</t>
  </si>
  <si>
    <t>Jimenez A.</t>
  </si>
  <si>
    <t>Pellegrini Lo. (ROM)</t>
  </si>
  <si>
    <t>Ricci S.</t>
  </si>
  <si>
    <t>Pavard</t>
  </si>
  <si>
    <t>Doekhi</t>
  </si>
  <si>
    <t>Gandelman</t>
  </si>
  <si>
    <t>Valdepenas</t>
  </si>
  <si>
    <t>Juan Jesus</t>
  </si>
  <si>
    <t>Fazzini</t>
  </si>
  <si>
    <t>STATISTICHE SERIE A 2025/26 (dati grezzi)</t>
  </si>
  <si>
    <t>Fonte: Fantacalcio.it. Include anche giocatori oggi fuori dalla Serie A: e la base storica usata per l'indice.</t>
  </si>
  <si>
    <t>Kouadio</t>
  </si>
  <si>
    <t>Presenze</t>
  </si>
  <si>
    <t>Media voto</t>
  </si>
  <si>
    <t>Fantamedia</t>
  </si>
  <si>
    <t>Gol</t>
  </si>
  <si>
    <t>Assist</t>
  </si>
  <si>
    <t>Rigori (segnati/calciati)</t>
  </si>
  <si>
    <t>Ammonizioni</t>
  </si>
  <si>
    <t>Espulsioni</t>
  </si>
  <si>
    <t>In Serie A 26/27</t>
  </si>
  <si>
    <t>Squadra 26/27</t>
  </si>
  <si>
    <t>De Luca</t>
  </si>
  <si>
    <t>Lukaku</t>
  </si>
  <si>
    <t>Moro N.</t>
  </si>
  <si>
    <t>De Silvestri</t>
  </si>
  <si>
    <t>Belotti</t>
  </si>
  <si>
    <t>Bracaglia</t>
  </si>
  <si>
    <t>Vlahovic</t>
  </si>
  <si>
    <t>Fadera</t>
  </si>
  <si>
    <t>Kostic</t>
  </si>
  <si>
    <t>Caleta-Car</t>
  </si>
  <si>
    <t>Bonazzoli</t>
  </si>
  <si>
    <t>Pobega</t>
  </si>
  <si>
    <t>Koulierakis</t>
  </si>
  <si>
    <t>Adzic</t>
  </si>
  <si>
    <t>Nkunku</t>
  </si>
  <si>
    <t>Mangas</t>
  </si>
  <si>
    <t>Leao</t>
  </si>
  <si>
    <t>Ferguson E.</t>
  </si>
  <si>
    <t>Elmas</t>
  </si>
  <si>
    <t>Castellanos</t>
  </si>
  <si>
    <t>Sugawara</t>
  </si>
  <si>
    <t>Pedro</t>
  </si>
  <si>
    <t>Kilicsoy</t>
  </si>
  <si>
    <t>Keita M.</t>
  </si>
  <si>
    <t>Lazzari</t>
  </si>
  <si>
    <t>Strefezza</t>
  </si>
  <si>
    <t>Pedraza</t>
  </si>
  <si>
    <t>Goncalves P.</t>
  </si>
  <si>
    <t>Vardy</t>
  </si>
  <si>
    <t>Bravo</t>
  </si>
  <si>
    <t>Ziolkowski</t>
  </si>
  <si>
    <t>Lorran</t>
  </si>
  <si>
    <t>Pisa</t>
  </si>
  <si>
    <t>Karlstrom</t>
  </si>
  <si>
    <t>Dumfries</t>
  </si>
  <si>
    <t>Ebosse</t>
  </si>
  <si>
    <t>Mazzitelli</t>
  </si>
  <si>
    <t>Moreo</t>
  </si>
  <si>
    <t>Banda</t>
  </si>
  <si>
    <t>Felici</t>
  </si>
  <si>
    <t>Baldanzi (GEN)</t>
  </si>
  <si>
    <t>Malinovskyi</t>
  </si>
  <si>
    <t>Calvani</t>
  </si>
  <si>
    <t>Orban G.</t>
  </si>
  <si>
    <t>Vazquez</t>
  </si>
  <si>
    <t>Frendrup</t>
  </si>
  <si>
    <t>Kaiki</t>
  </si>
  <si>
    <t>Okereke</t>
  </si>
  <si>
    <t>Iannoni</t>
  </si>
  <si>
    <t>Thuram K. (JUV)</t>
  </si>
  <si>
    <t>Monterisi</t>
  </si>
  <si>
    <t>Rinaldi</t>
  </si>
  <si>
    <t>Vermesan</t>
  </si>
  <si>
    <t>Thorsby</t>
  </si>
  <si>
    <t>Luis Henrique</t>
  </si>
  <si>
    <t>Birindelli</t>
  </si>
  <si>
    <t>Solomon</t>
  </si>
  <si>
    <t>Garcia U.</t>
  </si>
  <si>
    <t>Volpato (SAS)</t>
  </si>
  <si>
    <t>Comert</t>
  </si>
  <si>
    <t>Ekuban</t>
  </si>
  <si>
    <t>Palestra</t>
  </si>
  <si>
    <t>Brescianini</t>
  </si>
  <si>
    <t>Pavoletti</t>
  </si>
  <si>
    <t>Correia T.</t>
  </si>
  <si>
    <t>Hainaut</t>
  </si>
  <si>
    <t>Lookman</t>
  </si>
  <si>
    <t>Jones C.</t>
  </si>
  <si>
    <t>Moreno Alb.</t>
  </si>
  <si>
    <t>Posch</t>
  </si>
  <si>
    <t>Leysen F.</t>
  </si>
  <si>
    <t>David</t>
  </si>
  <si>
    <t>Kessiè</t>
  </si>
  <si>
    <t>El Shaarawy</t>
  </si>
  <si>
    <t>Patterson</t>
  </si>
  <si>
    <t>Athekame</t>
  </si>
  <si>
    <t>Odgaard (BOL)</t>
  </si>
  <si>
    <t>Cheddira</t>
  </si>
  <si>
    <t>Guendouzi</t>
  </si>
  <si>
    <t>Viery</t>
  </si>
  <si>
    <t>Benedyczak</t>
  </si>
  <si>
    <t>Fofana Y.</t>
  </si>
  <si>
    <t>Gosens</t>
  </si>
  <si>
    <t>Johnsen</t>
  </si>
  <si>
    <t>Arizala</t>
  </si>
  <si>
    <t>Vandeputte</t>
  </si>
  <si>
    <t>Harrison</t>
  </si>
  <si>
    <t>Gonzalez N.</t>
  </si>
  <si>
    <t>Gilmour</t>
  </si>
  <si>
    <t>Kuhn</t>
  </si>
  <si>
    <t>Rui Modesto</t>
  </si>
  <si>
    <t>Balerdi</t>
  </si>
  <si>
    <t>Pedro Felipe</t>
  </si>
  <si>
    <t>Cristante (ROM)</t>
  </si>
  <si>
    <t>Sottil</t>
  </si>
  <si>
    <t>Buksa</t>
  </si>
  <si>
    <t>Moreira</t>
  </si>
  <si>
    <t>Favasuli</t>
  </si>
  <si>
    <t>Serdar</t>
  </si>
  <si>
    <t>Miretti</t>
  </si>
  <si>
    <t>Leris</t>
  </si>
  <si>
    <t>Lucchesi</t>
  </si>
  <si>
    <t>Njie</t>
  </si>
  <si>
    <t>Gutierrez</t>
  </si>
  <si>
    <t>Bakola</t>
  </si>
  <si>
    <t>Cancellieri (LAZ)</t>
  </si>
  <si>
    <t>Dallinga</t>
  </si>
  <si>
    <t>Cuadrado</t>
  </si>
  <si>
    <t>Abankwah</t>
  </si>
  <si>
    <t>Baschirotto</t>
  </si>
  <si>
    <t>Matic</t>
  </si>
  <si>
    <t>Martin</t>
  </si>
  <si>
    <t>Maripan</t>
  </si>
  <si>
    <t>El Aynaoui</t>
  </si>
  <si>
    <t>Drameh</t>
  </si>
  <si>
    <t>Musah</t>
  </si>
  <si>
    <t>Piotrowski</t>
  </si>
  <si>
    <t>Halhal</t>
  </si>
  <si>
    <t>Mosquera</t>
  </si>
  <si>
    <t>Almqvist</t>
  </si>
  <si>
    <t>De Vrij</t>
  </si>
  <si>
    <t>Busio (VEN)</t>
  </si>
  <si>
    <t>Fabbian</t>
  </si>
  <si>
    <t>Folino</t>
  </si>
  <si>
    <t>Haps</t>
  </si>
  <si>
    <t>Freuler</t>
  </si>
  <si>
    <t>Dominguez B.</t>
  </si>
  <si>
    <t>Oristanio</t>
  </si>
  <si>
    <t>De Roon</t>
  </si>
  <si>
    <t>Bernede</t>
  </si>
  <si>
    <t>Lulli</t>
  </si>
  <si>
    <t>Tramoni M.</t>
  </si>
  <si>
    <t>Ilkhan</t>
  </si>
  <si>
    <t>Openda</t>
  </si>
  <si>
    <t>Pasalic (ATA)</t>
  </si>
  <si>
    <t>Durosinmi</t>
  </si>
  <si>
    <t>Djuric</t>
  </si>
  <si>
    <t>Darmian</t>
  </si>
  <si>
    <t>Mitaj</t>
  </si>
  <si>
    <t>Sala A.</t>
  </si>
  <si>
    <t>Zaragoza</t>
  </si>
  <si>
    <t>Zatterstrom</t>
  </si>
  <si>
    <t>Albarracin</t>
  </si>
  <si>
    <t>Carboni F.</t>
  </si>
  <si>
    <t>Pierret</t>
  </si>
  <si>
    <t>Ellertsson</t>
  </si>
  <si>
    <t>Kastanos</t>
  </si>
  <si>
    <t>Oyono A.</t>
  </si>
  <si>
    <t>Kouamè</t>
  </si>
  <si>
    <t>Lamptey</t>
  </si>
  <si>
    <t>Cremaschi</t>
  </si>
  <si>
    <t>Arena A.</t>
  </si>
  <si>
    <t>Isaac</t>
  </si>
  <si>
    <t>Mikolajewski</t>
  </si>
  <si>
    <t>Caqueret (COM)</t>
  </si>
  <si>
    <t>Schingtienne</t>
  </si>
  <si>
    <t>Zappa</t>
  </si>
  <si>
    <t>Pedersen</t>
  </si>
  <si>
    <t>Alajbegovic</t>
  </si>
  <si>
    <t>Sabelli</t>
  </si>
  <si>
    <t>Ehizibue</t>
  </si>
  <si>
    <t>Vecino</t>
  </si>
  <si>
    <t>Zhegrova</t>
  </si>
  <si>
    <t>Pisilli (ROM)</t>
  </si>
  <si>
    <t>Helland</t>
  </si>
  <si>
    <t>Sorensen O.</t>
  </si>
  <si>
    <t>Deiola</t>
  </si>
  <si>
    <t>Miller L.</t>
  </si>
  <si>
    <t>Angori</t>
  </si>
  <si>
    <t>Acerbi</t>
  </si>
  <si>
    <t>Circati</t>
  </si>
  <si>
    <t>Luperto</t>
  </si>
  <si>
    <t>Carboni A.</t>
  </si>
  <si>
    <t>Masini</t>
  </si>
  <si>
    <t>Lipani</t>
  </si>
  <si>
    <t>Sarmiento J.</t>
  </si>
  <si>
    <t>Muharemovic</t>
  </si>
  <si>
    <t>Casale</t>
  </si>
  <si>
    <t>Sanabria</t>
  </si>
  <si>
    <t>Adopo</t>
  </si>
  <si>
    <t>Prati</t>
  </si>
  <si>
    <t>Ilic</t>
  </si>
  <si>
    <t>Pierini</t>
  </si>
  <si>
    <t>Cittadini</t>
  </si>
  <si>
    <t>Barbieri</t>
  </si>
  <si>
    <t>Dia</t>
  </si>
  <si>
    <t>Payero</t>
  </si>
  <si>
    <t>Venturino</t>
  </si>
  <si>
    <t>Ramadani</t>
  </si>
  <si>
    <t>Kambwala</t>
  </si>
  <si>
    <t>Harroui</t>
  </si>
  <si>
    <t>Frese</t>
  </si>
  <si>
    <t>Bradaric</t>
  </si>
  <si>
    <t>Ferguson</t>
  </si>
  <si>
    <t>Gagliardini</t>
  </si>
  <si>
    <t>Kofler</t>
  </si>
  <si>
    <t>Meister</t>
  </si>
  <si>
    <t>Iling Junior</t>
  </si>
  <si>
    <t>Marin R.</t>
  </si>
  <si>
    <t>Centrale / Esterno alto</t>
  </si>
  <si>
    <t>Tourè I.</t>
  </si>
  <si>
    <t>Belahyane</t>
  </si>
  <si>
    <t>Gineitis</t>
  </si>
  <si>
    <t>Odenthal</t>
  </si>
  <si>
    <t>Ordonez C.</t>
  </si>
  <si>
    <t>Nkounkou</t>
  </si>
  <si>
    <t>Aebischer</t>
  </si>
  <si>
    <t>Djimsiti</t>
  </si>
  <si>
    <t>Akinsanmiro</t>
  </si>
  <si>
    <t>Estevez</t>
  </si>
  <si>
    <t>Akpa Akpro</t>
  </si>
  <si>
    <t>Tchato</t>
  </si>
  <si>
    <t>Luvumbo</t>
  </si>
  <si>
    <t>Collocolo</t>
  </si>
  <si>
    <t>Zerbin</t>
  </si>
  <si>
    <t>Jashari</t>
  </si>
  <si>
    <t>Terzic</t>
  </si>
  <si>
    <t>Sulemana I.</t>
  </si>
  <si>
    <t>Caracciolo A.</t>
  </si>
  <si>
    <t>Zemura</t>
  </si>
  <si>
    <t>Bondo</t>
  </si>
  <si>
    <t>Fullkrug</t>
  </si>
  <si>
    <t>Lovric</t>
  </si>
  <si>
    <t>Slotsager</t>
  </si>
  <si>
    <t>Liteta</t>
  </si>
  <si>
    <t>Balbo</t>
  </si>
  <si>
    <t>Biraghi</t>
  </si>
  <si>
    <t>Braschi</t>
  </si>
  <si>
    <t>Onana J.</t>
  </si>
  <si>
    <t>Edmundsson</t>
  </si>
  <si>
    <t>Sergi Roberto</t>
  </si>
  <si>
    <t>Kaba</t>
  </si>
  <si>
    <t>Milla</t>
  </si>
  <si>
    <t>Loyola</t>
  </si>
  <si>
    <t>Canestrelli</t>
  </si>
  <si>
    <t>Niasse</t>
  </si>
  <si>
    <t>Anjorin</t>
  </si>
  <si>
    <t>Maleh</t>
  </si>
  <si>
    <t>Lazaro</t>
  </si>
  <si>
    <t>Grassi</t>
  </si>
  <si>
    <t>In dubbio / da valutare - Nuovo - presenze finora: 2/2</t>
  </si>
  <si>
    <t>Piccinini G.</t>
  </si>
  <si>
    <t>Marin M.</t>
  </si>
  <si>
    <t>Zarraga</t>
  </si>
  <si>
    <t>Oyegoke</t>
  </si>
  <si>
    <t>Jean</t>
  </si>
  <si>
    <t>Romagna</t>
  </si>
  <si>
    <t>Bailey</t>
  </si>
  <si>
    <t>Bianchetti</t>
  </si>
  <si>
    <t>Ahanor</t>
  </si>
  <si>
    <t>Tsimikas</t>
  </si>
  <si>
    <t>Albiol</t>
  </si>
  <si>
    <t>Dossena</t>
  </si>
  <si>
    <t>Amorim</t>
  </si>
  <si>
    <t>Angelino</t>
  </si>
  <si>
    <t>Hernani</t>
  </si>
  <si>
    <t>Mateus Lusuardi</t>
  </si>
  <si>
    <t>Akpoguma</t>
  </si>
  <si>
    <t>Mlacic</t>
  </si>
  <si>
    <t>Ngom</t>
  </si>
  <si>
    <t>Sarr A.</t>
  </si>
  <si>
    <t>Alhassane</t>
  </si>
  <si>
    <t>Coulibaly W.</t>
  </si>
  <si>
    <t>Vural</t>
  </si>
  <si>
    <t>Aboukhlal</t>
  </si>
  <si>
    <t>Faye</t>
  </si>
  <si>
    <t>Ondrejka</t>
  </si>
  <si>
    <t>Sohm</t>
  </si>
  <si>
    <t>Helgason</t>
  </si>
  <si>
    <t>Masina</t>
  </si>
  <si>
    <t>Carboni V.</t>
  </si>
  <si>
    <t>Suslov</t>
  </si>
  <si>
    <t>Moumbagna</t>
  </si>
  <si>
    <t>Lirola</t>
  </si>
  <si>
    <t>Tameze</t>
  </si>
  <si>
    <t>Goglichidze</t>
  </si>
  <si>
    <t>Unai Nunez</t>
  </si>
  <si>
    <t>Calabresi</t>
  </si>
  <si>
    <t>Valentini N.</t>
  </si>
  <si>
    <t>Stojilkovic</t>
  </si>
  <si>
    <t>Lovik</t>
  </si>
  <si>
    <t>Nelsson</t>
  </si>
  <si>
    <t>Tete Morente</t>
  </si>
  <si>
    <t>Vranckx</t>
  </si>
  <si>
    <t>Al-Musrati</t>
  </si>
  <si>
    <t>Bonfanti</t>
  </si>
  <si>
    <t>Lykogiannis</t>
  </si>
  <si>
    <t>Dzeko</t>
  </si>
  <si>
    <t>Esterno basso / Mediano</t>
  </si>
  <si>
    <t>Rugani</t>
  </si>
  <si>
    <t>Aurelio</t>
  </si>
  <si>
    <t>Pezzella Giu.</t>
  </si>
  <si>
    <t>Koopmeiners</t>
  </si>
  <si>
    <t>Gimenez</t>
  </si>
  <si>
    <t>Hojholt</t>
  </si>
  <si>
    <t>Ndaba</t>
  </si>
  <si>
    <t>Ceccherini</t>
  </si>
  <si>
    <t>Immobile</t>
  </si>
  <si>
    <t>Moro L.</t>
  </si>
  <si>
    <t>CONTROLLO ABBINAMENTO PORTIERI (si aggiorna con i portieri scelti sopra)</t>
  </si>
  <si>
    <t>Kouassi</t>
  </si>
  <si>
    <t>Coppia</t>
  </si>
  <si>
    <t>Portiere 1 + Portiere 2</t>
  </si>
  <si>
    <t>Hysaj</t>
  </si>
  <si>
    <t>Fofana Sa.</t>
  </si>
  <si>
    <t>Di Pardo</t>
  </si>
  <si>
    <t>Richardson</t>
  </si>
  <si>
    <t>Ndiaye</t>
  </si>
  <si>
    <t>Sabiri</t>
  </si>
  <si>
    <t>Chukwueze</t>
  </si>
  <si>
    <t>Fini</t>
  </si>
  <si>
    <t>Gorter</t>
  </si>
  <si>
    <t>Portiere 1 + Portiere 3</t>
  </si>
  <si>
    <t>Stengs</t>
  </si>
  <si>
    <t>Ambrosino</t>
  </si>
  <si>
    <t>Portiere 2 + Portiere 3</t>
  </si>
  <si>
    <t>Bakoune</t>
  </si>
  <si>
    <t>Compila solo le celle gialle: colonna C (giocatore, menu a tendina) e colonna H (prezzo pagato). Tutto il resto e calcolato. La colonna 'Crediti residui' parte dal budget del foglio Guida (500) e scala riga per riga. Esempio di riga compilata: Portiere 1 = 'Svilar (ROM)', prezzo pagato = 22. Un nome evidenziato in arancione e stato inserito due volte.</t>
  </si>
  <si>
    <t>Otoa</t>
  </si>
  <si>
    <t>Di Gregorio</t>
  </si>
  <si>
    <t>Viti</t>
  </si>
  <si>
    <t>Marì</t>
  </si>
  <si>
    <t>Cinquegrano</t>
  </si>
  <si>
    <t>Asllani</t>
  </si>
  <si>
    <t>Gronbaek</t>
  </si>
  <si>
    <t>Denoon</t>
  </si>
  <si>
    <t>Morata</t>
  </si>
  <si>
    <t>Diawara S.</t>
  </si>
  <si>
    <t>Cham</t>
  </si>
  <si>
    <t>Perin</t>
  </si>
  <si>
    <t>Bozhinov</t>
  </si>
  <si>
    <t>Sagrado</t>
  </si>
  <si>
    <t>Sommer</t>
  </si>
  <si>
    <t>Furlanetto</t>
  </si>
  <si>
    <t>Perez M.</t>
  </si>
  <si>
    <t>Dembelè A.</t>
  </si>
  <si>
    <t>Audero</t>
  </si>
  <si>
    <t>Coppola F.</t>
  </si>
  <si>
    <t>Leali</t>
  </si>
  <si>
    <t>Suzuki</t>
  </si>
  <si>
    <t>Puczka</t>
  </si>
  <si>
    <t>Stanciu</t>
  </si>
  <si>
    <t>Silvestri</t>
  </si>
  <si>
    <t>Cornet</t>
  </si>
  <si>
    <t>Semper</t>
  </si>
  <si>
    <t>Ravaglia F.</t>
  </si>
  <si>
    <t>Scuffet</t>
  </si>
  <si>
    <t>Israel</t>
  </si>
  <si>
    <t>Antov</t>
  </si>
  <si>
    <t>Perilli</t>
  </si>
  <si>
    <t>Nicolas</t>
  </si>
  <si>
    <t>Sava</t>
  </si>
  <si>
    <t>Rossi F.</t>
  </si>
  <si>
    <t>Ciocci</t>
  </si>
  <si>
    <t>Goldaniga</t>
  </si>
  <si>
    <t>Braunoder</t>
  </si>
  <si>
    <t>Azon</t>
  </si>
  <si>
    <t>Siegrist</t>
  </si>
  <si>
    <t>Vogliacco</t>
  </si>
  <si>
    <t>Douglas Luiz</t>
  </si>
  <si>
    <t>Fruchtl</t>
  </si>
  <si>
    <t>Samooja</t>
  </si>
  <si>
    <t>Amey</t>
  </si>
  <si>
    <t>Missori</t>
  </si>
  <si>
    <t>Przyborek</t>
  </si>
  <si>
    <t>Raterink</t>
  </si>
  <si>
    <t>Drobnic</t>
  </si>
  <si>
    <t>Lahdo</t>
  </si>
  <si>
    <t>Liberali</t>
  </si>
  <si>
    <t>Chiave</t>
  </si>
  <si>
    <t>Foglio</t>
  </si>
  <si>
    <t>Riga</t>
  </si>
  <si>
    <t>Nome</t>
  </si>
  <si>
    <t>Cod</t>
  </si>
  <si>
    <t>Balogh</t>
  </si>
  <si>
    <t>Salah-Eddine</t>
  </si>
  <si>
    <t>PG</t>
  </si>
  <si>
    <t>FM</t>
  </si>
  <si>
    <t>Miglior abbinamento</t>
  </si>
  <si>
    <t>Nota</t>
  </si>
  <si>
    <t>RankFVM</t>
  </si>
  <si>
    <t>Lista Portiere</t>
  </si>
  <si>
    <t>Lista Difensore</t>
  </si>
  <si>
    <t>Lista Centrocampista</t>
  </si>
  <si>
    <t>Lista Attaccante</t>
  </si>
  <si>
    <t>ROM</t>
  </si>
  <si>
    <t>Gomes</t>
  </si>
  <si>
    <t>JUV</t>
  </si>
  <si>
    <t>Maye</t>
  </si>
  <si>
    <t>INT</t>
  </si>
  <si>
    <t>ATA</t>
  </si>
  <si>
    <t>Omar Fayed</t>
  </si>
  <si>
    <t>Thuram (INT)</t>
  </si>
  <si>
    <t>MIL</t>
  </si>
  <si>
    <t>Solet (UDI)</t>
  </si>
  <si>
    <t>COM</t>
  </si>
  <si>
    <t>De Bruyne (NAP)</t>
  </si>
  <si>
    <t>NAP</t>
  </si>
  <si>
    <t>Rabiot (MIL)</t>
  </si>
  <si>
    <t>LAZ</t>
  </si>
  <si>
    <t>Da Cunha (COM)</t>
  </si>
  <si>
    <t>Davis K. (UDI)</t>
  </si>
  <si>
    <t>BOL</t>
  </si>
  <si>
    <t>Bisseck (INT)</t>
  </si>
  <si>
    <t>Baturina (COM)</t>
  </si>
  <si>
    <t>FIO</t>
  </si>
  <si>
    <t>Romano</t>
  </si>
  <si>
    <t>Kean (COM)</t>
  </si>
  <si>
    <t>TOR</t>
  </si>
  <si>
    <t>Kalulu (JUV)</t>
  </si>
  <si>
    <t>Zaniolo (UDI)</t>
  </si>
  <si>
    <t>Krstovic (ATA)</t>
  </si>
  <si>
    <t>Okoye (UDI)</t>
  </si>
  <si>
    <t>UDI</t>
  </si>
  <si>
    <t>Sanchez Ro. (COM)</t>
  </si>
  <si>
    <t>Mbangula</t>
  </si>
  <si>
    <t>LEC</t>
  </si>
  <si>
    <t>CAG</t>
  </si>
  <si>
    <t>Spinazzola (NAP)</t>
  </si>
  <si>
    <t>Barella (INT)</t>
  </si>
  <si>
    <t>Bijlow (GEN)</t>
  </si>
  <si>
    <t>GEN</t>
  </si>
  <si>
    <t>Esposito F.P. (INT)</t>
  </si>
  <si>
    <t>SAS</t>
  </si>
  <si>
    <t>Colpani</t>
  </si>
  <si>
    <t>FRO</t>
  </si>
  <si>
    <t>Conceicao (JUV)</t>
  </si>
  <si>
    <t>VEN</t>
  </si>
  <si>
    <t>Molina N. (ROM)</t>
  </si>
  <si>
    <t>Ekkelenkamp (UDI)</t>
  </si>
  <si>
    <t>Colombo (GEN)</t>
  </si>
  <si>
    <t>Tornqvist (MON)</t>
  </si>
  <si>
    <t>MON</t>
  </si>
  <si>
    <t>Bernardeschi (BOL)</t>
  </si>
  <si>
    <t>Esposito Se. (SAS)</t>
  </si>
  <si>
    <t>Castro S. (ROM)</t>
  </si>
  <si>
    <t>PAR</t>
  </si>
  <si>
    <t>Ramon (COM)</t>
  </si>
  <si>
    <t>Soulè (ROM)</t>
  </si>
  <si>
    <t>Zappacosta (ATA)</t>
  </si>
  <si>
    <t>Rowe (ATA)</t>
  </si>
  <si>
    <t>Thiam (MON)</t>
  </si>
  <si>
    <t>Bonny (INT)</t>
  </si>
  <si>
    <t>Provedel (INT)</t>
  </si>
  <si>
    <t>Valle (COM)</t>
  </si>
  <si>
    <t>Ederson D.S. (ATA)</t>
  </si>
  <si>
    <t>Santos A. (NAP)</t>
  </si>
  <si>
    <t>Christensen O. (FIO)</t>
  </si>
  <si>
    <t>Hutchinson</t>
  </si>
  <si>
    <t>Adams C. (TOR)</t>
  </si>
  <si>
    <t>Terracciano (MIL)</t>
  </si>
  <si>
    <t>Vojvoda (UDI)</t>
  </si>
  <si>
    <t>Zambo Anguissa (NAP)</t>
  </si>
  <si>
    <t>Pessina Mas. (BOL)</t>
  </si>
  <si>
    <t>Bleve (LEC)</t>
  </si>
  <si>
    <t>Sarr P.</t>
  </si>
  <si>
    <t>Contini (NAP)</t>
  </si>
  <si>
    <t>Diego Carlos (PAR)</t>
  </si>
  <si>
    <t>De Marzi (ROM)</t>
  </si>
  <si>
    <t>Desplanches (FRO)</t>
  </si>
  <si>
    <t>Neres (NAP)</t>
  </si>
  <si>
    <t>Ghidotti (PAR)</t>
  </si>
  <si>
    <t>Cacciamani</t>
  </si>
  <si>
    <t>Gollini (ROM)</t>
  </si>
  <si>
    <t>Bartesaghi (MIL)</t>
  </si>
  <si>
    <t>Perrone (COM)</t>
  </si>
  <si>
    <t>Boga (JUV)</t>
  </si>
  <si>
    <t>Grabara (JUV)</t>
  </si>
  <si>
    <t>Kabasele (UDI)</t>
  </si>
  <si>
    <t>Mandragora (TOR)</t>
  </si>
  <si>
    <t>Borrelli (CAG)</t>
  </si>
  <si>
    <t>Grandi (VEN)</t>
  </si>
  <si>
    <t>Cissè A.</t>
  </si>
  <si>
    <t>Isaksen (LAZ)</t>
  </si>
  <si>
    <t>Giovane (NAP)</t>
  </si>
  <si>
    <t>Happonen (BOL)</t>
  </si>
  <si>
    <t>Delprato (PAR)</t>
  </si>
  <si>
    <t>Gudmundsson A. (LAZ)</t>
  </si>
  <si>
    <t>Bowie (SAS)</t>
  </si>
  <si>
    <t>Lezzerini (FIO)</t>
  </si>
  <si>
    <t>Diao (COM)</t>
  </si>
  <si>
    <t>Lolic (FRO)</t>
  </si>
  <si>
    <t>Piccoli (BOL)</t>
  </si>
  <si>
    <t>Mrozek (UDI)</t>
  </si>
  <si>
    <t>Norton-Cuffy (GEN)</t>
  </si>
  <si>
    <t>Frattesi (LAZ)</t>
  </si>
  <si>
    <t>Penev (LEC)</t>
  </si>
  <si>
    <t>Piana (UDI)</t>
  </si>
  <si>
    <t>Pinsoglio (JUV)</t>
  </si>
  <si>
    <t>Monteiro J.</t>
  </si>
  <si>
    <t>Obrador (SAS)</t>
  </si>
  <si>
    <t>Casadei (TOR)</t>
  </si>
  <si>
    <t>Nzola (CAG)</t>
  </si>
  <si>
    <t>Pisseri (FRO)</t>
  </si>
  <si>
    <t>Pozzi (VEN)</t>
  </si>
  <si>
    <t>Radunovic (CAG)</t>
  </si>
  <si>
    <t>Renzetti (LAZ)</t>
  </si>
  <si>
    <t>Unai Gomez</t>
  </si>
  <si>
    <t>Zanoli (UDI)</t>
  </si>
  <si>
    <t>Cambiaghi (BOL)</t>
  </si>
  <si>
    <t>Russo A. (SAS)</t>
  </si>
  <si>
    <t>Romagnoli (LAZ)</t>
  </si>
  <si>
    <t>Adams A. (VEN)</t>
  </si>
  <si>
    <t>Satalino (SAS)</t>
  </si>
  <si>
    <t>Sherri (CAG)</t>
  </si>
  <si>
    <t>Lang (NAP)</t>
  </si>
  <si>
    <t>Siviero (TOR)</t>
  </si>
  <si>
    <t>Stolz (GEN)</t>
  </si>
  <si>
    <t>Gallo (LEC)</t>
  </si>
  <si>
    <t>Kulenovic (TOR)</t>
  </si>
  <si>
    <t>Strajnar (MON)</t>
  </si>
  <si>
    <t>Tavares N. (LAZ)</t>
  </si>
  <si>
    <t>Zalewski (ATA)</t>
  </si>
  <si>
    <t>Elphege (PAR)</t>
  </si>
  <si>
    <t>Torriani (MIL)</t>
  </si>
  <si>
    <t>Lucumì (JUV)</t>
  </si>
  <si>
    <t>Vigorito (COM)</t>
  </si>
  <si>
    <t>Di Gennaro (INT)</t>
  </si>
  <si>
    <t>Mendy P. (CAG)</t>
  </si>
  <si>
    <t>Padelli (UDI)</t>
  </si>
  <si>
    <t>Perez K.</t>
  </si>
  <si>
    <t>Gatti (JUV)</t>
  </si>
  <si>
    <t>Basic (VEN)</t>
  </si>
  <si>
    <t>Ngonge (MON)</t>
  </si>
  <si>
    <t>Sportiello (ATA)</t>
  </si>
  <si>
    <t>Beto (FIO)</t>
  </si>
  <si>
    <t>Montipò (VEN)</t>
  </si>
  <si>
    <t>Yeboah J. (VEN)</t>
  </si>
  <si>
    <t>Motta (LAZ)</t>
  </si>
  <si>
    <t>Ismajli (TOR)</t>
  </si>
  <si>
    <t>Loftus-Cheek (MIL)</t>
  </si>
  <si>
    <t>Romero D. (PAR)</t>
  </si>
  <si>
    <t>Paleari (TOR)</t>
  </si>
  <si>
    <t>Gabbia (MIL)</t>
  </si>
  <si>
    <t>Sucic P. (INT)</t>
  </si>
  <si>
    <t>Ghedjemis (FRO)</t>
  </si>
  <si>
    <t>Sommariva (GEN)</t>
  </si>
  <si>
    <t>Kossounou (ATA)</t>
  </si>
  <si>
    <t>Coulibaly L. (LEC)</t>
  </si>
  <si>
    <t>Adorante (VEN)</t>
  </si>
  <si>
    <t>Turati (SAS)</t>
  </si>
  <si>
    <t>Marcandalli (GEN)</t>
  </si>
  <si>
    <t>Diouf (INT)</t>
  </si>
  <si>
    <t>Lucca (NAP)</t>
  </si>
  <si>
    <t>Obert (CAG)</t>
  </si>
  <si>
    <t>Fagioli (FIO)</t>
  </si>
  <si>
    <t>Gueye (UDI)</t>
  </si>
  <si>
    <t>Kamara H. (UDI)</t>
  </si>
  <si>
    <t>Messias (GEN)</t>
  </si>
  <si>
    <t>Camarda (MIL)</t>
  </si>
  <si>
    <t>Braganca</t>
  </si>
  <si>
    <t>Bellanova (ATA)</t>
  </si>
  <si>
    <t>Mastantuono (FIO)</t>
  </si>
  <si>
    <t>Vaz (ROM)</t>
  </si>
  <si>
    <t>Heggem (BOL)</t>
  </si>
  <si>
    <t>Folorunsho (MON)</t>
  </si>
  <si>
    <t>Osmajic (GEN)</t>
  </si>
  <si>
    <t>Ghilardi (ROM)</t>
  </si>
  <si>
    <t>Schmid (FRO)</t>
  </si>
  <si>
    <t>Raimondo (FRO)</t>
  </si>
  <si>
    <t>Hien (ATA)</t>
  </si>
  <si>
    <t>Pierotti (LEC)</t>
  </si>
  <si>
    <t>Ratkov (LAZ)</t>
  </si>
  <si>
    <t>Provstgaard (LAZ)</t>
  </si>
  <si>
    <t>Lobotka (NAP)</t>
  </si>
  <si>
    <t>Gnonto (FIO)</t>
  </si>
  <si>
    <t>Chalobah T. (COM)</t>
  </si>
  <si>
    <t>Nicolussi Caviglia (PAR)</t>
  </si>
  <si>
    <t>Kvernadze (FRO)</t>
  </si>
  <si>
    <t>Tomori (MIL)</t>
  </si>
  <si>
    <t>Ndour (FIO)</t>
  </si>
  <si>
    <t>Bayo V. (UDI)</t>
  </si>
  <si>
    <t>Bertola (UDI)</t>
  </si>
  <si>
    <t>Vergara (NAP)</t>
  </si>
  <si>
    <t>Mota (MON)</t>
  </si>
  <si>
    <t>Smolcic I. (COM)</t>
  </si>
  <si>
    <t>Ricci S. (COM)</t>
  </si>
  <si>
    <t>Zeballos (MON)</t>
  </si>
  <si>
    <t>Valenti (PAR)</t>
  </si>
  <si>
    <t>Gandelman (LEC)</t>
  </si>
  <si>
    <t>Milik (JUV)</t>
  </si>
  <si>
    <t>Joao Mario (FIO)</t>
  </si>
  <si>
    <t>Fazzini (CAG)</t>
  </si>
  <si>
    <t>Fatah (LEC)</t>
  </si>
  <si>
    <t>Comuzzo (TOR)</t>
  </si>
  <si>
    <t>Moro N. (BOL)</t>
  </si>
  <si>
    <t>Rrahmani Al. (VEN)</t>
  </si>
  <si>
    <t>Ranieri L. (FIO)</t>
  </si>
  <si>
    <t>Fadera (CAG)</t>
  </si>
  <si>
    <t>Birligea (FRO)</t>
  </si>
  <si>
    <t>Idrissi R. (CAG)</t>
  </si>
  <si>
    <t>Pobega (BOL)</t>
  </si>
  <si>
    <t>Lontani (PAR)</t>
  </si>
  <si>
    <t>Fitz-Jim</t>
  </si>
  <si>
    <t>Cabal (JUV)</t>
  </si>
  <si>
    <t>Elmas (ATA)</t>
  </si>
  <si>
    <t>Mutandwa (CAG)</t>
  </si>
  <si>
    <t>Van Der Brempt (SAS)</t>
  </si>
  <si>
    <t>Keita M. (PAR)</t>
  </si>
  <si>
    <t>Frigan (PAR)</t>
  </si>
  <si>
    <t>Kolasinac (ATA)</t>
  </si>
  <si>
    <t>Goncalves P. (FIO)</t>
  </si>
  <si>
    <t>Havel (GEN)</t>
  </si>
  <si>
    <t>Oulai</t>
  </si>
  <si>
    <t>Doig (SAS)</t>
  </si>
  <si>
    <t>Karlstrom (UDI)</t>
  </si>
  <si>
    <t>Robinson J. (MON)</t>
  </si>
  <si>
    <t>Vitik (BOL)</t>
  </si>
  <si>
    <t>Frendrup (GEN)</t>
  </si>
  <si>
    <t>Trepy (CAG)</t>
  </si>
  <si>
    <t>Fortini (TOR)</t>
  </si>
  <si>
    <t>Luis Henrique (INT)</t>
  </si>
  <si>
    <t>Robinho Junior (GEN)</t>
  </si>
  <si>
    <t>Pellegrini Lu. (LAZ)</t>
  </si>
  <si>
    <t>Brescianini (FIO)</t>
  </si>
  <si>
    <t>De Martis (PAR)</t>
  </si>
  <si>
    <t>Troilo (PAR)</t>
  </si>
  <si>
    <t>Jones C. (INT)</t>
  </si>
  <si>
    <t>Lauberbach (VEN)</t>
  </si>
  <si>
    <t>Couto (COM)</t>
  </si>
  <si>
    <t>Kessiè (ATA)</t>
  </si>
  <si>
    <t>Lisman (VEN)</t>
  </si>
  <si>
    <t>Stones (INT)</t>
  </si>
  <si>
    <t>Fofana Y. (MIL)</t>
  </si>
  <si>
    <t>Walukiewicz (SAS)</t>
  </si>
  <si>
    <t>Gonzalez N. (JUV)</t>
  </si>
  <si>
    <t>Siebert (LEC)</t>
  </si>
  <si>
    <t>Moreira (MIL)</t>
  </si>
  <si>
    <t>Terracciano F. (MIL)</t>
  </si>
  <si>
    <t>Njie (FIO)</t>
  </si>
  <si>
    <t>Bella-Kotchap (VEN)</t>
  </si>
  <si>
    <t>Matic (SAS)</t>
  </si>
  <si>
    <t>Sow</t>
  </si>
  <si>
    <t>Veiga D. (LEC)</t>
  </si>
  <si>
    <t>Piotrowski (UDI)</t>
  </si>
  <si>
    <t>Olivera (NAP)</t>
  </si>
  <si>
    <t>Oristanio (TOR)</t>
  </si>
  <si>
    <t>Winks</t>
  </si>
  <si>
    <t>Zè Pedro (CAG)</t>
  </si>
  <si>
    <t>Ellertsson (GEN)</t>
  </si>
  <si>
    <t>Rodriguez Ju. (CAG)</t>
  </si>
  <si>
    <t>Alajbegovic (JUV)</t>
  </si>
  <si>
    <t>Britschgi (PAR)</t>
  </si>
  <si>
    <t>Addai (COM)</t>
  </si>
  <si>
    <t>Floriani Mussolini (LAZ)</t>
  </si>
  <si>
    <t>De Roon (ROM)</t>
  </si>
  <si>
    <t>Estupinan (MIL)</t>
  </si>
  <si>
    <t>Rovella (LAZ)</t>
  </si>
  <si>
    <t>Dragusin (FIO)</t>
  </si>
  <si>
    <t>Ferguson (BOL)</t>
  </si>
  <si>
    <t>Theate (BOL)</t>
  </si>
  <si>
    <t>Musah (MIL)</t>
  </si>
  <si>
    <t>Mazzocchi (VEN)</t>
  </si>
  <si>
    <t>Gineitis (TOR)</t>
  </si>
  <si>
    <t>Gaspar K. (LEC)</t>
  </si>
  <si>
    <t>Fabbian (PAR)</t>
  </si>
  <si>
    <t>Cichella</t>
  </si>
  <si>
    <t>Sutalo J. (LAZ)</t>
  </si>
  <si>
    <t>Milla (COM)</t>
  </si>
  <si>
    <t>Pongracic (FIO)</t>
  </si>
  <si>
    <t>Adzic (SAS)</t>
  </si>
  <si>
    <t>Badiashile (NAP)</t>
  </si>
  <si>
    <t>Adopo (CAG)</t>
  </si>
  <si>
    <t>Diallo O.</t>
  </si>
  <si>
    <t>Jimenez A. (FIO)</t>
  </si>
  <si>
    <t>Felici (CAG)</t>
  </si>
  <si>
    <t>Pavard (INT)</t>
  </si>
  <si>
    <t>Gilmour (NAP)</t>
  </si>
  <si>
    <t>Doekhi (LAZ)</t>
  </si>
  <si>
    <t>Tourè I. (MON)</t>
  </si>
  <si>
    <t>Valdepenas (FIO)</t>
  </si>
  <si>
    <t>Miller L. (UDI)</t>
  </si>
  <si>
    <t>Juan Jesus (VEN)</t>
  </si>
  <si>
    <t>Zhegrova (JUV)</t>
  </si>
  <si>
    <t>Massolin</t>
  </si>
  <si>
    <t>Kouadio (MON)</t>
  </si>
  <si>
    <t>Dele-Bashiru (LAZ)</t>
  </si>
  <si>
    <t>De Silvestri (BOL)</t>
  </si>
  <si>
    <t>Deiola (CAG)</t>
  </si>
  <si>
    <t>Bracaglia (FRO)</t>
  </si>
  <si>
    <t>Zerbin (FRO)</t>
  </si>
  <si>
    <t>Caleta-Car (SAS)</t>
  </si>
  <si>
    <t>Gagliardini (CAG)</t>
  </si>
  <si>
    <t>Mout</t>
  </si>
  <si>
    <t>Koulierakis (ROM)</t>
  </si>
  <si>
    <t>Ilkhan (TOR)</t>
  </si>
  <si>
    <t>Mangas (MON)</t>
  </si>
  <si>
    <t>Masini (FRO)</t>
  </si>
  <si>
    <t>Sugawara (CAG)</t>
  </si>
  <si>
    <t>Dominguez B. (SAS)</t>
  </si>
  <si>
    <t>Lazzari (LAZ)</t>
  </si>
  <si>
    <t>Akinsanmiro (MON)</t>
  </si>
  <si>
    <t>Pedraza (LAZ)</t>
  </si>
  <si>
    <t>Romano (CAG)</t>
  </si>
  <si>
    <t>Ziolkowski (MON)</t>
  </si>
  <si>
    <t>Mbangula (BOL)</t>
  </si>
  <si>
    <t>Ebosse (UDI)</t>
  </si>
  <si>
    <t>Colpani (MON)</t>
  </si>
  <si>
    <t>Calvani (FRO)</t>
  </si>
  <si>
    <t>Ordonez C. (PAR)</t>
  </si>
  <si>
    <t>Koutsoupias</t>
  </si>
  <si>
    <t>Kaiki (COM)</t>
  </si>
  <si>
    <t>Lipani (SAS)</t>
  </si>
  <si>
    <t>Monterisi (FRO)</t>
  </si>
  <si>
    <t>Hutchinson (MIL)</t>
  </si>
  <si>
    <t>Meichtry</t>
  </si>
  <si>
    <t>Birindelli (MON)</t>
  </si>
  <si>
    <t>Sarr P. (JUV)</t>
  </si>
  <si>
    <t>Comert (TOR)</t>
  </si>
  <si>
    <t>Cacciamani (TOR)</t>
  </si>
  <si>
    <t>Correia T. (VEN)</t>
  </si>
  <si>
    <t>Cissè A. (MIL)</t>
  </si>
  <si>
    <t>Traorè Hj.</t>
  </si>
  <si>
    <t>Hainaut (VEN)</t>
  </si>
  <si>
    <t>Almqvist (PAR)</t>
  </si>
  <si>
    <t>Leysen F. (SAS)</t>
  </si>
  <si>
    <t>Monteiro J. (LEC)</t>
  </si>
  <si>
    <t>Patterson (TOR)</t>
  </si>
  <si>
    <t>Unai Gomez (UDI)</t>
  </si>
  <si>
    <t>Viery (FIO)</t>
  </si>
  <si>
    <t>Chukwueze (MIL)</t>
  </si>
  <si>
    <t>Arizala (UDI)</t>
  </si>
  <si>
    <t>Douglas Luiz (JUV)</t>
  </si>
  <si>
    <t>Balerdi (ROM)</t>
  </si>
  <si>
    <t>Perez K. (VEN)</t>
  </si>
  <si>
    <t>Amondarain</t>
  </si>
  <si>
    <t>Favasuli (NAP)</t>
  </si>
  <si>
    <t>Jashari (MIL)</t>
  </si>
  <si>
    <t>Lucchesi (MON)</t>
  </si>
  <si>
    <t>Liberali (COM)</t>
  </si>
  <si>
    <t>Infortunato - Nuovo - presenze finora: 1/2</t>
  </si>
  <si>
    <t>Palma (UDI)</t>
  </si>
  <si>
    <t>Braganca (TOR)</t>
  </si>
  <si>
    <t>Abankwah (UDI)</t>
  </si>
  <si>
    <t>Sulemana I. (SAS)</t>
  </si>
  <si>
    <t>Grillitsch</t>
  </si>
  <si>
    <t>Drameh (GEN)</t>
  </si>
  <si>
    <t>Bakola (SAS)</t>
  </si>
  <si>
    <t>Halhal (VEN)</t>
  </si>
  <si>
    <t>Sohm (VEN)</t>
  </si>
  <si>
    <t>Haps (VEN)</t>
  </si>
  <si>
    <t>Maleh (LEC)</t>
  </si>
  <si>
    <t>Lulli (ROM)</t>
  </si>
  <si>
    <t>Fitz-Jim (TOR)</t>
  </si>
  <si>
    <t>Mitaj (GEN)</t>
  </si>
  <si>
    <t>Oulai (FIO)</t>
  </si>
  <si>
    <t>Oyono A. (FRO)</t>
  </si>
  <si>
    <t>Koopmeiners (JUV)</t>
  </si>
  <si>
    <t>Schingtienne (VEN)</t>
  </si>
  <si>
    <t>Ilic (LEC)</t>
  </si>
  <si>
    <t>Sabelli (GEN)</t>
  </si>
  <si>
    <t>Ngom (LEC)</t>
  </si>
  <si>
    <t>Helland (BOL)</t>
  </si>
  <si>
    <t>Sow (GEN)</t>
  </si>
  <si>
    <t>Fernandez T.</t>
  </si>
  <si>
    <t>Marianucci (NAP)</t>
  </si>
  <si>
    <t>Winks (CAG)</t>
  </si>
  <si>
    <t>Carboni A. (MON)</t>
  </si>
  <si>
    <t>Amorim (GEN)</t>
  </si>
  <si>
    <t>Stankovic A.</t>
  </si>
  <si>
    <t>Casale (BOL)</t>
  </si>
  <si>
    <t>Fini (FRO)</t>
  </si>
  <si>
    <t>Cittadini (FRO)</t>
  </si>
  <si>
    <t>Cichella (FRO)</t>
  </si>
  <si>
    <t>Kambwala (COM)</t>
  </si>
  <si>
    <t>Diallo O. (PAR)</t>
  </si>
  <si>
    <t>Kofler (CAG)</t>
  </si>
  <si>
    <t>Gorter (LEC)</t>
  </si>
  <si>
    <t>Infortunato - Nuovo - presenze finora: 0/2</t>
  </si>
  <si>
    <t>Marin R. (NAP)</t>
  </si>
  <si>
    <t>Massolin (CAG)</t>
  </si>
  <si>
    <t>Odenthal (SAS)</t>
  </si>
  <si>
    <t>Mout (MON)</t>
  </si>
  <si>
    <t>Tchato (FRO)</t>
  </si>
  <si>
    <t>Belahyane (LAZ)</t>
  </si>
  <si>
    <t>Gelli F.</t>
  </si>
  <si>
    <t>Terzic (FRO)</t>
  </si>
  <si>
    <t>Koutsoupias (FRO)</t>
  </si>
  <si>
    <t>Hasa</t>
  </si>
  <si>
    <t>Candè (SAS)</t>
  </si>
  <si>
    <t>Meichtry (GEN)</t>
  </si>
  <si>
    <t>Biraghi (TOR)</t>
  </si>
  <si>
    <t>Traorè Hj. (GEN)</t>
  </si>
  <si>
    <t>Jovanovic</t>
  </si>
  <si>
    <t>Patric (LAZ)</t>
  </si>
  <si>
    <t>Venturino (GEN)</t>
  </si>
  <si>
    <t>Franjic (VEN)</t>
  </si>
  <si>
    <t>Amondarain (BOL)</t>
  </si>
  <si>
    <t>Sverko (VEN)</t>
  </si>
  <si>
    <t>El Azzouzi O. (BOL)</t>
  </si>
  <si>
    <t>Jean (LEC)</t>
  </si>
  <si>
    <t>Grillitsch (FRO)</t>
  </si>
  <si>
    <t>Akpoguma (FRO)</t>
  </si>
  <si>
    <t>Anjorin (TOR)</t>
  </si>
  <si>
    <t>Alhassane (BOL)</t>
  </si>
  <si>
    <t>Zarraga (UDI)</t>
  </si>
  <si>
    <t>Colombo L.</t>
  </si>
  <si>
    <t>Moreno M. (VEN)</t>
  </si>
  <si>
    <t>Aboukhlal (TOR)</t>
  </si>
  <si>
    <t>Goglichidze (MON)</t>
  </si>
  <si>
    <t>Kaba (LEC)</t>
  </si>
  <si>
    <t>Duncan</t>
  </si>
  <si>
    <t>Carboni F. (PAR)</t>
  </si>
  <si>
    <t>Fernandez T. (VEN)</t>
  </si>
  <si>
    <t>Aurelio (CAG)</t>
  </si>
  <si>
    <t>Stankovic A. (INT)</t>
  </si>
  <si>
    <t>Ndaba (LEC)</t>
  </si>
  <si>
    <t>Boloca (SAS)</t>
  </si>
  <si>
    <t>Ndiaye (PAR)</t>
  </si>
  <si>
    <t>Chakvetadze (UDI)</t>
  </si>
  <si>
    <t>Kone B.</t>
  </si>
  <si>
    <t>Bakoune (MON)</t>
  </si>
  <si>
    <t>Ciurria (MON)</t>
  </si>
  <si>
    <t>Foe Ondoa</t>
  </si>
  <si>
    <t>Cinquegrano (SAS)</t>
  </si>
  <si>
    <t>Gelli F. (FRO)</t>
  </si>
  <si>
    <t>Diawara S. (MIL)</t>
  </si>
  <si>
    <t>Hasa (FRO)</t>
  </si>
  <si>
    <t>Ciervo</t>
  </si>
  <si>
    <t>Sagrado (VEN)</t>
  </si>
  <si>
    <t>Jovanovic (UDI)</t>
  </si>
  <si>
    <t>Rugani (JUV)</t>
  </si>
  <si>
    <t>Przyborek (LAZ)</t>
  </si>
  <si>
    <t>Comotto</t>
  </si>
  <si>
    <t>Puczka (GEN)</t>
  </si>
  <si>
    <t>Cremaschi (PAR)</t>
  </si>
  <si>
    <t>Antov (MON)</t>
  </si>
  <si>
    <t>Helgason (VEN)</t>
  </si>
  <si>
    <t>Dagasso</t>
  </si>
  <si>
    <t>Otoa (GEN)</t>
  </si>
  <si>
    <t>Colombo L. (MON)</t>
  </si>
  <si>
    <t>Dembelè A. (LEC)</t>
  </si>
  <si>
    <t>Duncan (VEN)</t>
  </si>
  <si>
    <t>El Azzouzi A.</t>
  </si>
  <si>
    <t>Amey (FRO)</t>
  </si>
  <si>
    <t>Liteta (CAG)</t>
  </si>
  <si>
    <t>Drobnic (PAR)</t>
  </si>
  <si>
    <t>Kone B. (FRO)</t>
  </si>
  <si>
    <t>Goldaniga (COM)</t>
  </si>
  <si>
    <t>Foe Ondoa (MON)</t>
  </si>
  <si>
    <t>Forson O.</t>
  </si>
  <si>
    <t>Gomes (VEN)</t>
  </si>
  <si>
    <t>Ciervo (CAG)</t>
  </si>
  <si>
    <t>Maye (MON)</t>
  </si>
  <si>
    <t>Comotto (MIL)</t>
  </si>
  <si>
    <t>Laerke</t>
  </si>
  <si>
    <t>Omar Fayed (FRO)</t>
  </si>
  <si>
    <t>Dagasso (VEN)</t>
  </si>
  <si>
    <t>Pieragnolo (SAS)</t>
  </si>
  <si>
    <t>El Azzouzi A. (FRO)</t>
  </si>
  <si>
    <t>Fofana Sa. (LEC)</t>
  </si>
  <si>
    <t>Forson O. (MON)</t>
  </si>
  <si>
    <t>Laerke (LEC)</t>
  </si>
  <si>
    <t>Lahdo (COM)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</si>
</sst>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9">
    <font>
      <sz val="11.0"/>
      <color theme="1"/>
      <name val="Calibri"/>
      <scheme val="minor"/>
    </font>
    <font>
      <b/>
      <sz val="16.0"/>
      <color rgb="FF1F3864"/>
      <name val="Arial"/>
    </font>
    <font>
      <sz val="11.0"/>
      <color theme="1"/>
      <name val="Calibri"/>
    </font>
    <font>
      <i/>
      <sz val="9.0"/>
      <color rgb="FF595959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b/>
      <sz val="10.0"/>
      <color rgb="FF0000FF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sz val="9.0"/>
      <color rgb="FF006100"/>
      <name val="Arial"/>
    </font>
    <font>
      <b/>
      <sz val="9.0"/>
      <color rgb="FF9C0006"/>
      <name val="Arial"/>
    </font>
    <font>
      <b/>
      <sz val="9.0"/>
      <color rgb="FF833C00"/>
      <name val="Arial"/>
    </font>
    <font>
      <b/>
      <sz val="9.0"/>
      <color rgb="FF7F6000"/>
      <name val="Arial"/>
    </font>
    <font>
      <i/>
      <sz val="8.0"/>
      <color rgb="FF595959"/>
      <name val="Arial"/>
    </font>
    <font>
      <b/>
      <sz val="8.0"/>
      <color rgb="FFFFFFFF"/>
      <name val="Arial"/>
    </font>
    <font>
      <b/>
      <sz val="11.0"/>
      <color theme="1"/>
      <name val="Arial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CE4D6"/>
        <bgColor rgb="FFFCE4D6"/>
      </patternFill>
    </fill>
    <fill>
      <patternFill patternType="solid">
        <fgColor rgb="FFFFE699"/>
        <bgColor rgb="FFFFE699"/>
      </patternFill>
    </fill>
    <fill>
      <patternFill patternType="solid">
        <fgColor rgb="FFDCE6F1"/>
        <bgColor rgb="FFDCE6F1"/>
      </patternFill>
    </fill>
    <fill>
      <patternFill patternType="solid">
        <fgColor rgb="FFC00000"/>
        <bgColor rgb="FFC00000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ill="1" applyFont="1">
      <alignment shrinkToFit="0" vertical="top" wrapText="0"/>
    </xf>
    <xf borderId="2" fillId="3" fontId="2" numFmtId="0" xfId="0" applyAlignment="1" applyBorder="1" applyFill="1" applyFont="1">
      <alignment shrinkToFit="0" vertical="top" wrapText="0"/>
    </xf>
    <xf borderId="1" fillId="4" fontId="7" numFmtId="0" xfId="0" applyAlignment="1" applyBorder="1" applyFill="1" applyFont="1">
      <alignment shrinkToFit="0" vertical="top" wrapText="0"/>
    </xf>
    <xf borderId="1" fillId="2" fontId="8" numFmtId="0" xfId="0" applyAlignment="1" applyBorder="1" applyFill="1" applyFont="1">
      <alignment shrinkToFit="0" vertical="top" wrapText="0"/>
    </xf>
    <xf borderId="1" fillId="5" fontId="9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4" fontId="7" numFmtId="0" xfId="0" applyAlignment="1" applyBorder="1" applyFill="1" applyFont="1">
      <alignment horizontal="center" shrinkToFit="0" vertical="bottom" wrapText="0"/>
    </xf>
    <xf borderId="1" fillId="4" fontId="7" numFmtId="9" xfId="0" applyAlignment="1" applyBorder="1" applyFill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5" fontId="9" numFmtId="164" xfId="0" applyAlignment="1" applyBorder="1" applyFill="1" applyFont="1" applyNumberFormat="1">
      <alignment horizontal="center" shrinkToFit="0" vertical="bottom" wrapText="0"/>
    </xf>
    <xf borderId="1" fillId="5" fontId="10" numFmtId="0" xfId="0" applyAlignment="1" applyBorder="1" applyFill="1" applyFont="1">
      <alignment horizontal="left" shrinkToFit="0" vertical="bottom" wrapText="0"/>
    </xf>
    <xf borderId="1" fillId="5" fontId="9" numFmtId="0" xfId="0" applyAlignment="1" applyBorder="1" applyFill="1" applyFont="1">
      <alignment horizontal="left" shrinkToFit="0" vertical="bottom" wrapText="0"/>
    </xf>
    <xf borderId="1" fillId="5" fontId="9" numFmtId="1" xfId="0" applyAlignment="1" applyBorder="1" applyFill="1" applyFont="1" applyNumberFormat="1">
      <alignment horizontal="center" shrinkToFit="0" vertical="bottom" wrapText="0"/>
    </xf>
    <xf borderId="1" fillId="0" fontId="2" numFmtId="165" xfId="0" applyAlignment="1" applyBorder="1" applyFont="1" applyNumberFormat="1">
      <alignment horizontal="center" shrinkToFit="0" vertical="bottom" wrapText="0"/>
    </xf>
    <xf borderId="1" fillId="6" fontId="11" numFmtId="0" xfId="0" applyAlignment="1" applyBorder="1" applyFill="1" applyFont="1">
      <alignment horizontal="left" shrinkToFit="0" vertical="bottom" wrapText="0"/>
    </xf>
    <xf borderId="1" fillId="5" fontId="9" numFmtId="2" xfId="0" applyAlignment="1" applyBorder="1" applyFill="1" applyFont="1" applyNumberFormat="1">
      <alignment horizontal="center" shrinkToFit="0" vertical="bottom" wrapText="0"/>
    </xf>
    <xf borderId="1" fillId="0" fontId="8" numFmtId="0" xfId="0" applyAlignment="1" applyBorder="1" applyFont="1">
      <alignment horizontal="left" shrinkToFit="0" vertical="bottom" wrapText="0"/>
    </xf>
    <xf borderId="1" fillId="0" fontId="2" numFmtId="9" xfId="0" applyAlignment="1" applyBorder="1" applyFont="1" applyNumberFormat="1">
      <alignment horizontal="center" shrinkToFit="0" vertical="bottom" wrapText="0"/>
    </xf>
    <xf borderId="1" fillId="0" fontId="9" numFmtId="0" xfId="0" applyAlignment="1" applyBorder="1" applyFont="1">
      <alignment horizontal="center" shrinkToFit="0" vertical="bottom" wrapText="0"/>
    </xf>
    <xf borderId="1" fillId="4" fontId="7" numFmtId="2" xfId="0" applyAlignment="1" applyBorder="1" applyFill="1" applyFont="1" applyNumberFormat="1">
      <alignment shrinkToFit="0" vertical="top" wrapText="0"/>
    </xf>
    <xf borderId="1" fillId="0" fontId="9" numFmtId="164" xfId="0" applyAlignment="1" applyBorder="1" applyFont="1" applyNumberFormat="1">
      <alignment horizontal="center" shrinkToFit="0" vertical="bottom" wrapText="0"/>
    </xf>
    <xf borderId="1" fillId="0" fontId="10" numFmtId="0" xfId="0" applyAlignment="1" applyBorder="1" applyFont="1">
      <alignment horizontal="left" shrinkToFit="0" vertical="bottom" wrapText="0"/>
    </xf>
    <xf borderId="1" fillId="0" fontId="9" numFmtId="0" xfId="0" applyAlignment="1" applyBorder="1" applyFont="1">
      <alignment horizontal="left" shrinkToFit="0" vertical="bottom" wrapText="0"/>
    </xf>
    <xf borderId="1" fillId="0" fontId="9" numFmtId="1" xfId="0" applyAlignment="1" applyBorder="1" applyFont="1" applyNumberFormat="1">
      <alignment horizontal="center" shrinkToFit="0" vertical="bottom" wrapText="0"/>
    </xf>
    <xf borderId="0" fillId="0" fontId="2" numFmtId="1" xfId="0" applyAlignment="1" applyFont="1" applyNumberFormat="1">
      <alignment shrinkToFit="0" vertical="top" wrapText="0"/>
    </xf>
    <xf borderId="1" fillId="0" fontId="9" numFmtId="2" xfId="0" applyAlignment="1" applyBorder="1" applyFont="1" applyNumberFormat="1">
      <alignment horizontal="center" shrinkToFit="0" vertical="bottom" wrapText="0"/>
    </xf>
    <xf borderId="2" fillId="3" fontId="2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0"/>
    </xf>
    <xf borderId="1" fillId="7" fontId="12" numFmtId="0" xfId="0" applyAlignment="1" applyBorder="1" applyFill="1" applyFont="1">
      <alignment horizontal="left" shrinkToFit="0" vertical="bottom" wrapText="0"/>
    </xf>
    <xf borderId="1" fillId="8" fontId="13" numFmtId="0" xfId="0" applyAlignment="1" applyBorder="1" applyFill="1" applyFont="1">
      <alignment horizontal="left" shrinkToFit="0" vertical="bottom" wrapText="0"/>
    </xf>
    <xf borderId="1" fillId="9" fontId="14" numFmtId="0" xfId="0" applyAlignment="1" applyBorder="1" applyFill="1" applyFont="1">
      <alignment horizontal="left" shrinkToFit="0" vertical="bottom" wrapText="0"/>
    </xf>
    <xf borderId="0" fillId="0" fontId="15" numFmtId="0" xfId="0" applyAlignment="1" applyFont="1">
      <alignment shrinkToFit="0" vertical="bottom" wrapText="0"/>
    </xf>
    <xf borderId="2" fillId="3" fontId="6" numFmtId="0" xfId="0" applyAlignment="1" applyBorder="1" applyFill="1" applyFont="1">
      <alignment shrinkToFit="0" vertical="bottom" wrapText="0"/>
    </xf>
    <xf borderId="1" fillId="2" fontId="16" numFmtId="0" xfId="0" applyAlignment="1" applyBorder="1" applyFill="1" applyFont="1">
      <alignment horizontal="center" shrinkToFit="0" vertical="center" wrapText="1"/>
    </xf>
    <xf borderId="1" fillId="10" fontId="10" numFmtId="0" xfId="0" applyAlignment="1" applyBorder="1" applyFill="1" applyFont="1">
      <alignment shrinkToFit="0" vertical="bottom" wrapText="0"/>
    </xf>
    <xf borderId="2" fillId="11" fontId="6" numFmtId="0" xfId="0" applyAlignment="1" applyBorder="1" applyFill="1" applyFont="1">
      <alignment shrinkToFit="0" vertical="bottom" wrapText="0"/>
    </xf>
    <xf borderId="1" fillId="11" fontId="5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left" shrinkToFit="0" vertical="top" wrapText="0"/>
    </xf>
    <xf borderId="1" fillId="0" fontId="9" numFmtId="0" xfId="0" applyAlignment="1" applyBorder="1" applyFont="1">
      <alignment horizontal="left" shrinkToFit="0" vertical="top" wrapText="0"/>
    </xf>
    <xf borderId="1" fillId="0" fontId="9" numFmtId="0" xfId="0" applyAlignment="1" applyBorder="1" applyFont="1">
      <alignment horizontal="center" shrinkToFit="0" vertical="top" wrapText="0"/>
    </xf>
    <xf borderId="1" fillId="7" fontId="9" numFmtId="0" xfId="0" applyAlignment="1" applyBorder="1" applyFill="1" applyFont="1">
      <alignment horizontal="left" shrinkToFit="0" vertical="top" wrapText="0"/>
    </xf>
    <xf borderId="1" fillId="0" fontId="9" numFmtId="0" xfId="0" applyAlignment="1" applyBorder="1" applyFont="1">
      <alignment horizontal="left" shrinkToFit="0" vertical="top" wrapText="1"/>
    </xf>
    <xf borderId="1" fillId="9" fontId="9" numFmtId="0" xfId="0" applyAlignment="1" applyBorder="1" applyFill="1" applyFont="1">
      <alignment horizontal="left" shrinkToFit="0" vertical="top" wrapText="0"/>
    </xf>
    <xf borderId="1" fillId="8" fontId="9" numFmtId="0" xfId="0" applyAlignment="1" applyBorder="1" applyFill="1" applyFont="1">
      <alignment horizontal="left" shrinkToFit="0" vertical="top" wrapText="0"/>
    </xf>
    <xf borderId="0" fillId="0" fontId="8" numFmtId="0" xfId="0" applyAlignment="1" applyFont="1">
      <alignment shrinkToFit="0" vertical="bottom" wrapText="0"/>
    </xf>
    <xf borderId="1" fillId="10" fontId="17" numFmtId="1" xfId="0" applyAlignment="1" applyBorder="1" applyFill="1" applyFont="1" applyNumberFormat="1">
      <alignment shrinkToFit="0" vertical="bottom" wrapText="0"/>
    </xf>
    <xf borderId="1" fillId="0" fontId="8" numFmtId="1" xfId="0" applyAlignment="1" applyBorder="1" applyFont="1" applyNumberFormat="1">
      <alignment shrinkToFit="0" vertical="bottom" wrapText="0"/>
    </xf>
    <xf borderId="1" fillId="0" fontId="4" numFmtId="1" xfId="0" applyAlignment="1" applyBorder="1" applyFont="1" applyNumberFormat="1">
      <alignment shrinkToFit="0" vertical="bottom" wrapText="0"/>
    </xf>
    <xf borderId="1" fillId="10" fontId="17" numFmtId="164" xfId="0" applyAlignment="1" applyBorder="1" applyFill="1" applyFont="1" applyNumberFormat="1">
      <alignment shrinkToFit="0" vertical="bottom" wrapText="0"/>
    </xf>
    <xf borderId="1" fillId="2" fontId="5" numFmtId="1" xfId="0" applyAlignment="1" applyBorder="1" applyFill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bottom" wrapText="0"/>
    </xf>
    <xf borderId="1" fillId="4" fontId="8" numFmtId="0" xfId="0" applyAlignment="1" applyBorder="1" applyFill="1" applyFont="1">
      <alignment horizontal="left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4" numFmtId="1" xfId="0" applyAlignment="1" applyBorder="1" applyFont="1" applyNumberFormat="1">
      <alignment horizontal="center" shrinkToFit="0" vertical="bottom" wrapText="0"/>
    </xf>
    <xf borderId="1" fillId="4" fontId="4" numFmtId="1" xfId="0" applyAlignment="1" applyBorder="1" applyFill="1" applyFont="1" applyNumberFormat="1">
      <alignment horizontal="center" shrinkToFit="0" vertical="bottom" wrapText="0"/>
    </xf>
    <xf borderId="1" fillId="0" fontId="4" numFmtId="2" xfId="0" applyAlignment="1" applyBorder="1" applyFont="1" applyNumberFormat="1">
      <alignment horizontal="center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3" fillId="4" fontId="8" numFmtId="0" xfId="0" applyAlignment="1" applyBorder="1" applyFill="1" applyFont="1">
      <alignment horizontal="left" shrinkToFit="0" vertical="bottom" wrapText="0"/>
    </xf>
    <xf borderId="3" fillId="0" fontId="4" numFmtId="0" xfId="0" applyAlignment="1" applyBorder="1" applyFont="1">
      <alignment horizontal="left" shrinkToFit="0" vertical="bottom" wrapText="0"/>
    </xf>
    <xf borderId="3" fillId="0" fontId="4" numFmtId="1" xfId="0" applyAlignment="1" applyBorder="1" applyFont="1" applyNumberFormat="1">
      <alignment horizontal="center" shrinkToFit="0" vertical="bottom" wrapText="0"/>
    </xf>
    <xf borderId="3" fillId="4" fontId="4" numFmtId="1" xfId="0" applyAlignment="1" applyBorder="1" applyFill="1" applyFont="1" applyNumberFormat="1">
      <alignment horizontal="center" shrinkToFit="0" vertical="bottom" wrapText="0"/>
    </xf>
    <xf borderId="3" fillId="0" fontId="4" numFmtId="2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18" numFmtId="0" xfId="0" applyFont="1"/>
    <xf borderId="0" fillId="0" fontId="2" numFmtId="1" xfId="0" applyAlignment="1" applyFont="1" applyNumberForma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7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17.0"/>
    <col customWidth="1" min="3" max="3" width="22.0"/>
    <col customWidth="1" min="4" max="4" width="19.0"/>
    <col customWidth="1" min="5" max="5" width="24.0"/>
    <col customWidth="1" min="6" max="6" width="16.0"/>
    <col customWidth="1" min="7" max="26" width="8.71"/>
  </cols>
  <sheetData>
    <row r="1">
      <c r="A1" s="1" t="s">
        <v>0</v>
      </c>
      <c r="B1" s="3"/>
      <c r="C1" s="3"/>
      <c r="D1" s="3"/>
      <c r="E1" s="3"/>
      <c r="F1" s="3"/>
    </row>
    <row r="2">
      <c r="A2" s="5" t="s">
        <v>5</v>
      </c>
      <c r="B2" s="3"/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>
      <c r="A4" s="7" t="s">
        <v>12</v>
      </c>
      <c r="B4" s="8"/>
      <c r="C4" s="8"/>
      <c r="D4" s="8"/>
      <c r="E4" s="8"/>
      <c r="F4" s="8"/>
    </row>
    <row r="5">
      <c r="A5" s="3" t="s">
        <v>21</v>
      </c>
      <c r="B5" s="9">
        <v>500.0</v>
      </c>
      <c r="C5" s="3" t="s">
        <v>27</v>
      </c>
      <c r="D5" s="3"/>
      <c r="E5" s="3"/>
      <c r="F5" s="3"/>
    </row>
    <row r="6">
      <c r="A6" s="3" t="s">
        <v>31</v>
      </c>
      <c r="B6" s="9">
        <v>10.0</v>
      </c>
      <c r="C6" s="3" t="s">
        <v>33</v>
      </c>
      <c r="D6" s="3"/>
      <c r="E6" s="3"/>
      <c r="F6" s="3"/>
    </row>
    <row r="7">
      <c r="A7" s="3" t="s">
        <v>37</v>
      </c>
      <c r="B7" s="3">
        <f>SUM(B11:B14)</f>
        <v>25</v>
      </c>
      <c r="C7" s="3" t="s">
        <v>49</v>
      </c>
      <c r="D7" s="3"/>
      <c r="E7" s="3"/>
      <c r="F7" s="3"/>
    </row>
    <row r="8">
      <c r="A8" s="3" t="s">
        <v>50</v>
      </c>
      <c r="B8" s="3">
        <f>B5*B6</f>
        <v>5000</v>
      </c>
      <c r="C8" s="3" t="s">
        <v>51</v>
      </c>
      <c r="D8" s="3"/>
      <c r="E8" s="3"/>
      <c r="F8" s="3"/>
    </row>
    <row r="9">
      <c r="A9" s="3"/>
      <c r="B9" s="3"/>
      <c r="C9" s="3"/>
      <c r="D9" s="3"/>
      <c r="E9" s="3"/>
      <c r="F9" s="3"/>
    </row>
    <row r="10" ht="30.0" customHeight="1">
      <c r="A10" s="10" t="s">
        <v>52</v>
      </c>
      <c r="B10" s="10" t="s">
        <v>53</v>
      </c>
      <c r="C10" s="10" t="s">
        <v>54</v>
      </c>
      <c r="D10" s="10" t="s">
        <v>55</v>
      </c>
      <c r="E10" s="10" t="s">
        <v>56</v>
      </c>
      <c r="F10" s="10" t="s">
        <v>57</v>
      </c>
    </row>
    <row r="11">
      <c r="A11" s="12" t="s">
        <v>58</v>
      </c>
      <c r="B11" s="13">
        <v>3.0</v>
      </c>
      <c r="C11" s="14">
        <v>0.06</v>
      </c>
      <c r="D11" s="15">
        <f t="shared" ref="D11:D14" si="1">ROUND($B$5*C11,0)</f>
        <v>30</v>
      </c>
      <c r="E11" s="15">
        <f t="shared" ref="E11:E14" si="2">$B$6*B11</f>
        <v>30</v>
      </c>
      <c r="F11" s="20">
        <f>IFERROR(D11*$B$6/SUMPRODUCT((Portieri!$AH$4:$AH$67&lt;=E11)*(Portieri!$H$4:$H$67^$B$18)),0)</f>
        <v>1.361982711</v>
      </c>
    </row>
    <row r="12">
      <c r="A12" s="12" t="s">
        <v>62</v>
      </c>
      <c r="B12" s="13">
        <v>8.0</v>
      </c>
      <c r="C12" s="14">
        <v>0.15</v>
      </c>
      <c r="D12" s="15">
        <f t="shared" si="1"/>
        <v>75</v>
      </c>
      <c r="E12" s="15">
        <f t="shared" si="2"/>
        <v>80</v>
      </c>
      <c r="F12" s="20">
        <f>IFERROR(D12*$B$6/SUMPRODUCT((Difensori!$AH$4:$AH$192&lt;=E12)*(Difensori!$H$4:$H$192^$B$18)),0)</f>
        <v>1.27032469</v>
      </c>
    </row>
    <row r="13">
      <c r="A13" s="12" t="s">
        <v>67</v>
      </c>
      <c r="B13" s="13">
        <v>8.0</v>
      </c>
      <c r="C13" s="14">
        <v>0.29</v>
      </c>
      <c r="D13" s="15">
        <f t="shared" si="1"/>
        <v>145</v>
      </c>
      <c r="E13" s="15">
        <f t="shared" si="2"/>
        <v>80</v>
      </c>
      <c r="F13" s="20">
        <f>IFERROR(D13*$B$6/SUMPRODUCT((Centrocampisti!$AH$4:$AH$196&lt;=E13)*(Centrocampisti!$H$4:$H$196^$B$18)),0)</f>
        <v>1.811361903</v>
      </c>
    </row>
    <row r="14">
      <c r="A14" s="12" t="s">
        <v>74</v>
      </c>
      <c r="B14" s="13">
        <v>6.0</v>
      </c>
      <c r="C14" s="14">
        <v>0.5</v>
      </c>
      <c r="D14" s="15">
        <f t="shared" si="1"/>
        <v>250</v>
      </c>
      <c r="E14" s="15">
        <f t="shared" si="2"/>
        <v>60</v>
      </c>
      <c r="F14" s="20">
        <f>IFERROR(D14*$B$6/SUMPRODUCT((Attaccanti!$AH$4:$AH$92&lt;=E14)*(Attaccanti!$H$4:$H$92^$B$18)),0)</f>
        <v>3.405600944</v>
      </c>
    </row>
    <row r="15">
      <c r="A15" s="23" t="s">
        <v>76</v>
      </c>
      <c r="B15" s="15">
        <f t="shared" ref="B15:E15" si="3">SUM(B11:B14)</f>
        <v>25</v>
      </c>
      <c r="C15" s="24">
        <f t="shared" si="3"/>
        <v>1</v>
      </c>
      <c r="D15" s="15">
        <f t="shared" si="3"/>
        <v>500</v>
      </c>
      <c r="E15" s="15">
        <f t="shared" si="3"/>
        <v>250</v>
      </c>
      <c r="F15" s="20"/>
    </row>
    <row r="16">
      <c r="A16" s="3"/>
      <c r="B16" s="3"/>
      <c r="C16" s="3"/>
      <c r="D16" s="3"/>
      <c r="E16" s="3"/>
      <c r="F16" s="3"/>
    </row>
    <row r="17">
      <c r="A17" s="7" t="s">
        <v>78</v>
      </c>
      <c r="B17" s="8"/>
      <c r="C17" s="8"/>
      <c r="D17" s="8"/>
      <c r="E17" s="8"/>
      <c r="F17" s="8"/>
    </row>
    <row r="18">
      <c r="A18" s="3" t="s">
        <v>79</v>
      </c>
      <c r="B18" s="26">
        <v>0.6</v>
      </c>
      <c r="C18" s="3" t="s">
        <v>80</v>
      </c>
      <c r="D18" s="3"/>
      <c r="E18" s="3"/>
      <c r="F18" s="3"/>
    </row>
    <row r="19">
      <c r="A19" s="3" t="s">
        <v>81</v>
      </c>
      <c r="B19" s="3" t="s">
        <v>82</v>
      </c>
      <c r="C19" s="3" t="s">
        <v>83</v>
      </c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 ht="15.75" customHeight="1">
      <c r="A21" s="7" t="s">
        <v>86</v>
      </c>
      <c r="B21" s="8"/>
      <c r="C21" s="8"/>
      <c r="D21" s="8"/>
      <c r="E21" s="8"/>
      <c r="F21" s="8"/>
    </row>
    <row r="22" ht="15.75" customHeight="1">
      <c r="A22" s="3" t="s">
        <v>87</v>
      </c>
      <c r="B22" s="9">
        <v>60.0</v>
      </c>
      <c r="C22" s="3" t="s">
        <v>88</v>
      </c>
      <c r="D22" s="3"/>
      <c r="E22" s="3"/>
      <c r="F22" s="3"/>
    </row>
    <row r="23" ht="15.75" customHeight="1">
      <c r="A23" s="3" t="s">
        <v>89</v>
      </c>
      <c r="B23" s="9">
        <v>25.0</v>
      </c>
      <c r="C23" s="3" t="s">
        <v>92</v>
      </c>
      <c r="D23" s="3"/>
      <c r="E23" s="3"/>
      <c r="F23" s="3"/>
    </row>
    <row r="24" ht="15.75" customHeight="1">
      <c r="A24" s="3" t="s">
        <v>94</v>
      </c>
      <c r="B24" s="9">
        <v>10.0</v>
      </c>
      <c r="C24" s="3" t="s">
        <v>95</v>
      </c>
      <c r="D24" s="3"/>
      <c r="E24" s="3"/>
      <c r="F24" s="3"/>
    </row>
    <row r="25" ht="15.75" customHeight="1">
      <c r="A25" s="3" t="s">
        <v>96</v>
      </c>
      <c r="B25" s="9">
        <v>5.0</v>
      </c>
      <c r="C25" s="3" t="s">
        <v>97</v>
      </c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7" t="s">
        <v>98</v>
      </c>
      <c r="B27" s="8"/>
      <c r="C27" s="8"/>
      <c r="D27" s="8"/>
      <c r="E27" s="8"/>
      <c r="F27" s="8"/>
    </row>
    <row r="28" ht="15.75" customHeight="1">
      <c r="A28" s="3" t="s">
        <v>99</v>
      </c>
      <c r="B28" s="31">
        <f>MAX(Portieri!$H$4:$H$67)</f>
        <v>85</v>
      </c>
      <c r="C28" s="3"/>
      <c r="D28" s="3"/>
      <c r="E28" s="3"/>
      <c r="F28" s="3"/>
    </row>
    <row r="29" ht="15.75" customHeight="1">
      <c r="A29" s="3" t="s">
        <v>101</v>
      </c>
      <c r="B29" s="31">
        <f>MAX(Difensori!$H$4:$H$192)</f>
        <v>240</v>
      </c>
      <c r="C29" s="3"/>
      <c r="D29" s="3"/>
      <c r="E29" s="3"/>
      <c r="F29" s="3"/>
    </row>
    <row r="30" ht="15.75" customHeight="1">
      <c r="A30" s="3" t="s">
        <v>107</v>
      </c>
      <c r="B30" s="31">
        <f>MAX(Centrocampisti!$H$4:$H$196)</f>
        <v>245</v>
      </c>
      <c r="C30" s="3"/>
      <c r="D30" s="3"/>
      <c r="E30" s="3"/>
      <c r="F30" s="3"/>
    </row>
    <row r="31" ht="15.75" customHeight="1">
      <c r="A31" s="3" t="s">
        <v>108</v>
      </c>
      <c r="B31" s="31">
        <f>MAX(Attaccanti!$H$4:$H$92)</f>
        <v>450</v>
      </c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7" t="s">
        <v>109</v>
      </c>
      <c r="B34" s="33"/>
      <c r="C34" s="8"/>
      <c r="D34" s="8"/>
      <c r="E34" s="8"/>
      <c r="F34" s="8"/>
    </row>
    <row r="35" ht="25.5" customHeight="1">
      <c r="A35" s="3" t="s">
        <v>111</v>
      </c>
      <c r="B35" s="34" t="s">
        <v>112</v>
      </c>
    </row>
    <row r="36" ht="25.5" customHeight="1">
      <c r="A36" s="3" t="s">
        <v>114</v>
      </c>
      <c r="B36" s="34" t="s">
        <v>115</v>
      </c>
    </row>
    <row r="37" ht="39.0" customHeight="1">
      <c r="A37" s="3" t="s">
        <v>116</v>
      </c>
      <c r="B37" s="34" t="s">
        <v>117</v>
      </c>
    </row>
    <row r="38" ht="25.5" customHeight="1">
      <c r="A38" s="3" t="s">
        <v>118</v>
      </c>
      <c r="B38" s="34" t="s">
        <v>119</v>
      </c>
    </row>
    <row r="39" ht="15.0" customHeight="1">
      <c r="A39" s="3" t="s">
        <v>120</v>
      </c>
      <c r="B39" s="34" t="s">
        <v>121</v>
      </c>
    </row>
    <row r="40" ht="15.75" customHeight="1">
      <c r="A40" s="35"/>
      <c r="B40" s="34"/>
      <c r="C40" s="3"/>
      <c r="D40" s="3"/>
      <c r="E40" s="3"/>
      <c r="F40" s="3"/>
    </row>
    <row r="41" ht="15.75" customHeight="1">
      <c r="A41" s="7" t="s">
        <v>122</v>
      </c>
      <c r="B41" s="33"/>
      <c r="C41" s="8"/>
      <c r="D41" s="8"/>
      <c r="E41" s="8"/>
      <c r="F41" s="8"/>
    </row>
    <row r="42" ht="15.0" customHeight="1">
      <c r="A42" s="3" t="s">
        <v>123</v>
      </c>
      <c r="B42" s="34" t="s">
        <v>125</v>
      </c>
    </row>
    <row r="43" ht="15.0" customHeight="1">
      <c r="A43" s="3" t="s">
        <v>126</v>
      </c>
      <c r="B43" s="34" t="s">
        <v>127</v>
      </c>
    </row>
    <row r="44" ht="15.0" customHeight="1">
      <c r="A44" s="3" t="s">
        <v>128</v>
      </c>
      <c r="B44" s="34" t="s">
        <v>129</v>
      </c>
    </row>
    <row r="45" ht="25.5" customHeight="1">
      <c r="A45" s="3" t="s">
        <v>131</v>
      </c>
      <c r="B45" s="34" t="s">
        <v>132</v>
      </c>
    </row>
    <row r="46" ht="15.75" customHeight="1">
      <c r="A46" s="35"/>
      <c r="B46" s="34"/>
      <c r="C46" s="3"/>
      <c r="D46" s="3"/>
      <c r="E46" s="3"/>
      <c r="F46" s="3"/>
    </row>
    <row r="47" ht="15.75" customHeight="1">
      <c r="A47" s="7" t="s">
        <v>136</v>
      </c>
      <c r="B47" s="33"/>
      <c r="C47" s="8"/>
      <c r="D47" s="8"/>
      <c r="E47" s="8"/>
      <c r="F47" s="8"/>
    </row>
    <row r="48" ht="25.5" customHeight="1">
      <c r="A48" s="3" t="s">
        <v>138</v>
      </c>
      <c r="B48" s="34" t="s">
        <v>139</v>
      </c>
    </row>
    <row r="49" ht="15.0" customHeight="1">
      <c r="A49" s="3" t="s">
        <v>140</v>
      </c>
      <c r="B49" s="34" t="s">
        <v>141</v>
      </c>
    </row>
    <row r="50" ht="15.0" customHeight="1">
      <c r="A50" s="3" t="s">
        <v>144</v>
      </c>
      <c r="B50" s="34" t="s">
        <v>145</v>
      </c>
    </row>
    <row r="51" ht="15.0" customHeight="1">
      <c r="A51" s="3" t="s">
        <v>146</v>
      </c>
      <c r="B51" s="34" t="s">
        <v>147</v>
      </c>
    </row>
    <row r="52" ht="15.0" customHeight="1">
      <c r="A52" s="3" t="s">
        <v>148</v>
      </c>
      <c r="B52" s="34" t="s">
        <v>149</v>
      </c>
    </row>
    <row r="53" ht="15.0" customHeight="1">
      <c r="A53" s="3" t="s">
        <v>70</v>
      </c>
      <c r="B53" s="34" t="s">
        <v>150</v>
      </c>
    </row>
    <row r="54" ht="15.0" customHeight="1">
      <c r="A54" s="3" t="s">
        <v>151</v>
      </c>
      <c r="B54" s="34" t="s">
        <v>152</v>
      </c>
    </row>
    <row r="55" ht="25.5" customHeight="1">
      <c r="A55" s="3" t="s">
        <v>153</v>
      </c>
      <c r="B55" s="34" t="s">
        <v>154</v>
      </c>
    </row>
    <row r="56" ht="15.75" customHeight="1">
      <c r="A56" s="35"/>
      <c r="B56" s="34"/>
      <c r="C56" s="3"/>
      <c r="D56" s="3"/>
      <c r="E56" s="3"/>
      <c r="F56" s="3"/>
    </row>
    <row r="57" ht="15.75" customHeight="1">
      <c r="A57" s="7" t="s">
        <v>155</v>
      </c>
      <c r="B57" s="33"/>
      <c r="C57" s="8"/>
      <c r="D57" s="8"/>
      <c r="E57" s="8"/>
      <c r="F57" s="8"/>
    </row>
    <row r="58" ht="39.0" customHeight="1">
      <c r="A58" s="3" t="s">
        <v>156</v>
      </c>
      <c r="B58" s="34" t="s">
        <v>157</v>
      </c>
    </row>
    <row r="59" ht="25.5" customHeight="1">
      <c r="A59" s="3" t="s">
        <v>159</v>
      </c>
      <c r="B59" s="34" t="s">
        <v>161</v>
      </c>
    </row>
    <row r="60" ht="25.5" customHeight="1">
      <c r="A60" s="3" t="s">
        <v>162</v>
      </c>
      <c r="B60" s="34" t="s">
        <v>163</v>
      </c>
    </row>
    <row r="61" ht="25.5" customHeight="1">
      <c r="A61" s="3" t="s">
        <v>20</v>
      </c>
      <c r="B61" s="34" t="s">
        <v>164</v>
      </c>
    </row>
    <row r="62" ht="25.5" customHeight="1">
      <c r="A62" s="3" t="s">
        <v>17</v>
      </c>
      <c r="B62" s="34" t="s">
        <v>165</v>
      </c>
    </row>
    <row r="63" ht="25.5" customHeight="1">
      <c r="A63" s="3" t="s">
        <v>167</v>
      </c>
      <c r="B63" s="34" t="s">
        <v>168</v>
      </c>
    </row>
    <row r="64" ht="15.75" customHeight="1">
      <c r="A64" s="35"/>
      <c r="B64" s="34"/>
      <c r="C64" s="3"/>
      <c r="D64" s="3"/>
      <c r="E64" s="3"/>
      <c r="F64" s="3"/>
    </row>
    <row r="65" ht="51.75" customHeight="1">
      <c r="A65" s="3" t="s">
        <v>169</v>
      </c>
      <c r="B65" s="34" t="s">
        <v>170</v>
      </c>
    </row>
    <row r="66" ht="15.75" customHeight="1">
      <c r="A66" s="35"/>
      <c r="B66" s="34"/>
      <c r="C66" s="3"/>
      <c r="D66" s="3"/>
      <c r="E66" s="3"/>
      <c r="F66" s="3"/>
    </row>
    <row r="67" ht="39.0" customHeight="1">
      <c r="A67" s="3" t="s">
        <v>171</v>
      </c>
      <c r="B67" s="34" t="s">
        <v>173</v>
      </c>
    </row>
    <row r="68" ht="15.75" customHeight="1">
      <c r="A68" s="3"/>
      <c r="B68" s="34"/>
      <c r="C68" s="3"/>
      <c r="D68" s="3"/>
      <c r="E68" s="3"/>
      <c r="F68" s="3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35:F35"/>
    <mergeCell ref="B36:F36"/>
    <mergeCell ref="B37:F37"/>
    <mergeCell ref="B38:F38"/>
    <mergeCell ref="B39:F39"/>
    <mergeCell ref="B42:F42"/>
    <mergeCell ref="B43:F43"/>
    <mergeCell ref="B44:F44"/>
    <mergeCell ref="B45:F45"/>
    <mergeCell ref="B48:F48"/>
    <mergeCell ref="B49:F49"/>
    <mergeCell ref="B50:F50"/>
    <mergeCell ref="B51:F51"/>
    <mergeCell ref="B52:F52"/>
    <mergeCell ref="B62:F62"/>
    <mergeCell ref="B63:F63"/>
    <mergeCell ref="B65:F65"/>
    <mergeCell ref="B67:F67"/>
    <mergeCell ref="B53:F53"/>
    <mergeCell ref="B54:F54"/>
    <mergeCell ref="B55:F55"/>
    <mergeCell ref="B58:F58"/>
    <mergeCell ref="B59:F59"/>
    <mergeCell ref="B60:F60"/>
    <mergeCell ref="B61:F6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21.0"/>
    <col customWidth="1" min="4" max="4" width="12.0"/>
    <col customWidth="1" min="5" max="5" width="24.0"/>
    <col customWidth="1" min="6" max="7" width="6.0"/>
    <col customWidth="1" min="8" max="8" width="7.0"/>
    <col customWidth="1" min="9" max="9" width="11.0"/>
    <col customWidth="1" min="10" max="10" width="9.0"/>
    <col customWidth="1" min="11" max="11" width="11.0"/>
    <col customWidth="1" min="12" max="12" width="15.0"/>
    <col customWidth="1" min="13" max="13" width="34.0"/>
    <col customWidth="1" min="14" max="14" width="10.0"/>
    <col customWidth="1" min="15" max="15" width="12.0"/>
    <col customWidth="1" min="16" max="18" width="9.0"/>
    <col customWidth="1" min="19" max="19" width="8.0"/>
    <col customWidth="1" min="20" max="20" width="9.0"/>
    <col customWidth="1" min="21" max="21" width="11.0"/>
    <col customWidth="1" min="22" max="23" width="8.0"/>
    <col customWidth="1" min="24" max="24" width="10.0"/>
    <col customWidth="1" min="25" max="28" width="9.0"/>
    <col customWidth="1" min="29" max="29" width="13.0"/>
    <col customWidth="1" min="30" max="31" width="12.0"/>
    <col customWidth="1" min="32" max="32" width="27.0"/>
    <col customWidth="1" min="33" max="34" width="12.0"/>
    <col customWidth="1" min="35" max="35" width="70.0"/>
  </cols>
  <sheetData>
    <row r="1">
      <c r="A1" s="2" t="s">
        <v>1</v>
      </c>
    </row>
    <row r="2">
      <c r="A2" s="4" t="s">
        <v>3</v>
      </c>
    </row>
    <row r="3" ht="33.75" customHeight="1">
      <c r="A3" s="6" t="s">
        <v>7</v>
      </c>
      <c r="B3" s="6" t="s">
        <v>9</v>
      </c>
      <c r="C3" s="6" t="s">
        <v>10</v>
      </c>
      <c r="D3" s="6" t="s">
        <v>11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22</v>
      </c>
      <c r="N3" s="6" t="s">
        <v>23</v>
      </c>
      <c r="O3" s="6" t="s">
        <v>24</v>
      </c>
      <c r="P3" s="6" t="s">
        <v>25</v>
      </c>
      <c r="Q3" s="6" t="s">
        <v>26</v>
      </c>
      <c r="R3" s="6" t="s">
        <v>28</v>
      </c>
      <c r="S3" s="6" t="s">
        <v>29</v>
      </c>
      <c r="T3" s="6" t="s">
        <v>30</v>
      </c>
      <c r="U3" s="6" t="s">
        <v>32</v>
      </c>
      <c r="V3" s="6" t="s">
        <v>34</v>
      </c>
      <c r="W3" s="6" t="s">
        <v>35</v>
      </c>
      <c r="X3" s="6" t="s">
        <v>36</v>
      </c>
      <c r="Y3" s="6" t="s">
        <v>38</v>
      </c>
      <c r="Z3" s="6" t="s">
        <v>39</v>
      </c>
      <c r="AA3" s="6" t="s">
        <v>40</v>
      </c>
      <c r="AB3" s="6" t="s">
        <v>41</v>
      </c>
      <c r="AC3" s="6" t="s">
        <v>42</v>
      </c>
      <c r="AD3" s="6" t="s">
        <v>43</v>
      </c>
      <c r="AE3" s="6" t="s">
        <v>44</v>
      </c>
      <c r="AF3" s="6" t="s">
        <v>45</v>
      </c>
      <c r="AG3" s="6" t="s">
        <v>46</v>
      </c>
      <c r="AH3" s="6" t="s">
        <v>47</v>
      </c>
      <c r="AI3" s="6" t="s">
        <v>48</v>
      </c>
    </row>
    <row r="4">
      <c r="A4" s="11">
        <f t="shared" ref="A4:A67" si="1">RANK(B4,$B$4:$B$67)</f>
        <v>1</v>
      </c>
      <c r="B4" s="16">
        <f>ROUND(Guida!$B$22*H4/Guida!$B$28+Guida!$B$23*MAX(0,MIN(1,(AE4-5.4)/1.6))+Guida!$B$24*0+Guida!$B$25*0,1)</f>
        <v>60.8</v>
      </c>
      <c r="C4" s="17" t="s">
        <v>59</v>
      </c>
      <c r="D4" s="11" t="s">
        <v>60</v>
      </c>
      <c r="E4" s="18" t="s">
        <v>61</v>
      </c>
      <c r="F4" s="19">
        <v>18.0</v>
      </c>
      <c r="G4" s="19">
        <v>19.0</v>
      </c>
      <c r="H4" s="19">
        <v>85.0</v>
      </c>
      <c r="I4" s="19">
        <f>MAX(1,ROUND(H4^Guida!$B$18*Guida!$F$11,0))</f>
        <v>20</v>
      </c>
      <c r="J4" s="19">
        <f t="shared" ref="J4:J67" si="2">MAX(2,ROUND(I4*1.2,0))</f>
        <v>24</v>
      </c>
      <c r="K4" s="11" t="str">
        <f t="shared" ref="K4:K67" si="3">IF(I4&gt;=60,"Top",IF(I4&gt;=30,"1a fascia",IF(I4&gt;=15,"2a fascia",IF(I4&gt;=7,"3a fascia",IF(I4&gt;=3,"4a fascia","Scommessa")))))</f>
        <v>2a fascia</v>
      </c>
      <c r="L4" s="11" t="s">
        <v>68</v>
      </c>
      <c r="M4" s="21" t="s">
        <v>70</v>
      </c>
      <c r="N4" s="11" t="s">
        <v>71</v>
      </c>
      <c r="O4" s="11" t="s">
        <v>71</v>
      </c>
      <c r="P4" s="19">
        <v>38.0</v>
      </c>
      <c r="Q4" s="22">
        <v>6.26</v>
      </c>
      <c r="R4" s="22">
        <v>5.45</v>
      </c>
      <c r="S4" s="19">
        <v>0.0</v>
      </c>
      <c r="T4" s="19">
        <v>0.0</v>
      </c>
      <c r="U4" s="11" t="s">
        <v>72</v>
      </c>
      <c r="V4" s="19">
        <v>0.0</v>
      </c>
      <c r="W4" s="19">
        <v>0.0</v>
      </c>
      <c r="X4" s="19">
        <v>2.0</v>
      </c>
      <c r="Y4" s="22">
        <v>6.25</v>
      </c>
      <c r="Z4" s="22">
        <v>6.25</v>
      </c>
      <c r="AA4" s="19">
        <v>0.0</v>
      </c>
      <c r="AB4" s="19">
        <v>0.0</v>
      </c>
      <c r="AC4" s="11" t="s">
        <v>60</v>
      </c>
      <c r="AD4" s="11" t="s">
        <v>73</v>
      </c>
      <c r="AE4" s="22">
        <f t="shared" ref="AE4:AE67" si="4">ROUND(IF(P4="",5.5,R4*MIN(1,P4/25)+5.5*(1-MIN(1,P4/25))),2)</f>
        <v>5.45</v>
      </c>
      <c r="AF4" s="18" t="s">
        <v>75</v>
      </c>
      <c r="AG4" s="19">
        <v>3.0</v>
      </c>
      <c r="AH4" s="19">
        <f t="shared" ref="AH4:AH67" si="5">RANK(H4,$H$4:$H$67)</f>
        <v>1</v>
      </c>
      <c r="AI4" s="18"/>
    </row>
    <row r="5">
      <c r="A5" s="25">
        <f t="shared" si="1"/>
        <v>2</v>
      </c>
      <c r="B5" s="27">
        <f>ROUND(Guida!$B$22*H5/Guida!$B$28+Guida!$B$23*MAX(0,MIN(1,(AE5-5.4)/1.6))+Guida!$B$24*0+Guida!$B$25*0,1)</f>
        <v>51</v>
      </c>
      <c r="C5" s="28" t="s">
        <v>90</v>
      </c>
      <c r="D5" s="25" t="s">
        <v>93</v>
      </c>
      <c r="E5" s="29" t="s">
        <v>61</v>
      </c>
      <c r="F5" s="30">
        <v>16.0</v>
      </c>
      <c r="G5" s="30">
        <v>17.0</v>
      </c>
      <c r="H5" s="30">
        <v>70.0</v>
      </c>
      <c r="I5" s="30">
        <f>MAX(1,ROUND(H5^Guida!$B$18*Guida!$F$11,0))</f>
        <v>17</v>
      </c>
      <c r="J5" s="30">
        <f t="shared" si="2"/>
        <v>20</v>
      </c>
      <c r="K5" s="25" t="str">
        <f t="shared" si="3"/>
        <v>2a fascia</v>
      </c>
      <c r="L5" s="25" t="s">
        <v>68</v>
      </c>
      <c r="M5" s="21" t="s">
        <v>100</v>
      </c>
      <c r="N5" s="25" t="s">
        <v>71</v>
      </c>
      <c r="O5" s="25" t="s">
        <v>71</v>
      </c>
      <c r="P5" s="30"/>
      <c r="Q5" s="32"/>
      <c r="R5" s="32"/>
      <c r="S5" s="30"/>
      <c r="T5" s="30"/>
      <c r="U5" s="25"/>
      <c r="V5" s="30"/>
      <c r="W5" s="30"/>
      <c r="X5" s="30">
        <v>2.0</v>
      </c>
      <c r="Y5" s="32">
        <v>6.25</v>
      </c>
      <c r="Z5" s="32">
        <v>6.25</v>
      </c>
      <c r="AA5" s="30">
        <v>0.0</v>
      </c>
      <c r="AB5" s="30">
        <v>0.0</v>
      </c>
      <c r="AC5" s="25" t="s">
        <v>71</v>
      </c>
      <c r="AD5" s="25" t="s">
        <v>103</v>
      </c>
      <c r="AE5" s="32">
        <f t="shared" si="4"/>
        <v>5.5</v>
      </c>
      <c r="AF5" s="29" t="s">
        <v>105</v>
      </c>
      <c r="AG5" s="30">
        <v>6.0</v>
      </c>
      <c r="AH5" s="30">
        <f t="shared" si="5"/>
        <v>2</v>
      </c>
      <c r="AI5" s="29"/>
    </row>
    <row r="6">
      <c r="A6" s="11">
        <f t="shared" si="1"/>
        <v>3</v>
      </c>
      <c r="B6" s="16">
        <f>ROUND(Guida!$B$22*H6/Guida!$B$28+Guida!$B$23*MAX(0,MIN(1,(AE6-5.4)/1.6))+Guida!$B$24*0+Guida!$B$25*0,1)</f>
        <v>48.6</v>
      </c>
      <c r="C6" s="17" t="s">
        <v>110</v>
      </c>
      <c r="D6" s="11" t="s">
        <v>64</v>
      </c>
      <c r="E6" s="18" t="s">
        <v>61</v>
      </c>
      <c r="F6" s="19">
        <v>17.0</v>
      </c>
      <c r="G6" s="19">
        <v>17.0</v>
      </c>
      <c r="H6" s="19">
        <v>68.0</v>
      </c>
      <c r="I6" s="19">
        <f>MAX(1,ROUND(H6^Guida!$B$18*Guida!$F$11,0))</f>
        <v>17</v>
      </c>
      <c r="J6" s="19">
        <f t="shared" si="2"/>
        <v>20</v>
      </c>
      <c r="K6" s="11" t="str">
        <f t="shared" si="3"/>
        <v>2a fascia</v>
      </c>
      <c r="L6" s="11" t="s">
        <v>68</v>
      </c>
      <c r="M6" s="21" t="s">
        <v>70</v>
      </c>
      <c r="N6" s="11" t="s">
        <v>71</v>
      </c>
      <c r="O6" s="11" t="s">
        <v>71</v>
      </c>
      <c r="P6" s="19">
        <v>5.0</v>
      </c>
      <c r="Q6" s="22">
        <v>6.0</v>
      </c>
      <c r="R6" s="22">
        <v>5.2</v>
      </c>
      <c r="S6" s="19">
        <v>0.0</v>
      </c>
      <c r="T6" s="19">
        <v>0.0</v>
      </c>
      <c r="U6" s="11" t="s">
        <v>72</v>
      </c>
      <c r="V6" s="19">
        <v>0.0</v>
      </c>
      <c r="W6" s="19">
        <v>0.0</v>
      </c>
      <c r="X6" s="19">
        <v>2.0</v>
      </c>
      <c r="Y6" s="22">
        <v>6.0</v>
      </c>
      <c r="Z6" s="22">
        <v>5.5</v>
      </c>
      <c r="AA6" s="19">
        <v>0.0</v>
      </c>
      <c r="AB6" s="19">
        <v>0.0</v>
      </c>
      <c r="AC6" s="11" t="s">
        <v>64</v>
      </c>
      <c r="AD6" s="11" t="s">
        <v>73</v>
      </c>
      <c r="AE6" s="22">
        <f t="shared" si="4"/>
        <v>5.44</v>
      </c>
      <c r="AF6" s="18" t="s">
        <v>124</v>
      </c>
      <c r="AG6" s="19">
        <v>0.0</v>
      </c>
      <c r="AH6" s="19">
        <f t="shared" si="5"/>
        <v>3</v>
      </c>
      <c r="AI6" s="18"/>
    </row>
    <row r="7">
      <c r="A7" s="25">
        <f t="shared" si="1"/>
        <v>4</v>
      </c>
      <c r="B7" s="27">
        <f>ROUND(Guida!$B$22*H7/Guida!$B$28+Guida!$B$23*MAX(0,MIN(1,(AE7-5.4)/1.6))+Guida!$B$24*0+Guida!$B$25*0,1)</f>
        <v>41.6</v>
      </c>
      <c r="C7" s="28" t="s">
        <v>142</v>
      </c>
      <c r="D7" s="25" t="s">
        <v>143</v>
      </c>
      <c r="E7" s="29" t="s">
        <v>61</v>
      </c>
      <c r="F7" s="30">
        <v>16.0</v>
      </c>
      <c r="G7" s="30">
        <v>17.0</v>
      </c>
      <c r="H7" s="30">
        <v>55.0</v>
      </c>
      <c r="I7" s="30">
        <f>MAX(1,ROUND(H7^Guida!$B$18*Guida!$F$11,0))</f>
        <v>15</v>
      </c>
      <c r="J7" s="30">
        <f t="shared" si="2"/>
        <v>18</v>
      </c>
      <c r="K7" s="25" t="str">
        <f t="shared" si="3"/>
        <v>2a fascia</v>
      </c>
      <c r="L7" s="25" t="s">
        <v>68</v>
      </c>
      <c r="M7" s="21" t="s">
        <v>70</v>
      </c>
      <c r="N7" s="25" t="s">
        <v>71</v>
      </c>
      <c r="O7" s="25" t="s">
        <v>71</v>
      </c>
      <c r="P7" s="30">
        <v>37.0</v>
      </c>
      <c r="Q7" s="32">
        <v>6.36</v>
      </c>
      <c r="R7" s="32">
        <v>5.58</v>
      </c>
      <c r="S7" s="30">
        <v>0.0</v>
      </c>
      <c r="T7" s="30">
        <v>0.0</v>
      </c>
      <c r="U7" s="25" t="s">
        <v>72</v>
      </c>
      <c r="V7" s="30">
        <v>0.0</v>
      </c>
      <c r="W7" s="30">
        <v>0.0</v>
      </c>
      <c r="X7" s="30">
        <v>2.0</v>
      </c>
      <c r="Y7" s="32">
        <v>6.75</v>
      </c>
      <c r="Z7" s="32">
        <v>6.75</v>
      </c>
      <c r="AA7" s="30">
        <v>0.0</v>
      </c>
      <c r="AB7" s="30">
        <v>1.0</v>
      </c>
      <c r="AC7" s="25" t="s">
        <v>143</v>
      </c>
      <c r="AD7" s="25" t="s">
        <v>73</v>
      </c>
      <c r="AE7" s="32">
        <f t="shared" si="4"/>
        <v>5.58</v>
      </c>
      <c r="AF7" s="29" t="s">
        <v>105</v>
      </c>
      <c r="AG7" s="30">
        <v>7.0</v>
      </c>
      <c r="AH7" s="30">
        <f t="shared" si="5"/>
        <v>4</v>
      </c>
      <c r="AI7" s="29"/>
    </row>
    <row r="8">
      <c r="A8" s="11">
        <f t="shared" si="1"/>
        <v>5</v>
      </c>
      <c r="B8" s="16">
        <f>ROUND(Guida!$B$22*H8/Guida!$B$28+Guida!$B$23*MAX(0,MIN(1,(AE8-5.4)/1.6))+Guida!$B$24*0+Guida!$B$25*0,1)</f>
        <v>37</v>
      </c>
      <c r="C8" s="17" t="s">
        <v>172</v>
      </c>
      <c r="D8" s="11" t="s">
        <v>175</v>
      </c>
      <c r="E8" s="18" t="s">
        <v>61</v>
      </c>
      <c r="F8" s="19">
        <v>15.0</v>
      </c>
      <c r="G8" s="19">
        <v>15.0</v>
      </c>
      <c r="H8" s="19">
        <v>52.0</v>
      </c>
      <c r="I8" s="19">
        <f>MAX(1,ROUND(H8^Guida!$B$18*Guida!$F$11,0))</f>
        <v>15</v>
      </c>
      <c r="J8" s="19">
        <f t="shared" si="2"/>
        <v>18</v>
      </c>
      <c r="K8" s="11" t="str">
        <f t="shared" si="3"/>
        <v>2a fascia</v>
      </c>
      <c r="L8" s="11" t="s">
        <v>68</v>
      </c>
      <c r="M8" s="21" t="s">
        <v>70</v>
      </c>
      <c r="N8" s="11" t="s">
        <v>71</v>
      </c>
      <c r="O8" s="11" t="s">
        <v>71</v>
      </c>
      <c r="P8" s="19">
        <v>37.0</v>
      </c>
      <c r="Q8" s="22">
        <v>6.26</v>
      </c>
      <c r="R8" s="22">
        <v>5.42</v>
      </c>
      <c r="S8" s="19">
        <v>0.0</v>
      </c>
      <c r="T8" s="19">
        <v>0.0</v>
      </c>
      <c r="U8" s="11" t="s">
        <v>72</v>
      </c>
      <c r="V8" s="19">
        <v>4.0</v>
      </c>
      <c r="W8" s="19">
        <v>0.0</v>
      </c>
      <c r="X8" s="19">
        <v>2.0</v>
      </c>
      <c r="Y8" s="22">
        <v>6.0</v>
      </c>
      <c r="Z8" s="22">
        <v>5.5</v>
      </c>
      <c r="AA8" s="19">
        <v>0.0</v>
      </c>
      <c r="AB8" s="19">
        <v>0.0</v>
      </c>
      <c r="AC8" s="11" t="s">
        <v>175</v>
      </c>
      <c r="AD8" s="11" t="s">
        <v>73</v>
      </c>
      <c r="AE8" s="22">
        <f t="shared" si="4"/>
        <v>5.42</v>
      </c>
      <c r="AF8" s="18" t="s">
        <v>178</v>
      </c>
      <c r="AG8" s="19">
        <v>0.0</v>
      </c>
      <c r="AH8" s="19">
        <f t="shared" si="5"/>
        <v>5</v>
      </c>
      <c r="AI8" s="18"/>
    </row>
    <row r="9">
      <c r="A9" s="25">
        <f t="shared" si="1"/>
        <v>6</v>
      </c>
      <c r="B9" s="27">
        <f>ROUND(Guida!$B$22*H9/Guida!$B$28+Guida!$B$23*MAX(0,MIN(1,(AE9-5.4)/1.6))+Guida!$B$24*0+Guida!$B$25*0,1)</f>
        <v>35.3</v>
      </c>
      <c r="C9" s="28" t="s">
        <v>181</v>
      </c>
      <c r="D9" s="25" t="s">
        <v>133</v>
      </c>
      <c r="E9" s="29" t="s">
        <v>61</v>
      </c>
      <c r="F9" s="30">
        <v>16.0</v>
      </c>
      <c r="G9" s="30">
        <v>15.0</v>
      </c>
      <c r="H9" s="30">
        <v>50.0</v>
      </c>
      <c r="I9" s="30">
        <f>MAX(1,ROUND(H9^Guida!$B$18*Guida!$F$11,0))</f>
        <v>14</v>
      </c>
      <c r="J9" s="30">
        <f t="shared" si="2"/>
        <v>17</v>
      </c>
      <c r="K9" s="25" t="str">
        <f t="shared" si="3"/>
        <v>3a fascia</v>
      </c>
      <c r="L9" s="25" t="s">
        <v>68</v>
      </c>
      <c r="M9" s="21" t="s">
        <v>70</v>
      </c>
      <c r="N9" s="25" t="s">
        <v>71</v>
      </c>
      <c r="O9" s="25" t="s">
        <v>71</v>
      </c>
      <c r="P9" s="30">
        <v>38.0</v>
      </c>
      <c r="Q9" s="32">
        <v>6.07</v>
      </c>
      <c r="R9" s="32">
        <v>5.37</v>
      </c>
      <c r="S9" s="30">
        <v>0.0</v>
      </c>
      <c r="T9" s="30">
        <v>1.0</v>
      </c>
      <c r="U9" s="25" t="s">
        <v>72</v>
      </c>
      <c r="V9" s="30">
        <v>3.0</v>
      </c>
      <c r="W9" s="30">
        <v>0.0</v>
      </c>
      <c r="X9" s="30">
        <v>2.0</v>
      </c>
      <c r="Y9" s="32">
        <v>5.75</v>
      </c>
      <c r="Z9" s="32">
        <v>4.75</v>
      </c>
      <c r="AA9" s="30">
        <v>0.0</v>
      </c>
      <c r="AB9" s="30">
        <v>0.0</v>
      </c>
      <c r="AC9" s="25" t="s">
        <v>133</v>
      </c>
      <c r="AD9" s="25" t="s">
        <v>73</v>
      </c>
      <c r="AE9" s="32">
        <f t="shared" si="4"/>
        <v>5.37</v>
      </c>
      <c r="AF9" s="29" t="s">
        <v>186</v>
      </c>
      <c r="AG9" s="30">
        <v>6.0</v>
      </c>
      <c r="AH9" s="30">
        <f t="shared" si="5"/>
        <v>6</v>
      </c>
      <c r="AI9" s="29"/>
    </row>
    <row r="10">
      <c r="A10" s="11">
        <f t="shared" si="1"/>
        <v>7</v>
      </c>
      <c r="B10" s="16">
        <f>ROUND(Guida!$B$22*H10/Guida!$B$28+Guida!$B$23*MAX(0,MIN(1,(AE10-5.4)/1.6))+Guida!$B$24*0+Guida!$B$25*0,1)</f>
        <v>33.9</v>
      </c>
      <c r="C10" s="17" t="s">
        <v>189</v>
      </c>
      <c r="D10" s="11" t="s">
        <v>191</v>
      </c>
      <c r="E10" s="18" t="s">
        <v>61</v>
      </c>
      <c r="F10" s="19">
        <v>11.0</v>
      </c>
      <c r="G10" s="19">
        <v>11.0</v>
      </c>
      <c r="H10" s="19">
        <v>48.0</v>
      </c>
      <c r="I10" s="19">
        <f>MAX(1,ROUND(H10^Guida!$B$18*Guida!$F$11,0))</f>
        <v>14</v>
      </c>
      <c r="J10" s="19">
        <f t="shared" si="2"/>
        <v>17</v>
      </c>
      <c r="K10" s="11" t="str">
        <f t="shared" si="3"/>
        <v>3a fascia</v>
      </c>
      <c r="L10" s="11" t="s">
        <v>68</v>
      </c>
      <c r="M10" s="21" t="s">
        <v>70</v>
      </c>
      <c r="N10" s="11" t="s">
        <v>71</v>
      </c>
      <c r="O10" s="11" t="s">
        <v>71</v>
      </c>
      <c r="P10" s="19">
        <v>11.0</v>
      </c>
      <c r="Q10" s="22">
        <v>6.23</v>
      </c>
      <c r="R10" s="22">
        <v>5.18</v>
      </c>
      <c r="S10" s="19">
        <v>0.0</v>
      </c>
      <c r="T10" s="19">
        <v>1.0</v>
      </c>
      <c r="U10" s="11" t="s">
        <v>72</v>
      </c>
      <c r="V10" s="19">
        <v>1.0</v>
      </c>
      <c r="W10" s="19">
        <v>0.0</v>
      </c>
      <c r="X10" s="19">
        <v>2.0</v>
      </c>
      <c r="Y10" s="22">
        <v>6.0</v>
      </c>
      <c r="Z10" s="22">
        <v>5.0</v>
      </c>
      <c r="AA10" s="19">
        <v>0.0</v>
      </c>
      <c r="AB10" s="19">
        <v>0.0</v>
      </c>
      <c r="AC10" s="11" t="s">
        <v>191</v>
      </c>
      <c r="AD10" s="11" t="s">
        <v>73</v>
      </c>
      <c r="AE10" s="22">
        <f t="shared" si="4"/>
        <v>5.36</v>
      </c>
      <c r="AF10" s="18" t="s">
        <v>105</v>
      </c>
      <c r="AG10" s="19">
        <v>3.0</v>
      </c>
      <c r="AH10" s="19">
        <f t="shared" si="5"/>
        <v>7</v>
      </c>
      <c r="AI10" s="18"/>
    </row>
    <row r="11">
      <c r="A11" s="25">
        <f t="shared" si="1"/>
        <v>8</v>
      </c>
      <c r="B11" s="27">
        <f>ROUND(Guida!$B$22*H11/Guida!$B$28+Guida!$B$23*MAX(0,MIN(1,(AE11-5.4)/1.6))+Guida!$B$24*0+Guida!$B$25*0,1)</f>
        <v>27</v>
      </c>
      <c r="C11" s="28" t="s">
        <v>194</v>
      </c>
      <c r="D11" s="25" t="s">
        <v>195</v>
      </c>
      <c r="E11" s="29" t="s">
        <v>61</v>
      </c>
      <c r="F11" s="30">
        <v>9.0</v>
      </c>
      <c r="G11" s="30">
        <v>10.0</v>
      </c>
      <c r="H11" s="30">
        <v>36.0</v>
      </c>
      <c r="I11" s="30">
        <f>MAX(1,ROUND(H11^Guida!$B$18*Guida!$F$11,0))</f>
        <v>12</v>
      </c>
      <c r="J11" s="30">
        <f t="shared" si="2"/>
        <v>14</v>
      </c>
      <c r="K11" s="25" t="str">
        <f t="shared" si="3"/>
        <v>3a fascia</v>
      </c>
      <c r="L11" s="25" t="s">
        <v>68</v>
      </c>
      <c r="M11" s="21" t="s">
        <v>70</v>
      </c>
      <c r="N11" s="25" t="s">
        <v>71</v>
      </c>
      <c r="O11" s="25" t="s">
        <v>71</v>
      </c>
      <c r="P11" s="30"/>
      <c r="Q11" s="32"/>
      <c r="R11" s="32"/>
      <c r="S11" s="30"/>
      <c r="T11" s="30"/>
      <c r="U11" s="25"/>
      <c r="V11" s="30"/>
      <c r="W11" s="30"/>
      <c r="X11" s="30">
        <v>2.0</v>
      </c>
      <c r="Y11" s="32">
        <v>6.25</v>
      </c>
      <c r="Z11" s="32">
        <v>6.25</v>
      </c>
      <c r="AA11" s="30">
        <v>0.0</v>
      </c>
      <c r="AB11" s="30">
        <v>0.0</v>
      </c>
      <c r="AC11" s="25" t="s">
        <v>195</v>
      </c>
      <c r="AD11" s="25" t="s">
        <v>73</v>
      </c>
      <c r="AE11" s="32">
        <f t="shared" si="4"/>
        <v>5.5</v>
      </c>
      <c r="AF11" s="29" t="s">
        <v>105</v>
      </c>
      <c r="AG11" s="30">
        <v>0.0</v>
      </c>
      <c r="AH11" s="30">
        <f t="shared" si="5"/>
        <v>8</v>
      </c>
      <c r="AI11" s="29"/>
    </row>
    <row r="12">
      <c r="A12" s="11">
        <f t="shared" si="1"/>
        <v>9</v>
      </c>
      <c r="B12" s="16">
        <f>ROUND(Guida!$B$22*H12/Guida!$B$28+Guida!$B$23*MAX(0,MIN(1,(AE12-5.4)/1.6))+Guida!$B$24*0+Guida!$B$25*0,1)</f>
        <v>22.6</v>
      </c>
      <c r="C12" s="17" t="s">
        <v>200</v>
      </c>
      <c r="D12" s="11" t="s">
        <v>182</v>
      </c>
      <c r="E12" s="18" t="s">
        <v>61</v>
      </c>
      <c r="F12" s="19">
        <v>10.0</v>
      </c>
      <c r="G12" s="19">
        <v>10.0</v>
      </c>
      <c r="H12" s="19">
        <v>32.0</v>
      </c>
      <c r="I12" s="19">
        <f>MAX(1,ROUND(H12^Guida!$B$18*Guida!$F$11,0))</f>
        <v>11</v>
      </c>
      <c r="J12" s="19">
        <f t="shared" si="2"/>
        <v>13</v>
      </c>
      <c r="K12" s="11" t="str">
        <f t="shared" si="3"/>
        <v>3a fascia</v>
      </c>
      <c r="L12" s="11" t="s">
        <v>68</v>
      </c>
      <c r="M12" s="21" t="s">
        <v>70</v>
      </c>
      <c r="N12" s="11" t="s">
        <v>71</v>
      </c>
      <c r="O12" s="11" t="s">
        <v>71</v>
      </c>
      <c r="P12" s="19">
        <v>18.0</v>
      </c>
      <c r="Q12" s="22">
        <v>6.19</v>
      </c>
      <c r="R12" s="22">
        <v>5.28</v>
      </c>
      <c r="S12" s="19">
        <v>0.0</v>
      </c>
      <c r="T12" s="19">
        <v>0.0</v>
      </c>
      <c r="U12" s="11" t="s">
        <v>72</v>
      </c>
      <c r="V12" s="19">
        <v>1.0</v>
      </c>
      <c r="W12" s="19">
        <v>1.0</v>
      </c>
      <c r="X12" s="19">
        <v>2.0</v>
      </c>
      <c r="Y12" s="22">
        <v>5.5</v>
      </c>
      <c r="Z12" s="22">
        <v>4.5</v>
      </c>
      <c r="AA12" s="19">
        <v>0.0</v>
      </c>
      <c r="AB12" s="19">
        <v>0.0</v>
      </c>
      <c r="AC12" s="11" t="s">
        <v>182</v>
      </c>
      <c r="AD12" s="11" t="s">
        <v>73</v>
      </c>
      <c r="AE12" s="22">
        <f t="shared" si="4"/>
        <v>5.34</v>
      </c>
      <c r="AF12" s="18" t="s">
        <v>204</v>
      </c>
      <c r="AG12" s="19">
        <v>6.0</v>
      </c>
      <c r="AH12" s="19">
        <f t="shared" si="5"/>
        <v>9</v>
      </c>
      <c r="AI12" s="18"/>
    </row>
    <row r="13">
      <c r="A13" s="25">
        <f t="shared" si="1"/>
        <v>10</v>
      </c>
      <c r="B13" s="27">
        <f>ROUND(Guida!$B$22*H13/Guida!$B$28+Guida!$B$23*MAX(0,MIN(1,(AE13-5.4)/1.6))+Guida!$B$24*0+Guida!$B$25*0,1)</f>
        <v>21.2</v>
      </c>
      <c r="C13" s="28" t="s">
        <v>207</v>
      </c>
      <c r="D13" s="25" t="s">
        <v>208</v>
      </c>
      <c r="E13" s="29" t="s">
        <v>61</v>
      </c>
      <c r="F13" s="30">
        <v>13.0</v>
      </c>
      <c r="G13" s="30">
        <v>11.0</v>
      </c>
      <c r="H13" s="30">
        <v>30.0</v>
      </c>
      <c r="I13" s="30">
        <f>MAX(1,ROUND(H13^Guida!$B$18*Guida!$F$11,0))</f>
        <v>10</v>
      </c>
      <c r="J13" s="30">
        <f t="shared" si="2"/>
        <v>12</v>
      </c>
      <c r="K13" s="25" t="str">
        <f t="shared" si="3"/>
        <v>3a fascia</v>
      </c>
      <c r="L13" s="25" t="s">
        <v>68</v>
      </c>
      <c r="M13" s="21" t="s">
        <v>70</v>
      </c>
      <c r="N13" s="25" t="s">
        <v>71</v>
      </c>
      <c r="O13" s="25" t="s">
        <v>71</v>
      </c>
      <c r="P13" s="30">
        <v>37.0</v>
      </c>
      <c r="Q13" s="32">
        <v>6.24</v>
      </c>
      <c r="R13" s="32">
        <v>5.0</v>
      </c>
      <c r="S13" s="30">
        <v>0.0</v>
      </c>
      <c r="T13" s="30">
        <v>0.0</v>
      </c>
      <c r="U13" s="25" t="s">
        <v>72</v>
      </c>
      <c r="V13" s="30">
        <v>0.0</v>
      </c>
      <c r="W13" s="30">
        <v>0.0</v>
      </c>
      <c r="X13" s="30">
        <v>2.0</v>
      </c>
      <c r="Y13" s="32">
        <v>5.25</v>
      </c>
      <c r="Z13" s="32">
        <v>1.75</v>
      </c>
      <c r="AA13" s="30">
        <v>0.0</v>
      </c>
      <c r="AB13" s="30">
        <v>0.0</v>
      </c>
      <c r="AC13" s="25" t="s">
        <v>208</v>
      </c>
      <c r="AD13" s="25" t="s">
        <v>73</v>
      </c>
      <c r="AE13" s="32">
        <f t="shared" si="4"/>
        <v>5</v>
      </c>
      <c r="AF13" s="29" t="s">
        <v>210</v>
      </c>
      <c r="AG13" s="30">
        <v>6.0</v>
      </c>
      <c r="AH13" s="30">
        <f t="shared" si="5"/>
        <v>10</v>
      </c>
      <c r="AI13" s="29"/>
    </row>
    <row r="14">
      <c r="A14" s="11">
        <f t="shared" si="1"/>
        <v>11</v>
      </c>
      <c r="B14" s="16">
        <f>ROUND(Guida!$B$22*H14/Guida!$B$28+Guida!$B$23*MAX(0,MIN(1,(AE14-5.4)/1.6))+Guida!$B$24*0+Guida!$B$25*0,1)</f>
        <v>19.9</v>
      </c>
      <c r="C14" s="17" t="s">
        <v>211</v>
      </c>
      <c r="D14" s="11" t="s">
        <v>212</v>
      </c>
      <c r="E14" s="18" t="s">
        <v>61</v>
      </c>
      <c r="F14" s="19">
        <v>9.0</v>
      </c>
      <c r="G14" s="19">
        <v>9.0</v>
      </c>
      <c r="H14" s="19">
        <v>26.0</v>
      </c>
      <c r="I14" s="19">
        <f>MAX(1,ROUND(H14^Guida!$B$18*Guida!$F$11,0))</f>
        <v>10</v>
      </c>
      <c r="J14" s="19">
        <f t="shared" si="2"/>
        <v>12</v>
      </c>
      <c r="K14" s="11" t="str">
        <f t="shared" si="3"/>
        <v>3a fascia</v>
      </c>
      <c r="L14" s="11" t="s">
        <v>68</v>
      </c>
      <c r="M14" s="37" t="s">
        <v>214</v>
      </c>
      <c r="N14" s="11" t="s">
        <v>71</v>
      </c>
      <c r="O14" s="11" t="s">
        <v>71</v>
      </c>
      <c r="P14" s="19"/>
      <c r="Q14" s="22"/>
      <c r="R14" s="22"/>
      <c r="S14" s="19"/>
      <c r="T14" s="19"/>
      <c r="U14" s="11"/>
      <c r="V14" s="19"/>
      <c r="W14" s="19"/>
      <c r="X14" s="19">
        <v>0.0</v>
      </c>
      <c r="Y14" s="22"/>
      <c r="Z14" s="22"/>
      <c r="AA14" s="19"/>
      <c r="AB14" s="19"/>
      <c r="AC14" s="11" t="s">
        <v>71</v>
      </c>
      <c r="AD14" s="11" t="s">
        <v>103</v>
      </c>
      <c r="AE14" s="22">
        <f t="shared" si="4"/>
        <v>5.5</v>
      </c>
      <c r="AF14" s="18" t="s">
        <v>215</v>
      </c>
      <c r="AG14" s="19">
        <v>0.0</v>
      </c>
      <c r="AH14" s="19">
        <f t="shared" si="5"/>
        <v>12</v>
      </c>
      <c r="AI14" s="18"/>
    </row>
    <row r="15">
      <c r="A15" s="25">
        <f t="shared" si="1"/>
        <v>12</v>
      </c>
      <c r="B15" s="27">
        <f>ROUND(Guida!$B$22*H15/Guida!$B$28+Guida!$B$23*MAX(0,MIN(1,(AE15-5.4)/1.6))+Guida!$B$24*0+Guida!$B$25*0,1)</f>
        <v>19.8</v>
      </c>
      <c r="C15" s="28" t="s">
        <v>218</v>
      </c>
      <c r="D15" s="25" t="s">
        <v>185</v>
      </c>
      <c r="E15" s="29" t="s">
        <v>61</v>
      </c>
      <c r="F15" s="30">
        <v>9.0</v>
      </c>
      <c r="G15" s="30">
        <v>9.0</v>
      </c>
      <c r="H15" s="30">
        <v>28.0</v>
      </c>
      <c r="I15" s="30">
        <f>MAX(1,ROUND(H15^Guida!$B$18*Guida!$F$11,0))</f>
        <v>10</v>
      </c>
      <c r="J15" s="30">
        <f t="shared" si="2"/>
        <v>12</v>
      </c>
      <c r="K15" s="25" t="str">
        <f t="shared" si="3"/>
        <v>3a fascia</v>
      </c>
      <c r="L15" s="25" t="s">
        <v>68</v>
      </c>
      <c r="M15" s="21" t="s">
        <v>70</v>
      </c>
      <c r="N15" s="25" t="s">
        <v>71</v>
      </c>
      <c r="O15" s="25" t="s">
        <v>71</v>
      </c>
      <c r="P15" s="30">
        <v>30.0</v>
      </c>
      <c r="Q15" s="32">
        <v>6.07</v>
      </c>
      <c r="R15" s="32">
        <v>5.08</v>
      </c>
      <c r="S15" s="30">
        <v>0.0</v>
      </c>
      <c r="T15" s="30">
        <v>1.0</v>
      </c>
      <c r="U15" s="25" t="s">
        <v>72</v>
      </c>
      <c r="V15" s="30">
        <v>1.0</v>
      </c>
      <c r="W15" s="30">
        <v>1.0</v>
      </c>
      <c r="X15" s="30">
        <v>2.0</v>
      </c>
      <c r="Y15" s="32">
        <v>6.25</v>
      </c>
      <c r="Z15" s="32">
        <v>4.75</v>
      </c>
      <c r="AA15" s="30">
        <v>0.0</v>
      </c>
      <c r="AB15" s="30">
        <v>0.0</v>
      </c>
      <c r="AC15" s="25" t="s">
        <v>185</v>
      </c>
      <c r="AD15" s="25" t="s">
        <v>73</v>
      </c>
      <c r="AE15" s="32">
        <f t="shared" si="4"/>
        <v>5.08</v>
      </c>
      <c r="AF15" s="29" t="s">
        <v>124</v>
      </c>
      <c r="AG15" s="30">
        <v>7.0</v>
      </c>
      <c r="AH15" s="30">
        <f t="shared" si="5"/>
        <v>11</v>
      </c>
      <c r="AI15" s="29"/>
    </row>
    <row r="16">
      <c r="A16" s="11">
        <f t="shared" si="1"/>
        <v>13</v>
      </c>
      <c r="B16" s="16">
        <f>ROUND(Guida!$B$22*H16/Guida!$B$28+Guida!$B$23*MAX(0,MIN(1,(AE16-5.4)/1.6))+Guida!$B$24*0+Guida!$B$25*0,1)</f>
        <v>19.2</v>
      </c>
      <c r="C16" s="17" t="s">
        <v>224</v>
      </c>
      <c r="D16" s="11" t="s">
        <v>133</v>
      </c>
      <c r="E16" s="18" t="s">
        <v>61</v>
      </c>
      <c r="F16" s="19">
        <v>8.0</v>
      </c>
      <c r="G16" s="19">
        <v>8.0</v>
      </c>
      <c r="H16" s="19">
        <v>25.0</v>
      </c>
      <c r="I16" s="19">
        <f>MAX(1,ROUND(H16^Guida!$B$18*Guida!$F$11,0))</f>
        <v>9</v>
      </c>
      <c r="J16" s="19">
        <f t="shared" si="2"/>
        <v>11</v>
      </c>
      <c r="K16" s="11" t="str">
        <f t="shared" si="3"/>
        <v>3a fascia</v>
      </c>
      <c r="L16" s="11" t="s">
        <v>226</v>
      </c>
      <c r="M16" s="18" t="s">
        <v>227</v>
      </c>
      <c r="N16" s="11" t="s">
        <v>71</v>
      </c>
      <c r="O16" s="11" t="s">
        <v>71</v>
      </c>
      <c r="P16" s="19"/>
      <c r="Q16" s="22"/>
      <c r="R16" s="22"/>
      <c r="S16" s="19"/>
      <c r="T16" s="19"/>
      <c r="U16" s="11"/>
      <c r="V16" s="19"/>
      <c r="W16" s="19"/>
      <c r="X16" s="19">
        <v>0.0</v>
      </c>
      <c r="Y16" s="22"/>
      <c r="Z16" s="22"/>
      <c r="AA16" s="19"/>
      <c r="AB16" s="19"/>
      <c r="AC16" s="11" t="s">
        <v>71</v>
      </c>
      <c r="AD16" s="11" t="s">
        <v>103</v>
      </c>
      <c r="AE16" s="22">
        <f t="shared" si="4"/>
        <v>5.5</v>
      </c>
      <c r="AF16" s="18" t="s">
        <v>186</v>
      </c>
      <c r="AG16" s="19">
        <v>6.0</v>
      </c>
      <c r="AH16" s="19">
        <f t="shared" si="5"/>
        <v>14</v>
      </c>
      <c r="AI16" s="18"/>
    </row>
    <row r="17">
      <c r="A17" s="25">
        <f t="shared" si="1"/>
        <v>14</v>
      </c>
      <c r="B17" s="27">
        <f>ROUND(Guida!$B$22*H17/Guida!$B$28+Guida!$B$23*MAX(0,MIN(1,(AE17-5.4)/1.6))+Guida!$B$24*0+Guida!$B$25*0,1)</f>
        <v>18.4</v>
      </c>
      <c r="C17" s="28" t="s">
        <v>231</v>
      </c>
      <c r="D17" s="25" t="s">
        <v>232</v>
      </c>
      <c r="E17" s="29" t="s">
        <v>61</v>
      </c>
      <c r="F17" s="30">
        <v>8.0</v>
      </c>
      <c r="G17" s="30">
        <v>8.0</v>
      </c>
      <c r="H17" s="30">
        <v>26.0</v>
      </c>
      <c r="I17" s="30">
        <f>MAX(1,ROUND(H17^Guida!$B$18*Guida!$F$11,0))</f>
        <v>10</v>
      </c>
      <c r="J17" s="30">
        <f t="shared" si="2"/>
        <v>12</v>
      </c>
      <c r="K17" s="25" t="str">
        <f t="shared" si="3"/>
        <v>3a fascia</v>
      </c>
      <c r="L17" s="25" t="s">
        <v>68</v>
      </c>
      <c r="M17" s="21" t="s">
        <v>70</v>
      </c>
      <c r="N17" s="25" t="s">
        <v>71</v>
      </c>
      <c r="O17" s="25" t="s">
        <v>71</v>
      </c>
      <c r="P17" s="30">
        <v>38.0</v>
      </c>
      <c r="Q17" s="32">
        <v>6.41</v>
      </c>
      <c r="R17" s="32">
        <v>5.22</v>
      </c>
      <c r="S17" s="30">
        <v>0.0</v>
      </c>
      <c r="T17" s="30">
        <v>0.0</v>
      </c>
      <c r="U17" s="25" t="s">
        <v>72</v>
      </c>
      <c r="V17" s="30">
        <v>2.0</v>
      </c>
      <c r="W17" s="30">
        <v>0.0</v>
      </c>
      <c r="X17" s="30">
        <v>2.0</v>
      </c>
      <c r="Y17" s="32">
        <v>6.25</v>
      </c>
      <c r="Z17" s="32">
        <v>4.25</v>
      </c>
      <c r="AA17" s="30">
        <v>0.0</v>
      </c>
      <c r="AB17" s="30">
        <v>0.0</v>
      </c>
      <c r="AC17" s="25" t="s">
        <v>232</v>
      </c>
      <c r="AD17" s="25" t="s">
        <v>73</v>
      </c>
      <c r="AE17" s="32">
        <f t="shared" si="4"/>
        <v>5.22</v>
      </c>
      <c r="AF17" s="29" t="s">
        <v>237</v>
      </c>
      <c r="AG17" s="30">
        <v>6.0</v>
      </c>
      <c r="AH17" s="30">
        <f t="shared" si="5"/>
        <v>12</v>
      </c>
      <c r="AI17" s="29"/>
    </row>
    <row r="18">
      <c r="A18" s="11">
        <f t="shared" si="1"/>
        <v>15</v>
      </c>
      <c r="B18" s="16">
        <f>ROUND(Guida!$B$22*H18/Guida!$B$28+Guida!$B$23*MAX(0,MIN(1,(AE18-5.4)/1.6))+Guida!$B$24*0+Guida!$B$25*0,1)</f>
        <v>17.6</v>
      </c>
      <c r="C18" s="17" t="s">
        <v>238</v>
      </c>
      <c r="D18" s="11" t="s">
        <v>239</v>
      </c>
      <c r="E18" s="18" t="s">
        <v>61</v>
      </c>
      <c r="F18" s="19">
        <v>9.0</v>
      </c>
      <c r="G18" s="19">
        <v>10.0</v>
      </c>
      <c r="H18" s="19">
        <v>25.0</v>
      </c>
      <c r="I18" s="19">
        <f>MAX(1,ROUND(H18^Guida!$B$18*Guida!$F$11,0))</f>
        <v>9</v>
      </c>
      <c r="J18" s="19">
        <f t="shared" si="2"/>
        <v>11</v>
      </c>
      <c r="K18" s="11" t="str">
        <f t="shared" si="3"/>
        <v>3a fascia</v>
      </c>
      <c r="L18" s="11" t="s">
        <v>68</v>
      </c>
      <c r="M18" s="21" t="s">
        <v>70</v>
      </c>
      <c r="N18" s="11" t="s">
        <v>71</v>
      </c>
      <c r="O18" s="11" t="s">
        <v>71</v>
      </c>
      <c r="P18" s="19">
        <v>38.0</v>
      </c>
      <c r="Q18" s="22">
        <v>6.29</v>
      </c>
      <c r="R18" s="22">
        <v>4.87</v>
      </c>
      <c r="S18" s="19">
        <v>0.0</v>
      </c>
      <c r="T18" s="19">
        <v>0.0</v>
      </c>
      <c r="U18" s="11" t="s">
        <v>72</v>
      </c>
      <c r="V18" s="19">
        <v>2.0</v>
      </c>
      <c r="W18" s="19">
        <v>0.0</v>
      </c>
      <c r="X18" s="19">
        <v>2.0</v>
      </c>
      <c r="Y18" s="22">
        <v>6.5</v>
      </c>
      <c r="Z18" s="22">
        <v>6.0</v>
      </c>
      <c r="AA18" s="19">
        <v>0.0</v>
      </c>
      <c r="AB18" s="19">
        <v>0.0</v>
      </c>
      <c r="AC18" s="11" t="s">
        <v>239</v>
      </c>
      <c r="AD18" s="11" t="s">
        <v>73</v>
      </c>
      <c r="AE18" s="22">
        <f t="shared" si="4"/>
        <v>4.87</v>
      </c>
      <c r="AF18" s="18" t="s">
        <v>204</v>
      </c>
      <c r="AG18" s="19">
        <v>6.0</v>
      </c>
      <c r="AH18" s="19">
        <f t="shared" si="5"/>
        <v>14</v>
      </c>
      <c r="AI18" s="18"/>
    </row>
    <row r="19">
      <c r="A19" s="25">
        <f t="shared" si="1"/>
        <v>16</v>
      </c>
      <c r="B19" s="27">
        <f>ROUND(Guida!$B$22*H19/Guida!$B$28+Guida!$B$23*MAX(0,MIN(1,(AE19-5.4)/1.6))+Guida!$B$24*0+Guida!$B$25*0,1)</f>
        <v>10.6</v>
      </c>
      <c r="C19" s="28" t="s">
        <v>243</v>
      </c>
      <c r="D19" s="25" t="s">
        <v>177</v>
      </c>
      <c r="E19" s="29" t="s">
        <v>61</v>
      </c>
      <c r="F19" s="30">
        <v>8.0</v>
      </c>
      <c r="G19" s="30">
        <v>8.0</v>
      </c>
      <c r="H19" s="30">
        <v>15.0</v>
      </c>
      <c r="I19" s="30">
        <f>MAX(1,ROUND(H19^Guida!$B$18*Guida!$F$11,0))</f>
        <v>7</v>
      </c>
      <c r="J19" s="30">
        <f t="shared" si="2"/>
        <v>8</v>
      </c>
      <c r="K19" s="25" t="str">
        <f t="shared" si="3"/>
        <v>3a fascia</v>
      </c>
      <c r="L19" s="25" t="s">
        <v>68</v>
      </c>
      <c r="M19" s="21" t="s">
        <v>70</v>
      </c>
      <c r="N19" s="25" t="s">
        <v>71</v>
      </c>
      <c r="O19" s="25" t="s">
        <v>71</v>
      </c>
      <c r="P19" s="30">
        <v>16.0</v>
      </c>
      <c r="Q19" s="32">
        <v>6.06</v>
      </c>
      <c r="R19" s="32">
        <v>4.78</v>
      </c>
      <c r="S19" s="30">
        <v>0.0</v>
      </c>
      <c r="T19" s="30">
        <v>0.0</v>
      </c>
      <c r="U19" s="25" t="s">
        <v>72</v>
      </c>
      <c r="V19" s="30">
        <v>1.0</v>
      </c>
      <c r="W19" s="30">
        <v>0.0</v>
      </c>
      <c r="X19" s="30">
        <v>2.0</v>
      </c>
      <c r="Y19" s="32">
        <v>5.5</v>
      </c>
      <c r="Z19" s="32">
        <v>4.0</v>
      </c>
      <c r="AA19" s="30">
        <v>0.0</v>
      </c>
      <c r="AB19" s="30">
        <v>0.0</v>
      </c>
      <c r="AC19" s="25" t="s">
        <v>177</v>
      </c>
      <c r="AD19" s="25" t="s">
        <v>73</v>
      </c>
      <c r="AE19" s="32">
        <f t="shared" si="4"/>
        <v>5.04</v>
      </c>
      <c r="AF19" s="29" t="s">
        <v>124</v>
      </c>
      <c r="AG19" s="30">
        <v>7.0</v>
      </c>
      <c r="AH19" s="30">
        <f t="shared" si="5"/>
        <v>16</v>
      </c>
      <c r="AI19" s="29"/>
    </row>
    <row r="20">
      <c r="A20" s="11">
        <f t="shared" si="1"/>
        <v>16</v>
      </c>
      <c r="B20" s="16">
        <f>ROUND(Guida!$B$22*H20/Guida!$B$28+Guida!$B$23*MAX(0,MIN(1,(AE20-5.4)/1.6))+Guida!$B$24*0+Guida!$B$25*0,1)</f>
        <v>10.6</v>
      </c>
      <c r="C20" s="17" t="s">
        <v>252</v>
      </c>
      <c r="D20" s="11" t="s">
        <v>253</v>
      </c>
      <c r="E20" s="18" t="s">
        <v>61</v>
      </c>
      <c r="F20" s="19">
        <v>7.0</v>
      </c>
      <c r="G20" s="19">
        <v>7.0</v>
      </c>
      <c r="H20" s="19">
        <v>15.0</v>
      </c>
      <c r="I20" s="19">
        <f>MAX(1,ROUND(H20^Guida!$B$18*Guida!$F$11,0))</f>
        <v>7</v>
      </c>
      <c r="J20" s="19">
        <f t="shared" si="2"/>
        <v>8</v>
      </c>
      <c r="K20" s="11" t="str">
        <f t="shared" si="3"/>
        <v>3a fascia</v>
      </c>
      <c r="L20" s="11" t="s">
        <v>68</v>
      </c>
      <c r="M20" s="21" t="s">
        <v>70</v>
      </c>
      <c r="N20" s="11" t="s">
        <v>71</v>
      </c>
      <c r="O20" s="11" t="s">
        <v>71</v>
      </c>
      <c r="P20" s="19">
        <v>32.0</v>
      </c>
      <c r="Q20" s="22">
        <v>6.08</v>
      </c>
      <c r="R20" s="22">
        <v>4.77</v>
      </c>
      <c r="S20" s="19">
        <v>0.0</v>
      </c>
      <c r="T20" s="19">
        <v>0.0</v>
      </c>
      <c r="U20" s="11" t="s">
        <v>72</v>
      </c>
      <c r="V20" s="19">
        <v>4.0</v>
      </c>
      <c r="W20" s="19">
        <v>0.0</v>
      </c>
      <c r="X20" s="19">
        <v>2.0</v>
      </c>
      <c r="Y20" s="22">
        <v>6.25</v>
      </c>
      <c r="Z20" s="22">
        <v>4.75</v>
      </c>
      <c r="AA20" s="19">
        <v>0.0</v>
      </c>
      <c r="AB20" s="19">
        <v>0.0</v>
      </c>
      <c r="AC20" s="11" t="s">
        <v>253</v>
      </c>
      <c r="AD20" s="11" t="s">
        <v>73</v>
      </c>
      <c r="AE20" s="22">
        <f t="shared" si="4"/>
        <v>4.77</v>
      </c>
      <c r="AF20" s="18" t="s">
        <v>255</v>
      </c>
      <c r="AG20" s="19">
        <v>4.0</v>
      </c>
      <c r="AH20" s="19">
        <f t="shared" si="5"/>
        <v>16</v>
      </c>
      <c r="AI20" s="18"/>
    </row>
    <row r="21" ht="15.75" customHeight="1">
      <c r="A21" s="25">
        <f t="shared" si="1"/>
        <v>18</v>
      </c>
      <c r="B21" s="27">
        <f>ROUND(Guida!$B$22*H21/Guida!$B$28+Guida!$B$23*MAX(0,MIN(1,(AE21-5.4)/1.6))+Guida!$B$24*0+Guida!$B$25*0,1)</f>
        <v>10</v>
      </c>
      <c r="C21" s="28" t="s">
        <v>260</v>
      </c>
      <c r="D21" s="25" t="s">
        <v>261</v>
      </c>
      <c r="E21" s="29" t="s">
        <v>61</v>
      </c>
      <c r="F21" s="30">
        <v>4.0</v>
      </c>
      <c r="G21" s="30">
        <v>5.0</v>
      </c>
      <c r="H21" s="30">
        <v>12.0</v>
      </c>
      <c r="I21" s="30">
        <f>MAX(1,ROUND(H21^Guida!$B$18*Guida!$F$11,0))</f>
        <v>6</v>
      </c>
      <c r="J21" s="30">
        <f t="shared" si="2"/>
        <v>7</v>
      </c>
      <c r="K21" s="25" t="str">
        <f t="shared" si="3"/>
        <v>4a fascia</v>
      </c>
      <c r="L21" s="25" t="s">
        <v>68</v>
      </c>
      <c r="M21" s="21" t="s">
        <v>100</v>
      </c>
      <c r="N21" s="25" t="s">
        <v>71</v>
      </c>
      <c r="O21" s="25" t="s">
        <v>71</v>
      </c>
      <c r="P21" s="30"/>
      <c r="Q21" s="32"/>
      <c r="R21" s="32"/>
      <c r="S21" s="30"/>
      <c r="T21" s="30"/>
      <c r="U21" s="25"/>
      <c r="V21" s="30"/>
      <c r="W21" s="30"/>
      <c r="X21" s="30">
        <v>2.0</v>
      </c>
      <c r="Y21" s="32">
        <v>6.25</v>
      </c>
      <c r="Z21" s="32">
        <v>5.75</v>
      </c>
      <c r="AA21" s="30">
        <v>0.0</v>
      </c>
      <c r="AB21" s="30">
        <v>0.0</v>
      </c>
      <c r="AC21" s="25" t="s">
        <v>71</v>
      </c>
      <c r="AD21" s="25" t="s">
        <v>103</v>
      </c>
      <c r="AE21" s="32">
        <f t="shared" si="4"/>
        <v>5.5</v>
      </c>
      <c r="AF21" s="29" t="s">
        <v>210</v>
      </c>
      <c r="AG21" s="30">
        <v>6.0</v>
      </c>
      <c r="AH21" s="30">
        <f t="shared" si="5"/>
        <v>18</v>
      </c>
      <c r="AI21" s="29"/>
    </row>
    <row r="22" ht="15.75" customHeight="1">
      <c r="A22" s="11">
        <f t="shared" si="1"/>
        <v>19</v>
      </c>
      <c r="B22" s="16">
        <f>ROUND(Guida!$B$22*H22/Guida!$B$28+Guida!$B$23*MAX(0,MIN(1,(AE22-5.4)/1.6))+Guida!$B$24*0+Guida!$B$25*0,1)</f>
        <v>9.3</v>
      </c>
      <c r="C22" s="17" t="s">
        <v>263</v>
      </c>
      <c r="D22" s="11" t="s">
        <v>264</v>
      </c>
      <c r="E22" s="18" t="s">
        <v>61</v>
      </c>
      <c r="F22" s="19">
        <v>6.0</v>
      </c>
      <c r="G22" s="19">
        <v>6.0</v>
      </c>
      <c r="H22" s="19">
        <v>11.0</v>
      </c>
      <c r="I22" s="19">
        <f>MAX(1,ROUND(H22^Guida!$B$18*Guida!$F$11,0))</f>
        <v>6</v>
      </c>
      <c r="J22" s="19">
        <f t="shared" si="2"/>
        <v>7</v>
      </c>
      <c r="K22" s="11" t="str">
        <f t="shared" si="3"/>
        <v>4a fascia</v>
      </c>
      <c r="L22" s="11" t="s">
        <v>68</v>
      </c>
      <c r="M22" s="21" t="s">
        <v>100</v>
      </c>
      <c r="N22" s="11" t="s">
        <v>71</v>
      </c>
      <c r="O22" s="11" t="s">
        <v>71</v>
      </c>
      <c r="P22" s="19"/>
      <c r="Q22" s="22"/>
      <c r="R22" s="22"/>
      <c r="S22" s="19"/>
      <c r="T22" s="19"/>
      <c r="U22" s="11"/>
      <c r="V22" s="19"/>
      <c r="W22" s="19"/>
      <c r="X22" s="19">
        <v>2.0</v>
      </c>
      <c r="Y22" s="22">
        <v>6.0</v>
      </c>
      <c r="Z22" s="22">
        <v>4.0</v>
      </c>
      <c r="AA22" s="19">
        <v>0.0</v>
      </c>
      <c r="AB22" s="19">
        <v>0.0</v>
      </c>
      <c r="AC22" s="11" t="s">
        <v>71</v>
      </c>
      <c r="AD22" s="11" t="s">
        <v>103</v>
      </c>
      <c r="AE22" s="22">
        <f t="shared" si="4"/>
        <v>5.5</v>
      </c>
      <c r="AF22" s="18" t="s">
        <v>268</v>
      </c>
      <c r="AG22" s="19">
        <v>6.0</v>
      </c>
      <c r="AH22" s="19">
        <f t="shared" si="5"/>
        <v>19</v>
      </c>
      <c r="AI22" s="18"/>
    </row>
    <row r="23" ht="15.75" customHeight="1">
      <c r="A23" s="25">
        <f t="shared" si="1"/>
        <v>20</v>
      </c>
      <c r="B23" s="27">
        <f>ROUND(Guida!$B$22*H23/Guida!$B$28+Guida!$B$23*MAX(0,MIN(1,(AE23-5.4)/1.6))+Guida!$B$24*0+Guida!$B$25*0,1)</f>
        <v>8.6</v>
      </c>
      <c r="C23" s="28" t="s">
        <v>271</v>
      </c>
      <c r="D23" s="25" t="s">
        <v>272</v>
      </c>
      <c r="E23" s="29" t="s">
        <v>61</v>
      </c>
      <c r="F23" s="30">
        <v>1.0</v>
      </c>
      <c r="G23" s="30">
        <v>1.0</v>
      </c>
      <c r="H23" s="30">
        <v>10.0</v>
      </c>
      <c r="I23" s="30">
        <f>MAX(1,ROUND(H23^Guida!$B$18*Guida!$F$11,0))</f>
        <v>5</v>
      </c>
      <c r="J23" s="30">
        <f t="shared" si="2"/>
        <v>6</v>
      </c>
      <c r="K23" s="25" t="str">
        <f t="shared" si="3"/>
        <v>4a fascia</v>
      </c>
      <c r="L23" s="25" t="s">
        <v>226</v>
      </c>
      <c r="M23" s="29" t="s">
        <v>227</v>
      </c>
      <c r="N23" s="25" t="s">
        <v>71</v>
      </c>
      <c r="O23" s="25" t="s">
        <v>71</v>
      </c>
      <c r="P23" s="30"/>
      <c r="Q23" s="32"/>
      <c r="R23" s="32"/>
      <c r="S23" s="30"/>
      <c r="T23" s="30"/>
      <c r="U23" s="25"/>
      <c r="V23" s="30"/>
      <c r="W23" s="30"/>
      <c r="X23" s="30">
        <v>0.0</v>
      </c>
      <c r="Y23" s="32"/>
      <c r="Z23" s="32"/>
      <c r="AA23" s="30"/>
      <c r="AB23" s="30"/>
      <c r="AC23" s="25" t="s">
        <v>71</v>
      </c>
      <c r="AD23" s="25" t="s">
        <v>103</v>
      </c>
      <c r="AE23" s="32">
        <f t="shared" si="4"/>
        <v>5.5</v>
      </c>
      <c r="AF23" s="29" t="s">
        <v>276</v>
      </c>
      <c r="AG23" s="30">
        <v>6.0</v>
      </c>
      <c r="AH23" s="30">
        <f t="shared" si="5"/>
        <v>20</v>
      </c>
      <c r="AI23" s="29"/>
    </row>
    <row r="24" ht="15.75" customHeight="1">
      <c r="A24" s="11">
        <f t="shared" si="1"/>
        <v>21</v>
      </c>
      <c r="B24" s="16">
        <f>ROUND(Guida!$B$22*H24/Guida!$B$28+Guida!$B$23*MAX(0,MIN(1,(AE24-5.4)/1.6))+Guida!$B$24*0+Guida!$B$25*0,1)</f>
        <v>7.4</v>
      </c>
      <c r="C24" s="17" t="s">
        <v>279</v>
      </c>
      <c r="D24" s="11" t="s">
        <v>191</v>
      </c>
      <c r="E24" s="18" t="s">
        <v>61</v>
      </c>
      <c r="F24" s="19">
        <v>5.0</v>
      </c>
      <c r="G24" s="19">
        <v>5.0</v>
      </c>
      <c r="H24" s="19">
        <v>5.0</v>
      </c>
      <c r="I24" s="19">
        <f>MAX(1,ROUND(H24^Guida!$B$18*Guida!$F$11,0))</f>
        <v>4</v>
      </c>
      <c r="J24" s="19">
        <f t="shared" si="2"/>
        <v>5</v>
      </c>
      <c r="K24" s="11" t="str">
        <f t="shared" si="3"/>
        <v>4a fascia</v>
      </c>
      <c r="L24" s="11" t="s">
        <v>226</v>
      </c>
      <c r="M24" s="18" t="s">
        <v>281</v>
      </c>
      <c r="N24" s="11" t="s">
        <v>71</v>
      </c>
      <c r="O24" s="11" t="s">
        <v>71</v>
      </c>
      <c r="P24" s="19">
        <v>27.0</v>
      </c>
      <c r="Q24" s="22">
        <v>6.2</v>
      </c>
      <c r="R24" s="22">
        <v>5.65</v>
      </c>
      <c r="S24" s="19">
        <v>0.0</v>
      </c>
      <c r="T24" s="19">
        <v>0.0</v>
      </c>
      <c r="U24" s="11" t="s">
        <v>72</v>
      </c>
      <c r="V24" s="19">
        <v>0.0</v>
      </c>
      <c r="W24" s="19">
        <v>0.0</v>
      </c>
      <c r="X24" s="19">
        <v>0.0</v>
      </c>
      <c r="Y24" s="22"/>
      <c r="Z24" s="22"/>
      <c r="AA24" s="19"/>
      <c r="AB24" s="19"/>
      <c r="AC24" s="11" t="s">
        <v>191</v>
      </c>
      <c r="AD24" s="11" t="s">
        <v>73</v>
      </c>
      <c r="AE24" s="22">
        <f t="shared" si="4"/>
        <v>5.65</v>
      </c>
      <c r="AF24" s="18" t="s">
        <v>237</v>
      </c>
      <c r="AG24" s="19">
        <v>6.0</v>
      </c>
      <c r="AH24" s="19">
        <f t="shared" si="5"/>
        <v>23</v>
      </c>
      <c r="AI24" s="18"/>
    </row>
    <row r="25" ht="15.75" customHeight="1">
      <c r="A25" s="25">
        <f t="shared" si="1"/>
        <v>22</v>
      </c>
      <c r="B25" s="27">
        <f>ROUND(Guida!$B$22*H25/Guida!$B$28+Guida!$B$23*MAX(0,MIN(1,(AE25-5.4)/1.6))+Guida!$B$24*0+Guida!$B$25*0,1)</f>
        <v>7.1</v>
      </c>
      <c r="C25" s="28" t="s">
        <v>286</v>
      </c>
      <c r="D25" s="25" t="s">
        <v>283</v>
      </c>
      <c r="E25" s="29" t="s">
        <v>61</v>
      </c>
      <c r="F25" s="30">
        <v>1.0</v>
      </c>
      <c r="G25" s="30">
        <v>2.0</v>
      </c>
      <c r="H25" s="30">
        <v>10.0</v>
      </c>
      <c r="I25" s="30">
        <f>MAX(1,ROUND(H25^Guida!$B$18*Guida!$F$11,0))</f>
        <v>5</v>
      </c>
      <c r="J25" s="30">
        <f t="shared" si="2"/>
        <v>6</v>
      </c>
      <c r="K25" s="25" t="str">
        <f t="shared" si="3"/>
        <v>4a fascia</v>
      </c>
      <c r="L25" s="25" t="s">
        <v>226</v>
      </c>
      <c r="M25" s="29" t="s">
        <v>277</v>
      </c>
      <c r="N25" s="25" t="s">
        <v>71</v>
      </c>
      <c r="O25" s="25" t="s">
        <v>71</v>
      </c>
      <c r="P25" s="30">
        <v>17.0</v>
      </c>
      <c r="Q25" s="32">
        <v>6.18</v>
      </c>
      <c r="R25" s="32">
        <v>5.09</v>
      </c>
      <c r="S25" s="30">
        <v>0.0</v>
      </c>
      <c r="T25" s="30">
        <v>0.0</v>
      </c>
      <c r="U25" s="25" t="s">
        <v>72</v>
      </c>
      <c r="V25" s="30">
        <v>1.0</v>
      </c>
      <c r="W25" s="30">
        <v>0.0</v>
      </c>
      <c r="X25" s="30">
        <v>2.0</v>
      </c>
      <c r="Y25" s="32">
        <v>5.75</v>
      </c>
      <c r="Z25" s="32">
        <v>4.25</v>
      </c>
      <c r="AA25" s="30">
        <v>0.0</v>
      </c>
      <c r="AB25" s="30">
        <v>0.0</v>
      </c>
      <c r="AC25" s="25" t="s">
        <v>283</v>
      </c>
      <c r="AD25" s="25" t="s">
        <v>73</v>
      </c>
      <c r="AE25" s="32">
        <f t="shared" si="4"/>
        <v>5.22</v>
      </c>
      <c r="AF25" s="29" t="s">
        <v>276</v>
      </c>
      <c r="AG25" s="30">
        <v>4.0</v>
      </c>
      <c r="AH25" s="30">
        <f t="shared" si="5"/>
        <v>20</v>
      </c>
      <c r="AI25" s="29"/>
    </row>
    <row r="26" ht="15.75" customHeight="1">
      <c r="A26" s="11">
        <f t="shared" si="1"/>
        <v>23</v>
      </c>
      <c r="B26" s="16">
        <f>ROUND(Guida!$B$22*H26/Guida!$B$28+Guida!$B$23*MAX(0,MIN(1,(AE26-5.4)/1.6))+Guida!$B$24*0+Guida!$B$25*0,1)</f>
        <v>6.5</v>
      </c>
      <c r="C26" s="17" t="s">
        <v>293</v>
      </c>
      <c r="D26" s="11" t="s">
        <v>283</v>
      </c>
      <c r="E26" s="18" t="s">
        <v>61</v>
      </c>
      <c r="F26" s="19">
        <v>7.0</v>
      </c>
      <c r="G26" s="19">
        <v>6.0</v>
      </c>
      <c r="H26" s="19">
        <v>7.0</v>
      </c>
      <c r="I26" s="19">
        <f>MAX(1,ROUND(H26^Guida!$B$18*Guida!$F$11,0))</f>
        <v>4</v>
      </c>
      <c r="J26" s="19">
        <f t="shared" si="2"/>
        <v>5</v>
      </c>
      <c r="K26" s="11" t="str">
        <f t="shared" si="3"/>
        <v>4a fascia</v>
      </c>
      <c r="L26" s="11" t="s">
        <v>68</v>
      </c>
      <c r="M26" s="37" t="s">
        <v>214</v>
      </c>
      <c r="N26" s="11" t="s">
        <v>71</v>
      </c>
      <c r="O26" s="11" t="s">
        <v>71</v>
      </c>
      <c r="P26" s="19"/>
      <c r="Q26" s="22"/>
      <c r="R26" s="22"/>
      <c r="S26" s="19"/>
      <c r="T26" s="19"/>
      <c r="U26" s="11"/>
      <c r="V26" s="19"/>
      <c r="W26" s="19"/>
      <c r="X26" s="19">
        <v>0.0</v>
      </c>
      <c r="Y26" s="22"/>
      <c r="Z26" s="22"/>
      <c r="AA26" s="19"/>
      <c r="AB26" s="19"/>
      <c r="AC26" s="11" t="s">
        <v>71</v>
      </c>
      <c r="AD26" s="11" t="s">
        <v>103</v>
      </c>
      <c r="AE26" s="22">
        <f t="shared" si="4"/>
        <v>5.5</v>
      </c>
      <c r="AF26" s="18" t="s">
        <v>276</v>
      </c>
      <c r="AG26" s="19">
        <v>4.0</v>
      </c>
      <c r="AH26" s="19">
        <f t="shared" si="5"/>
        <v>22</v>
      </c>
      <c r="AI26" s="18"/>
    </row>
    <row r="27" ht="15.75" customHeight="1">
      <c r="A27" s="25">
        <f t="shared" si="1"/>
        <v>24</v>
      </c>
      <c r="B27" s="27">
        <f>ROUND(Guida!$B$22*H27/Guida!$B$28+Guida!$B$23*MAX(0,MIN(1,(AE27-5.4)/1.6))+Guida!$B$24*0+Guida!$B$25*0,1)</f>
        <v>5.1</v>
      </c>
      <c r="C27" s="28" t="s">
        <v>299</v>
      </c>
      <c r="D27" s="25" t="s">
        <v>212</v>
      </c>
      <c r="E27" s="29" t="s">
        <v>61</v>
      </c>
      <c r="F27" s="30">
        <v>1.0</v>
      </c>
      <c r="G27" s="30">
        <v>1.0</v>
      </c>
      <c r="H27" s="30">
        <v>5.0</v>
      </c>
      <c r="I27" s="30">
        <f>MAX(1,ROUND(H27^Guida!$B$18*Guida!$F$11,0))</f>
        <v>4</v>
      </c>
      <c r="J27" s="30">
        <f t="shared" si="2"/>
        <v>5</v>
      </c>
      <c r="K27" s="25" t="str">
        <f t="shared" si="3"/>
        <v>4a fascia</v>
      </c>
      <c r="L27" s="25" t="s">
        <v>226</v>
      </c>
      <c r="M27" s="29" t="s">
        <v>300</v>
      </c>
      <c r="N27" s="25" t="s">
        <v>71</v>
      </c>
      <c r="O27" s="25" t="s">
        <v>71</v>
      </c>
      <c r="P27" s="30"/>
      <c r="Q27" s="32"/>
      <c r="R27" s="32"/>
      <c r="S27" s="30"/>
      <c r="T27" s="30"/>
      <c r="U27" s="25"/>
      <c r="V27" s="30"/>
      <c r="W27" s="30"/>
      <c r="X27" s="30">
        <v>2.0</v>
      </c>
      <c r="Y27" s="32">
        <v>5.75</v>
      </c>
      <c r="Z27" s="32">
        <v>3.75</v>
      </c>
      <c r="AA27" s="30">
        <v>0.0</v>
      </c>
      <c r="AB27" s="30">
        <v>0.0</v>
      </c>
      <c r="AC27" s="25" t="s">
        <v>71</v>
      </c>
      <c r="AD27" s="25" t="s">
        <v>103</v>
      </c>
      <c r="AE27" s="32">
        <f t="shared" si="4"/>
        <v>5.5</v>
      </c>
      <c r="AF27" s="29" t="s">
        <v>276</v>
      </c>
      <c r="AG27" s="30">
        <v>7.0</v>
      </c>
      <c r="AH27" s="30">
        <f t="shared" si="5"/>
        <v>23</v>
      </c>
      <c r="AI27" s="29"/>
    </row>
    <row r="28" ht="15.75" customHeight="1">
      <c r="A28" s="11">
        <f t="shared" si="1"/>
        <v>24</v>
      </c>
      <c r="B28" s="16">
        <f>ROUND(Guida!$B$22*H28/Guida!$B$28+Guida!$B$23*MAX(0,MIN(1,(AE28-5.4)/1.6))+Guida!$B$24*0+Guida!$B$25*0,1)</f>
        <v>5.1</v>
      </c>
      <c r="C28" s="17" t="s">
        <v>305</v>
      </c>
      <c r="D28" s="11" t="s">
        <v>272</v>
      </c>
      <c r="E28" s="18" t="s">
        <v>61</v>
      </c>
      <c r="F28" s="19">
        <v>5.0</v>
      </c>
      <c r="G28" s="19">
        <v>4.0</v>
      </c>
      <c r="H28" s="19">
        <v>5.0</v>
      </c>
      <c r="I28" s="19">
        <f>MAX(1,ROUND(H28^Guida!$B$18*Guida!$F$11,0))</f>
        <v>4</v>
      </c>
      <c r="J28" s="19">
        <f t="shared" si="2"/>
        <v>5</v>
      </c>
      <c r="K28" s="11" t="str">
        <f t="shared" si="3"/>
        <v>4a fascia</v>
      </c>
      <c r="L28" s="11" t="s">
        <v>68</v>
      </c>
      <c r="M28" s="18" t="s">
        <v>294</v>
      </c>
      <c r="N28" s="11" t="s">
        <v>71</v>
      </c>
      <c r="O28" s="11" t="s">
        <v>71</v>
      </c>
      <c r="P28" s="19"/>
      <c r="Q28" s="22"/>
      <c r="R28" s="22"/>
      <c r="S28" s="19"/>
      <c r="T28" s="19"/>
      <c r="U28" s="11"/>
      <c r="V28" s="19"/>
      <c r="W28" s="19"/>
      <c r="X28" s="19">
        <v>1.0</v>
      </c>
      <c r="Y28" s="22">
        <v>4.5</v>
      </c>
      <c r="Z28" s="22">
        <v>1.5</v>
      </c>
      <c r="AA28" s="19">
        <v>0.0</v>
      </c>
      <c r="AB28" s="19">
        <v>0.0</v>
      </c>
      <c r="AC28" s="11" t="s">
        <v>71</v>
      </c>
      <c r="AD28" s="11" t="s">
        <v>103</v>
      </c>
      <c r="AE28" s="22">
        <f t="shared" si="4"/>
        <v>5.5</v>
      </c>
      <c r="AF28" s="18" t="s">
        <v>276</v>
      </c>
      <c r="AG28" s="19">
        <v>6.0</v>
      </c>
      <c r="AH28" s="19">
        <f t="shared" si="5"/>
        <v>23</v>
      </c>
      <c r="AI28" s="18"/>
    </row>
    <row r="29" ht="15.75" customHeight="1">
      <c r="A29" s="25">
        <f t="shared" si="1"/>
        <v>26</v>
      </c>
      <c r="B29" s="27">
        <f>ROUND(Guida!$B$22*H29/Guida!$B$28+Guida!$B$23*MAX(0,MIN(1,(AE29-5.4)/1.6))+Guida!$B$24*0+Guida!$B$25*0,1)</f>
        <v>3.5</v>
      </c>
      <c r="C29" s="28" t="s">
        <v>313</v>
      </c>
      <c r="D29" s="25" t="s">
        <v>64</v>
      </c>
      <c r="E29" s="29" t="s">
        <v>61</v>
      </c>
      <c r="F29" s="30">
        <v>2.0</v>
      </c>
      <c r="G29" s="30">
        <v>2.0</v>
      </c>
      <c r="H29" s="30">
        <v>5.0</v>
      </c>
      <c r="I29" s="30">
        <f>MAX(1,ROUND(H29^Guida!$B$18*Guida!$F$11,0))</f>
        <v>4</v>
      </c>
      <c r="J29" s="30">
        <f t="shared" si="2"/>
        <v>5</v>
      </c>
      <c r="K29" s="25" t="str">
        <f t="shared" si="3"/>
        <v>4a fascia</v>
      </c>
      <c r="L29" s="25" t="s">
        <v>226</v>
      </c>
      <c r="M29" s="29" t="s">
        <v>227</v>
      </c>
      <c r="N29" s="25" t="s">
        <v>71</v>
      </c>
      <c r="O29" s="25" t="s">
        <v>71</v>
      </c>
      <c r="P29" s="30">
        <v>27.0</v>
      </c>
      <c r="Q29" s="32">
        <v>6.26</v>
      </c>
      <c r="R29" s="32">
        <v>5.35</v>
      </c>
      <c r="S29" s="30">
        <v>0.0</v>
      </c>
      <c r="T29" s="30">
        <v>0.0</v>
      </c>
      <c r="U29" s="25" t="s">
        <v>72</v>
      </c>
      <c r="V29" s="30">
        <v>1.0</v>
      </c>
      <c r="W29" s="30">
        <v>0.0</v>
      </c>
      <c r="X29" s="30">
        <v>0.0</v>
      </c>
      <c r="Y29" s="32"/>
      <c r="Z29" s="32"/>
      <c r="AA29" s="30"/>
      <c r="AB29" s="30"/>
      <c r="AC29" s="25" t="s">
        <v>195</v>
      </c>
      <c r="AD29" s="25" t="s">
        <v>103</v>
      </c>
      <c r="AE29" s="32">
        <f t="shared" si="4"/>
        <v>5.35</v>
      </c>
      <c r="AF29" s="29" t="s">
        <v>319</v>
      </c>
      <c r="AG29" s="30">
        <v>4.0</v>
      </c>
      <c r="AH29" s="30">
        <f t="shared" si="5"/>
        <v>23</v>
      </c>
      <c r="AI29" s="29"/>
    </row>
    <row r="30" ht="15.75" customHeight="1">
      <c r="A30" s="11">
        <f t="shared" si="1"/>
        <v>27</v>
      </c>
      <c r="B30" s="16">
        <f>ROUND(Guida!$B$22*H30/Guida!$B$28+Guida!$B$23*MAX(0,MIN(1,(AE30-5.4)/1.6))+Guida!$B$24*0+Guida!$B$25*0,1)</f>
        <v>2.9</v>
      </c>
      <c r="C30" s="17" t="s">
        <v>322</v>
      </c>
      <c r="D30" s="11" t="s">
        <v>208</v>
      </c>
      <c r="E30" s="18" t="s">
        <v>61</v>
      </c>
      <c r="F30" s="19">
        <v>1.0</v>
      </c>
      <c r="G30" s="19">
        <v>1.0</v>
      </c>
      <c r="H30" s="19">
        <v>1.0</v>
      </c>
      <c r="I30" s="19">
        <f>MAX(1,ROUND(H30^Guida!$B$18*Guida!$F$11,0))</f>
        <v>1</v>
      </c>
      <c r="J30" s="19">
        <f t="shared" si="2"/>
        <v>2</v>
      </c>
      <c r="K30" s="11" t="str">
        <f t="shared" si="3"/>
        <v>Scommessa</v>
      </c>
      <c r="L30" s="11" t="s">
        <v>226</v>
      </c>
      <c r="M30" s="18" t="s">
        <v>281</v>
      </c>
      <c r="N30" s="11" t="s">
        <v>71</v>
      </c>
      <c r="O30" s="11" t="s">
        <v>71</v>
      </c>
      <c r="P30" s="19">
        <v>1.0</v>
      </c>
      <c r="Q30" s="22">
        <v>7.5</v>
      </c>
      <c r="R30" s="22">
        <v>6.5</v>
      </c>
      <c r="S30" s="19">
        <v>0.0</v>
      </c>
      <c r="T30" s="19">
        <v>0.0</v>
      </c>
      <c r="U30" s="11" t="s">
        <v>72</v>
      </c>
      <c r="V30" s="19">
        <v>0.0</v>
      </c>
      <c r="W30" s="19">
        <v>0.0</v>
      </c>
      <c r="X30" s="19">
        <v>0.0</v>
      </c>
      <c r="Y30" s="22"/>
      <c r="Z30" s="22"/>
      <c r="AA30" s="19"/>
      <c r="AB30" s="19"/>
      <c r="AC30" s="11" t="s">
        <v>208</v>
      </c>
      <c r="AD30" s="11" t="s">
        <v>73</v>
      </c>
      <c r="AE30" s="22">
        <f t="shared" si="4"/>
        <v>5.54</v>
      </c>
      <c r="AF30" s="18" t="s">
        <v>268</v>
      </c>
      <c r="AG30" s="19">
        <v>6.0</v>
      </c>
      <c r="AH30" s="19">
        <f t="shared" si="5"/>
        <v>27</v>
      </c>
      <c r="AI30" s="18"/>
    </row>
    <row r="31" ht="15.75" customHeight="1">
      <c r="A31" s="25">
        <f t="shared" si="1"/>
        <v>27</v>
      </c>
      <c r="B31" s="27">
        <f>ROUND(Guida!$B$22*H31/Guida!$B$28+Guida!$B$23*MAX(0,MIN(1,(AE31-5.4)/1.6))+Guida!$B$24*0+Guida!$B$25*0,1)</f>
        <v>2.9</v>
      </c>
      <c r="C31" s="28" t="s">
        <v>327</v>
      </c>
      <c r="D31" s="25" t="s">
        <v>175</v>
      </c>
      <c r="E31" s="29" t="s">
        <v>61</v>
      </c>
      <c r="F31" s="30">
        <v>1.0</v>
      </c>
      <c r="G31" s="30">
        <v>1.0</v>
      </c>
      <c r="H31" s="30">
        <v>1.0</v>
      </c>
      <c r="I31" s="30">
        <f>MAX(1,ROUND(H31^Guida!$B$18*Guida!$F$11,0))</f>
        <v>1</v>
      </c>
      <c r="J31" s="30">
        <f t="shared" si="2"/>
        <v>2</v>
      </c>
      <c r="K31" s="25" t="str">
        <f t="shared" si="3"/>
        <v>Scommessa</v>
      </c>
      <c r="L31" s="25" t="s">
        <v>226</v>
      </c>
      <c r="M31" s="29" t="s">
        <v>281</v>
      </c>
      <c r="N31" s="25" t="s">
        <v>71</v>
      </c>
      <c r="O31" s="25" t="s">
        <v>71</v>
      </c>
      <c r="P31" s="30">
        <v>2.0</v>
      </c>
      <c r="Q31" s="32">
        <v>6.0</v>
      </c>
      <c r="R31" s="32">
        <v>6.0</v>
      </c>
      <c r="S31" s="30">
        <v>0.0</v>
      </c>
      <c r="T31" s="30">
        <v>0.0</v>
      </c>
      <c r="U31" s="25" t="s">
        <v>72</v>
      </c>
      <c r="V31" s="30">
        <v>0.0</v>
      </c>
      <c r="W31" s="30">
        <v>0.0</v>
      </c>
      <c r="X31" s="30">
        <v>0.0</v>
      </c>
      <c r="Y31" s="32"/>
      <c r="Z31" s="32"/>
      <c r="AA31" s="30"/>
      <c r="AB31" s="30"/>
      <c r="AC31" s="25" t="s">
        <v>175</v>
      </c>
      <c r="AD31" s="25" t="s">
        <v>73</v>
      </c>
      <c r="AE31" s="32">
        <f t="shared" si="4"/>
        <v>5.54</v>
      </c>
      <c r="AF31" s="29" t="s">
        <v>255</v>
      </c>
      <c r="AG31" s="30">
        <v>6.0</v>
      </c>
      <c r="AH31" s="30">
        <f t="shared" si="5"/>
        <v>27</v>
      </c>
      <c r="AI31" s="29"/>
    </row>
    <row r="32" ht="15.75" customHeight="1">
      <c r="A32" s="11">
        <f t="shared" si="1"/>
        <v>29</v>
      </c>
      <c r="B32" s="16">
        <f>ROUND(Guida!$B$22*H32/Guida!$B$28+Guida!$B$23*MAX(0,MIN(1,(AE32-5.4)/1.6))+Guida!$B$24*0+Guida!$B$25*0,1)</f>
        <v>2.6</v>
      </c>
      <c r="C32" s="17" t="s">
        <v>331</v>
      </c>
      <c r="D32" s="11" t="s">
        <v>182</v>
      </c>
      <c r="E32" s="18" t="s">
        <v>61</v>
      </c>
      <c r="F32" s="19">
        <v>1.0</v>
      </c>
      <c r="G32" s="19">
        <v>1.0</v>
      </c>
      <c r="H32" s="19">
        <v>1.0</v>
      </c>
      <c r="I32" s="19">
        <f>MAX(1,ROUND(H32^Guida!$B$18*Guida!$F$11,0))</f>
        <v>1</v>
      </c>
      <c r="J32" s="19">
        <f t="shared" si="2"/>
        <v>2</v>
      </c>
      <c r="K32" s="11" t="str">
        <f t="shared" si="3"/>
        <v>Scommessa</v>
      </c>
      <c r="L32" s="11" t="s">
        <v>332</v>
      </c>
      <c r="M32" s="18" t="s">
        <v>333</v>
      </c>
      <c r="N32" s="11" t="s">
        <v>71</v>
      </c>
      <c r="O32" s="11" t="s">
        <v>71</v>
      </c>
      <c r="P32" s="19">
        <v>4.0</v>
      </c>
      <c r="Q32" s="22">
        <v>6.12</v>
      </c>
      <c r="R32" s="22">
        <v>5.62</v>
      </c>
      <c r="S32" s="19">
        <v>0.0</v>
      </c>
      <c r="T32" s="19">
        <v>0.0</v>
      </c>
      <c r="U32" s="11" t="s">
        <v>72</v>
      </c>
      <c r="V32" s="19">
        <v>0.0</v>
      </c>
      <c r="W32" s="19">
        <v>0.0</v>
      </c>
      <c r="X32" s="19">
        <v>0.0</v>
      </c>
      <c r="Y32" s="22"/>
      <c r="Z32" s="22"/>
      <c r="AA32" s="19"/>
      <c r="AB32" s="19"/>
      <c r="AC32" s="11" t="s">
        <v>182</v>
      </c>
      <c r="AD32" s="11" t="s">
        <v>73</v>
      </c>
      <c r="AE32" s="22">
        <f t="shared" si="4"/>
        <v>5.52</v>
      </c>
      <c r="AF32" s="18" t="s">
        <v>319</v>
      </c>
      <c r="AG32" s="19">
        <v>6.0</v>
      </c>
      <c r="AH32" s="19">
        <f t="shared" si="5"/>
        <v>27</v>
      </c>
      <c r="AI32" s="18"/>
    </row>
    <row r="33" ht="15.75" customHeight="1">
      <c r="A33" s="25">
        <f t="shared" si="1"/>
        <v>30</v>
      </c>
      <c r="B33" s="27">
        <f>ROUND(Guida!$B$22*H33/Guida!$B$28+Guida!$B$23*MAX(0,MIN(1,(AE33-5.4)/1.6))+Guida!$B$24*0+Guida!$B$25*0,1)</f>
        <v>2.3</v>
      </c>
      <c r="C33" s="28" t="s">
        <v>336</v>
      </c>
      <c r="D33" s="25" t="s">
        <v>232</v>
      </c>
      <c r="E33" s="29" t="s">
        <v>61</v>
      </c>
      <c r="F33" s="30">
        <v>1.0</v>
      </c>
      <c r="G33" s="30">
        <v>1.0</v>
      </c>
      <c r="H33" s="30">
        <v>1.0</v>
      </c>
      <c r="I33" s="30">
        <f>MAX(1,ROUND(H33^Guida!$B$18*Guida!$F$11,0))</f>
        <v>1</v>
      </c>
      <c r="J33" s="30">
        <f t="shared" si="2"/>
        <v>2</v>
      </c>
      <c r="K33" s="25" t="str">
        <f t="shared" si="3"/>
        <v>Scommessa</v>
      </c>
      <c r="L33" s="25" t="s">
        <v>332</v>
      </c>
      <c r="M33" s="29" t="s">
        <v>338</v>
      </c>
      <c r="N33" s="25" t="s">
        <v>71</v>
      </c>
      <c r="O33" s="25" t="s">
        <v>71</v>
      </c>
      <c r="P33" s="30"/>
      <c r="Q33" s="32"/>
      <c r="R33" s="32"/>
      <c r="S33" s="30"/>
      <c r="T33" s="30"/>
      <c r="U33" s="25"/>
      <c r="V33" s="30"/>
      <c r="W33" s="30"/>
      <c r="X33" s="30">
        <v>0.0</v>
      </c>
      <c r="Y33" s="32"/>
      <c r="Z33" s="32"/>
      <c r="AA33" s="30"/>
      <c r="AB33" s="30"/>
      <c r="AC33" s="25" t="s">
        <v>71</v>
      </c>
      <c r="AD33" s="25" t="s">
        <v>103</v>
      </c>
      <c r="AE33" s="32">
        <f t="shared" si="4"/>
        <v>5.5</v>
      </c>
      <c r="AF33" s="29" t="s">
        <v>255</v>
      </c>
      <c r="AG33" s="30">
        <v>4.0</v>
      </c>
      <c r="AH33" s="30">
        <f t="shared" si="5"/>
        <v>27</v>
      </c>
      <c r="AI33" s="29"/>
    </row>
    <row r="34" ht="15.75" customHeight="1">
      <c r="A34" s="11">
        <f t="shared" si="1"/>
        <v>30</v>
      </c>
      <c r="B34" s="16">
        <f>ROUND(Guida!$B$22*H34/Guida!$B$28+Guida!$B$23*MAX(0,MIN(1,(AE34-5.4)/1.6))+Guida!$B$24*0+Guida!$B$25*0,1)</f>
        <v>2.3</v>
      </c>
      <c r="C34" s="17" t="s">
        <v>341</v>
      </c>
      <c r="D34" s="11" t="s">
        <v>191</v>
      </c>
      <c r="E34" s="18" t="s">
        <v>61</v>
      </c>
      <c r="F34" s="19">
        <v>1.0</v>
      </c>
      <c r="G34" s="19">
        <v>1.0</v>
      </c>
      <c r="H34" s="19">
        <v>1.0</v>
      </c>
      <c r="I34" s="19">
        <f>MAX(1,ROUND(H34^Guida!$B$18*Guida!$F$11,0))</f>
        <v>1</v>
      </c>
      <c r="J34" s="19">
        <f t="shared" si="2"/>
        <v>2</v>
      </c>
      <c r="K34" s="11" t="str">
        <f t="shared" si="3"/>
        <v>Scommessa</v>
      </c>
      <c r="L34" s="11" t="s">
        <v>332</v>
      </c>
      <c r="M34" s="18" t="s">
        <v>333</v>
      </c>
      <c r="N34" s="11" t="s">
        <v>71</v>
      </c>
      <c r="O34" s="11" t="s">
        <v>71</v>
      </c>
      <c r="P34" s="19"/>
      <c r="Q34" s="22"/>
      <c r="R34" s="22"/>
      <c r="S34" s="19"/>
      <c r="T34" s="19"/>
      <c r="U34" s="11"/>
      <c r="V34" s="19"/>
      <c r="W34" s="19"/>
      <c r="X34" s="19">
        <v>0.0</v>
      </c>
      <c r="Y34" s="22"/>
      <c r="Z34" s="22"/>
      <c r="AA34" s="19"/>
      <c r="AB34" s="19"/>
      <c r="AC34" s="11" t="s">
        <v>191</v>
      </c>
      <c r="AD34" s="11" t="s">
        <v>73</v>
      </c>
      <c r="AE34" s="22">
        <f t="shared" si="4"/>
        <v>5.5</v>
      </c>
      <c r="AF34" s="18" t="s">
        <v>343</v>
      </c>
      <c r="AG34" s="19">
        <v>7.0</v>
      </c>
      <c r="AH34" s="19">
        <f t="shared" si="5"/>
        <v>27</v>
      </c>
      <c r="AI34" s="18"/>
    </row>
    <row r="35" ht="15.75" customHeight="1">
      <c r="A35" s="25">
        <f t="shared" si="1"/>
        <v>30</v>
      </c>
      <c r="B35" s="27">
        <f>ROUND(Guida!$B$22*H35/Guida!$B$28+Guida!$B$23*MAX(0,MIN(1,(AE35-5.4)/1.6))+Guida!$B$24*0+Guida!$B$25*0,1)</f>
        <v>2.3</v>
      </c>
      <c r="C35" s="28" t="s">
        <v>346</v>
      </c>
      <c r="D35" s="25" t="s">
        <v>60</v>
      </c>
      <c r="E35" s="29" t="s">
        <v>61</v>
      </c>
      <c r="F35" s="30">
        <v>1.0</v>
      </c>
      <c r="G35" s="30">
        <v>1.0</v>
      </c>
      <c r="H35" s="30">
        <v>1.0</v>
      </c>
      <c r="I35" s="30">
        <f>MAX(1,ROUND(H35^Guida!$B$18*Guida!$F$11,0))</f>
        <v>1</v>
      </c>
      <c r="J35" s="30">
        <f t="shared" si="2"/>
        <v>2</v>
      </c>
      <c r="K35" s="25" t="str">
        <f t="shared" si="3"/>
        <v>Scommessa</v>
      </c>
      <c r="L35" s="25" t="s">
        <v>226</v>
      </c>
      <c r="M35" s="29" t="s">
        <v>227</v>
      </c>
      <c r="N35" s="25" t="s">
        <v>71</v>
      </c>
      <c r="O35" s="25" t="s">
        <v>71</v>
      </c>
      <c r="P35" s="30"/>
      <c r="Q35" s="32"/>
      <c r="R35" s="32"/>
      <c r="S35" s="30"/>
      <c r="T35" s="30"/>
      <c r="U35" s="25"/>
      <c r="V35" s="30"/>
      <c r="W35" s="30"/>
      <c r="X35" s="30">
        <v>0.0</v>
      </c>
      <c r="Y35" s="32"/>
      <c r="Z35" s="32"/>
      <c r="AA35" s="30"/>
      <c r="AB35" s="30"/>
      <c r="AC35" s="25" t="s">
        <v>71</v>
      </c>
      <c r="AD35" s="25" t="s">
        <v>103</v>
      </c>
      <c r="AE35" s="32">
        <f t="shared" si="4"/>
        <v>5.5</v>
      </c>
      <c r="AF35" s="29" t="s">
        <v>349</v>
      </c>
      <c r="AG35" s="30">
        <v>3.0</v>
      </c>
      <c r="AH35" s="30">
        <f t="shared" si="5"/>
        <v>27</v>
      </c>
      <c r="AI35" s="29"/>
    </row>
    <row r="36" ht="15.75" customHeight="1">
      <c r="A36" s="11">
        <f t="shared" si="1"/>
        <v>30</v>
      </c>
      <c r="B36" s="16">
        <f>ROUND(Guida!$B$22*H36/Guida!$B$28+Guida!$B$23*MAX(0,MIN(1,(AE36-5.4)/1.6))+Guida!$B$24*0+Guida!$B$25*0,1)</f>
        <v>2.3</v>
      </c>
      <c r="C36" s="17" t="s">
        <v>352</v>
      </c>
      <c r="D36" s="11" t="s">
        <v>261</v>
      </c>
      <c r="E36" s="18" t="s">
        <v>61</v>
      </c>
      <c r="F36" s="19">
        <v>2.0</v>
      </c>
      <c r="G36" s="19">
        <v>2.0</v>
      </c>
      <c r="H36" s="19">
        <v>1.0</v>
      </c>
      <c r="I36" s="19">
        <f>MAX(1,ROUND(H36^Guida!$B$18*Guida!$F$11,0))</f>
        <v>1</v>
      </c>
      <c r="J36" s="19">
        <f t="shared" si="2"/>
        <v>2</v>
      </c>
      <c r="K36" s="11" t="str">
        <f t="shared" si="3"/>
        <v>Scommessa</v>
      </c>
      <c r="L36" s="11" t="s">
        <v>226</v>
      </c>
      <c r="M36" s="18" t="s">
        <v>227</v>
      </c>
      <c r="N36" s="11" t="s">
        <v>71</v>
      </c>
      <c r="O36" s="11" t="s">
        <v>71</v>
      </c>
      <c r="P36" s="19"/>
      <c r="Q36" s="22"/>
      <c r="R36" s="22"/>
      <c r="S36" s="19"/>
      <c r="T36" s="19"/>
      <c r="U36" s="11"/>
      <c r="V36" s="19"/>
      <c r="W36" s="19"/>
      <c r="X36" s="19">
        <v>0.0</v>
      </c>
      <c r="Y36" s="22"/>
      <c r="Z36" s="22"/>
      <c r="AA36" s="19"/>
      <c r="AB36" s="19"/>
      <c r="AC36" s="11" t="s">
        <v>71</v>
      </c>
      <c r="AD36" s="11" t="s">
        <v>103</v>
      </c>
      <c r="AE36" s="22">
        <f t="shared" si="4"/>
        <v>5.5</v>
      </c>
      <c r="AF36" s="18" t="s">
        <v>349</v>
      </c>
      <c r="AG36" s="19">
        <v>6.0</v>
      </c>
      <c r="AH36" s="19">
        <f t="shared" si="5"/>
        <v>27</v>
      </c>
      <c r="AI36" s="18"/>
    </row>
    <row r="37" ht="15.75" customHeight="1">
      <c r="A37" s="25">
        <f t="shared" si="1"/>
        <v>30</v>
      </c>
      <c r="B37" s="27">
        <f>ROUND(Guida!$B$22*H37/Guida!$B$28+Guida!$B$23*MAX(0,MIN(1,(AE37-5.4)/1.6))+Guida!$B$24*0+Guida!$B$25*0,1)</f>
        <v>2.3</v>
      </c>
      <c r="C37" s="28" t="s">
        <v>356</v>
      </c>
      <c r="D37" s="25" t="s">
        <v>283</v>
      </c>
      <c r="E37" s="29" t="s">
        <v>61</v>
      </c>
      <c r="F37" s="30">
        <v>1.0</v>
      </c>
      <c r="G37" s="30">
        <v>1.0</v>
      </c>
      <c r="H37" s="30">
        <v>1.0</v>
      </c>
      <c r="I37" s="30">
        <f>MAX(1,ROUND(H37^Guida!$B$18*Guida!$F$11,0))</f>
        <v>1</v>
      </c>
      <c r="J37" s="30">
        <f t="shared" si="2"/>
        <v>2</v>
      </c>
      <c r="K37" s="25" t="str">
        <f t="shared" si="3"/>
        <v>Scommessa</v>
      </c>
      <c r="L37" s="25" t="s">
        <v>332</v>
      </c>
      <c r="M37" s="29" t="s">
        <v>338</v>
      </c>
      <c r="N37" s="25" t="s">
        <v>71</v>
      </c>
      <c r="O37" s="25" t="s">
        <v>71</v>
      </c>
      <c r="P37" s="30"/>
      <c r="Q37" s="32"/>
      <c r="R37" s="32"/>
      <c r="S37" s="30"/>
      <c r="T37" s="30"/>
      <c r="U37" s="25"/>
      <c r="V37" s="30"/>
      <c r="W37" s="30"/>
      <c r="X37" s="30">
        <v>0.0</v>
      </c>
      <c r="Y37" s="32"/>
      <c r="Z37" s="32"/>
      <c r="AA37" s="30"/>
      <c r="AB37" s="30"/>
      <c r="AC37" s="25" t="s">
        <v>71</v>
      </c>
      <c r="AD37" s="25" t="s">
        <v>103</v>
      </c>
      <c r="AE37" s="32">
        <f t="shared" si="4"/>
        <v>5.5</v>
      </c>
      <c r="AF37" s="29" t="s">
        <v>359</v>
      </c>
      <c r="AG37" s="30">
        <v>9.0</v>
      </c>
      <c r="AH37" s="30">
        <f t="shared" si="5"/>
        <v>27</v>
      </c>
      <c r="AI37" s="29"/>
    </row>
    <row r="38" ht="15.75" customHeight="1">
      <c r="A38" s="11">
        <f t="shared" si="1"/>
        <v>30</v>
      </c>
      <c r="B38" s="16">
        <f>ROUND(Guida!$B$22*H38/Guida!$B$28+Guida!$B$23*MAX(0,MIN(1,(AE38-5.4)/1.6))+Guida!$B$24*0+Guida!$B$25*0,1)</f>
        <v>2.3</v>
      </c>
      <c r="C38" s="17" t="s">
        <v>360</v>
      </c>
      <c r="D38" s="11" t="s">
        <v>60</v>
      </c>
      <c r="E38" s="18" t="s">
        <v>61</v>
      </c>
      <c r="F38" s="19">
        <v>1.0</v>
      </c>
      <c r="G38" s="19">
        <v>1.0</v>
      </c>
      <c r="H38" s="19">
        <v>1.0</v>
      </c>
      <c r="I38" s="19">
        <f>MAX(1,ROUND(H38^Guida!$B$18*Guida!$F$11,0))</f>
        <v>1</v>
      </c>
      <c r="J38" s="19">
        <f t="shared" si="2"/>
        <v>2</v>
      </c>
      <c r="K38" s="11" t="str">
        <f t="shared" si="3"/>
        <v>Scommessa</v>
      </c>
      <c r="L38" s="11" t="s">
        <v>332</v>
      </c>
      <c r="M38" s="18" t="s">
        <v>333</v>
      </c>
      <c r="N38" s="11" t="s">
        <v>71</v>
      </c>
      <c r="O38" s="11" t="s">
        <v>71</v>
      </c>
      <c r="P38" s="19"/>
      <c r="Q38" s="22"/>
      <c r="R38" s="22"/>
      <c r="S38" s="19"/>
      <c r="T38" s="19"/>
      <c r="U38" s="11"/>
      <c r="V38" s="19"/>
      <c r="W38" s="19"/>
      <c r="X38" s="19">
        <v>0.0</v>
      </c>
      <c r="Y38" s="22"/>
      <c r="Z38" s="22"/>
      <c r="AA38" s="19"/>
      <c r="AB38" s="19"/>
      <c r="AC38" s="11" t="s">
        <v>60</v>
      </c>
      <c r="AD38" s="11" t="s">
        <v>73</v>
      </c>
      <c r="AE38" s="22">
        <f t="shared" si="4"/>
        <v>5.5</v>
      </c>
      <c r="AF38" s="18" t="s">
        <v>364</v>
      </c>
      <c r="AG38" s="19">
        <v>12.0</v>
      </c>
      <c r="AH38" s="19">
        <f t="shared" si="5"/>
        <v>27</v>
      </c>
      <c r="AI38" s="18"/>
    </row>
    <row r="39" ht="15.75" customHeight="1">
      <c r="A39" s="25">
        <f t="shared" si="1"/>
        <v>30</v>
      </c>
      <c r="B39" s="27">
        <f>ROUND(Guida!$B$22*H39/Guida!$B$28+Guida!$B$23*MAX(0,MIN(1,(AE39-5.4)/1.6))+Guida!$B$24*0+Guida!$B$25*0,1)</f>
        <v>2.3</v>
      </c>
      <c r="C39" s="28" t="s">
        <v>369</v>
      </c>
      <c r="D39" s="25" t="s">
        <v>93</v>
      </c>
      <c r="E39" s="29" t="s">
        <v>61</v>
      </c>
      <c r="F39" s="30">
        <v>1.0</v>
      </c>
      <c r="G39" s="30">
        <v>1.0</v>
      </c>
      <c r="H39" s="30">
        <v>1.0</v>
      </c>
      <c r="I39" s="30">
        <f>MAX(1,ROUND(H39^Guida!$B$18*Guida!$F$11,0))</f>
        <v>1</v>
      </c>
      <c r="J39" s="30">
        <f t="shared" si="2"/>
        <v>2</v>
      </c>
      <c r="K39" s="25" t="str">
        <f t="shared" si="3"/>
        <v>Scommessa</v>
      </c>
      <c r="L39" s="25" t="s">
        <v>332</v>
      </c>
      <c r="M39" s="29" t="s">
        <v>338</v>
      </c>
      <c r="N39" s="25" t="s">
        <v>71</v>
      </c>
      <c r="O39" s="25" t="s">
        <v>71</v>
      </c>
      <c r="P39" s="30"/>
      <c r="Q39" s="32"/>
      <c r="R39" s="32"/>
      <c r="S39" s="30"/>
      <c r="T39" s="30"/>
      <c r="U39" s="25"/>
      <c r="V39" s="30"/>
      <c r="W39" s="30"/>
      <c r="X39" s="30">
        <v>0.0</v>
      </c>
      <c r="Y39" s="32"/>
      <c r="Z39" s="32"/>
      <c r="AA39" s="30"/>
      <c r="AB39" s="30"/>
      <c r="AC39" s="25" t="s">
        <v>71</v>
      </c>
      <c r="AD39" s="25" t="s">
        <v>103</v>
      </c>
      <c r="AE39" s="32">
        <f t="shared" si="4"/>
        <v>5.5</v>
      </c>
      <c r="AF39" s="29" t="s">
        <v>359</v>
      </c>
      <c r="AG39" s="30">
        <v>0.0</v>
      </c>
      <c r="AH39" s="30">
        <f t="shared" si="5"/>
        <v>27</v>
      </c>
      <c r="AI39" s="29"/>
    </row>
    <row r="40" ht="15.75" customHeight="1">
      <c r="A40" s="11">
        <f t="shared" si="1"/>
        <v>30</v>
      </c>
      <c r="B40" s="16">
        <f>ROUND(Guida!$B$22*H40/Guida!$B$28+Guida!$B$23*MAX(0,MIN(1,(AE40-5.4)/1.6))+Guida!$B$24*0+Guida!$B$25*0,1)</f>
        <v>2.3</v>
      </c>
      <c r="C40" s="17" t="s">
        <v>373</v>
      </c>
      <c r="D40" s="11" t="s">
        <v>264</v>
      </c>
      <c r="E40" s="18" t="s">
        <v>61</v>
      </c>
      <c r="F40" s="19">
        <v>1.0</v>
      </c>
      <c r="G40" s="19">
        <v>1.0</v>
      </c>
      <c r="H40" s="19">
        <v>1.0</v>
      </c>
      <c r="I40" s="19">
        <f>MAX(1,ROUND(H40^Guida!$B$18*Guida!$F$11,0))</f>
        <v>1</v>
      </c>
      <c r="J40" s="19">
        <f t="shared" si="2"/>
        <v>2</v>
      </c>
      <c r="K40" s="11" t="str">
        <f t="shared" si="3"/>
        <v>Scommessa</v>
      </c>
      <c r="L40" s="11" t="s">
        <v>226</v>
      </c>
      <c r="M40" s="18" t="s">
        <v>227</v>
      </c>
      <c r="N40" s="11" t="s">
        <v>71</v>
      </c>
      <c r="O40" s="11" t="s">
        <v>71</v>
      </c>
      <c r="P40" s="19"/>
      <c r="Q40" s="22"/>
      <c r="R40" s="22"/>
      <c r="S40" s="19"/>
      <c r="T40" s="19"/>
      <c r="U40" s="11"/>
      <c r="V40" s="19"/>
      <c r="W40" s="19"/>
      <c r="X40" s="19">
        <v>0.0</v>
      </c>
      <c r="Y40" s="22"/>
      <c r="Z40" s="22"/>
      <c r="AA40" s="19"/>
      <c r="AB40" s="19"/>
      <c r="AC40" s="11" t="s">
        <v>71</v>
      </c>
      <c r="AD40" s="11" t="s">
        <v>103</v>
      </c>
      <c r="AE40" s="22">
        <f t="shared" si="4"/>
        <v>5.5</v>
      </c>
      <c r="AF40" s="18" t="s">
        <v>268</v>
      </c>
      <c r="AG40" s="19">
        <v>6.0</v>
      </c>
      <c r="AH40" s="19">
        <f t="shared" si="5"/>
        <v>27</v>
      </c>
      <c r="AI40" s="18"/>
    </row>
    <row r="41" ht="15.75" customHeight="1">
      <c r="A41" s="25">
        <f t="shared" si="1"/>
        <v>30</v>
      </c>
      <c r="B41" s="27">
        <f>ROUND(Guida!$B$22*H41/Guida!$B$28+Guida!$B$23*MAX(0,MIN(1,(AE41-5.4)/1.6))+Guida!$B$24*0+Guida!$B$25*0,1)</f>
        <v>2.3</v>
      </c>
      <c r="C41" s="28" t="s">
        <v>375</v>
      </c>
      <c r="D41" s="25" t="s">
        <v>182</v>
      </c>
      <c r="E41" s="29" t="s">
        <v>61</v>
      </c>
      <c r="F41" s="30">
        <v>1.0</v>
      </c>
      <c r="G41" s="30">
        <v>1.0</v>
      </c>
      <c r="H41" s="30">
        <v>1.0</v>
      </c>
      <c r="I41" s="30">
        <f>MAX(1,ROUND(H41^Guida!$B$18*Guida!$F$11,0))</f>
        <v>1</v>
      </c>
      <c r="J41" s="30">
        <f t="shared" si="2"/>
        <v>2</v>
      </c>
      <c r="K41" s="25" t="str">
        <f t="shared" si="3"/>
        <v>Scommessa</v>
      </c>
      <c r="L41" s="25" t="s">
        <v>226</v>
      </c>
      <c r="M41" s="29" t="s">
        <v>227</v>
      </c>
      <c r="N41" s="25" t="s">
        <v>71</v>
      </c>
      <c r="O41" s="25" t="s">
        <v>71</v>
      </c>
      <c r="P41" s="30"/>
      <c r="Q41" s="32"/>
      <c r="R41" s="32"/>
      <c r="S41" s="30"/>
      <c r="T41" s="30"/>
      <c r="U41" s="25"/>
      <c r="V41" s="30"/>
      <c r="W41" s="30"/>
      <c r="X41" s="30">
        <v>0.0</v>
      </c>
      <c r="Y41" s="32"/>
      <c r="Z41" s="32"/>
      <c r="AA41" s="30"/>
      <c r="AB41" s="30"/>
      <c r="AC41" s="25" t="s">
        <v>71</v>
      </c>
      <c r="AD41" s="25" t="s">
        <v>103</v>
      </c>
      <c r="AE41" s="32">
        <f t="shared" si="4"/>
        <v>5.5</v>
      </c>
      <c r="AF41" s="29" t="s">
        <v>204</v>
      </c>
      <c r="AG41" s="30">
        <v>6.0</v>
      </c>
      <c r="AH41" s="30">
        <f t="shared" si="5"/>
        <v>27</v>
      </c>
      <c r="AI41" s="29"/>
    </row>
    <row r="42" ht="15.75" customHeight="1">
      <c r="A42" s="11">
        <f t="shared" si="1"/>
        <v>30</v>
      </c>
      <c r="B42" s="16">
        <f>ROUND(Guida!$B$22*H42/Guida!$B$28+Guida!$B$23*MAX(0,MIN(1,(AE42-5.4)/1.6))+Guida!$B$24*0+Guida!$B$25*0,1)</f>
        <v>2.3</v>
      </c>
      <c r="C42" s="17" t="s">
        <v>380</v>
      </c>
      <c r="D42" s="11" t="s">
        <v>208</v>
      </c>
      <c r="E42" s="18" t="s">
        <v>61</v>
      </c>
      <c r="F42" s="19">
        <v>1.0</v>
      </c>
      <c r="G42" s="19">
        <v>1.0</v>
      </c>
      <c r="H42" s="19">
        <v>1.0</v>
      </c>
      <c r="I42" s="19">
        <f>MAX(1,ROUND(H42^Guida!$B$18*Guida!$F$11,0))</f>
        <v>1</v>
      </c>
      <c r="J42" s="19">
        <f t="shared" si="2"/>
        <v>2</v>
      </c>
      <c r="K42" s="11" t="str">
        <f t="shared" si="3"/>
        <v>Scommessa</v>
      </c>
      <c r="L42" s="11" t="s">
        <v>332</v>
      </c>
      <c r="M42" s="18" t="s">
        <v>333</v>
      </c>
      <c r="N42" s="11" t="s">
        <v>71</v>
      </c>
      <c r="O42" s="11" t="s">
        <v>71</v>
      </c>
      <c r="P42" s="19"/>
      <c r="Q42" s="22"/>
      <c r="R42" s="22"/>
      <c r="S42" s="19"/>
      <c r="T42" s="19"/>
      <c r="U42" s="11"/>
      <c r="V42" s="19"/>
      <c r="W42" s="19"/>
      <c r="X42" s="19">
        <v>0.0</v>
      </c>
      <c r="Y42" s="22"/>
      <c r="Z42" s="22"/>
      <c r="AA42" s="19"/>
      <c r="AB42" s="19"/>
      <c r="AC42" s="11" t="s">
        <v>208</v>
      </c>
      <c r="AD42" s="11" t="s">
        <v>73</v>
      </c>
      <c r="AE42" s="22">
        <f t="shared" si="4"/>
        <v>5.5</v>
      </c>
      <c r="AF42" s="18" t="s">
        <v>210</v>
      </c>
      <c r="AG42" s="19">
        <v>6.0</v>
      </c>
      <c r="AH42" s="19">
        <f t="shared" si="5"/>
        <v>27</v>
      </c>
      <c r="AI42" s="18"/>
    </row>
    <row r="43" ht="15.75" customHeight="1">
      <c r="A43" s="25">
        <f t="shared" si="1"/>
        <v>30</v>
      </c>
      <c r="B43" s="27">
        <f>ROUND(Guida!$B$22*H43/Guida!$B$28+Guida!$B$23*MAX(0,MIN(1,(AE43-5.4)/1.6))+Guida!$B$24*0+Guida!$B$25*0,1)</f>
        <v>2.3</v>
      </c>
      <c r="C43" s="28" t="s">
        <v>384</v>
      </c>
      <c r="D43" s="25" t="s">
        <v>261</v>
      </c>
      <c r="E43" s="29" t="s">
        <v>61</v>
      </c>
      <c r="F43" s="30">
        <v>1.0</v>
      </c>
      <c r="G43" s="30">
        <v>1.0</v>
      </c>
      <c r="H43" s="30">
        <v>1.0</v>
      </c>
      <c r="I43" s="30">
        <f>MAX(1,ROUND(H43^Guida!$B$18*Guida!$F$11,0))</f>
        <v>1</v>
      </c>
      <c r="J43" s="30">
        <f t="shared" si="2"/>
        <v>2</v>
      </c>
      <c r="K43" s="25" t="str">
        <f t="shared" si="3"/>
        <v>Scommessa</v>
      </c>
      <c r="L43" s="25" t="s">
        <v>332</v>
      </c>
      <c r="M43" s="29" t="s">
        <v>338</v>
      </c>
      <c r="N43" s="25" t="s">
        <v>71</v>
      </c>
      <c r="O43" s="25" t="s">
        <v>71</v>
      </c>
      <c r="P43" s="30"/>
      <c r="Q43" s="32"/>
      <c r="R43" s="32"/>
      <c r="S43" s="30"/>
      <c r="T43" s="30"/>
      <c r="U43" s="25"/>
      <c r="V43" s="30"/>
      <c r="W43" s="30"/>
      <c r="X43" s="30">
        <v>0.0</v>
      </c>
      <c r="Y43" s="32"/>
      <c r="Z43" s="32"/>
      <c r="AA43" s="30"/>
      <c r="AB43" s="30"/>
      <c r="AC43" s="25" t="s">
        <v>71</v>
      </c>
      <c r="AD43" s="25" t="s">
        <v>103</v>
      </c>
      <c r="AE43" s="32">
        <f t="shared" si="4"/>
        <v>5.5</v>
      </c>
      <c r="AF43" s="29" t="s">
        <v>204</v>
      </c>
      <c r="AG43" s="30">
        <v>5.0</v>
      </c>
      <c r="AH43" s="30">
        <f t="shared" si="5"/>
        <v>27</v>
      </c>
      <c r="AI43" s="29"/>
    </row>
    <row r="44" ht="15.75" customHeight="1">
      <c r="A44" s="11">
        <f t="shared" si="1"/>
        <v>30</v>
      </c>
      <c r="B44" s="16">
        <f>ROUND(Guida!$B$22*H44/Guida!$B$28+Guida!$B$23*MAX(0,MIN(1,(AE44-5.4)/1.6))+Guida!$B$24*0+Guida!$B$25*0,1)</f>
        <v>2.3</v>
      </c>
      <c r="C44" s="17" t="s">
        <v>388</v>
      </c>
      <c r="D44" s="11" t="s">
        <v>185</v>
      </c>
      <c r="E44" s="18" t="s">
        <v>61</v>
      </c>
      <c r="F44" s="19">
        <v>1.0</v>
      </c>
      <c r="G44" s="19">
        <v>1.0</v>
      </c>
      <c r="H44" s="19">
        <v>1.0</v>
      </c>
      <c r="I44" s="19">
        <f>MAX(1,ROUND(H44^Guida!$B$18*Guida!$F$11,0))</f>
        <v>1</v>
      </c>
      <c r="J44" s="19">
        <f t="shared" si="2"/>
        <v>2</v>
      </c>
      <c r="K44" s="11" t="str">
        <f t="shared" si="3"/>
        <v>Scommessa</v>
      </c>
      <c r="L44" s="11" t="s">
        <v>332</v>
      </c>
      <c r="M44" s="18" t="s">
        <v>338</v>
      </c>
      <c r="N44" s="11" t="s">
        <v>71</v>
      </c>
      <c r="O44" s="11" t="s">
        <v>71</v>
      </c>
      <c r="P44" s="19"/>
      <c r="Q44" s="22"/>
      <c r="R44" s="22"/>
      <c r="S44" s="19"/>
      <c r="T44" s="19"/>
      <c r="U44" s="11"/>
      <c r="V44" s="19"/>
      <c r="W44" s="19"/>
      <c r="X44" s="19">
        <v>0.0</v>
      </c>
      <c r="Y44" s="22"/>
      <c r="Z44" s="22"/>
      <c r="AA44" s="19"/>
      <c r="AB44" s="19"/>
      <c r="AC44" s="11" t="s">
        <v>71</v>
      </c>
      <c r="AD44" s="11" t="s">
        <v>103</v>
      </c>
      <c r="AE44" s="22">
        <f t="shared" si="4"/>
        <v>5.5</v>
      </c>
      <c r="AF44" s="18" t="s">
        <v>124</v>
      </c>
      <c r="AG44" s="19">
        <v>7.0</v>
      </c>
      <c r="AH44" s="19">
        <f t="shared" si="5"/>
        <v>27</v>
      </c>
      <c r="AI44" s="18"/>
    </row>
    <row r="45" ht="15.75" customHeight="1">
      <c r="A45" s="25">
        <f t="shared" si="1"/>
        <v>30</v>
      </c>
      <c r="B45" s="27">
        <f>ROUND(Guida!$B$22*H45/Guida!$B$28+Guida!$B$23*MAX(0,MIN(1,(AE45-5.4)/1.6))+Guida!$B$24*0+Guida!$B$25*0,1)</f>
        <v>2.3</v>
      </c>
      <c r="C45" s="28" t="s">
        <v>391</v>
      </c>
      <c r="D45" s="25" t="s">
        <v>232</v>
      </c>
      <c r="E45" s="29" t="s">
        <v>61</v>
      </c>
      <c r="F45" s="30">
        <v>1.0</v>
      </c>
      <c r="G45" s="30">
        <v>1.0</v>
      </c>
      <c r="H45" s="30">
        <v>1.0</v>
      </c>
      <c r="I45" s="30">
        <f>MAX(1,ROUND(H45^Guida!$B$18*Guida!$F$11,0))</f>
        <v>1</v>
      </c>
      <c r="J45" s="30">
        <f t="shared" si="2"/>
        <v>2</v>
      </c>
      <c r="K45" s="25" t="str">
        <f t="shared" si="3"/>
        <v>Scommessa</v>
      </c>
      <c r="L45" s="25" t="s">
        <v>226</v>
      </c>
      <c r="M45" s="29" t="s">
        <v>227</v>
      </c>
      <c r="N45" s="25" t="s">
        <v>71</v>
      </c>
      <c r="O45" s="25" t="s">
        <v>71</v>
      </c>
      <c r="P45" s="30"/>
      <c r="Q45" s="32"/>
      <c r="R45" s="32"/>
      <c r="S45" s="30"/>
      <c r="T45" s="30"/>
      <c r="U45" s="25"/>
      <c r="V45" s="30"/>
      <c r="W45" s="30"/>
      <c r="X45" s="30">
        <v>0.0</v>
      </c>
      <c r="Y45" s="32"/>
      <c r="Z45" s="32"/>
      <c r="AA45" s="30"/>
      <c r="AB45" s="30"/>
      <c r="AC45" s="25" t="s">
        <v>71</v>
      </c>
      <c r="AD45" s="25" t="s">
        <v>103</v>
      </c>
      <c r="AE45" s="32">
        <f t="shared" si="4"/>
        <v>5.5</v>
      </c>
      <c r="AF45" s="29" t="s">
        <v>255</v>
      </c>
      <c r="AG45" s="30">
        <v>4.0</v>
      </c>
      <c r="AH45" s="30">
        <f t="shared" si="5"/>
        <v>27</v>
      </c>
      <c r="AI45" s="29"/>
    </row>
    <row r="46" ht="15.75" customHeight="1">
      <c r="A46" s="11">
        <f t="shared" si="1"/>
        <v>30</v>
      </c>
      <c r="B46" s="16">
        <f>ROUND(Guida!$B$22*H46/Guida!$B$28+Guida!$B$23*MAX(0,MIN(1,(AE46-5.4)/1.6))+Guida!$B$24*0+Guida!$B$25*0,1)</f>
        <v>2.3</v>
      </c>
      <c r="C46" s="17" t="s">
        <v>396</v>
      </c>
      <c r="D46" s="11" t="s">
        <v>185</v>
      </c>
      <c r="E46" s="18" t="s">
        <v>61</v>
      </c>
      <c r="F46" s="19">
        <v>1.0</v>
      </c>
      <c r="G46" s="19">
        <v>1.0</v>
      </c>
      <c r="H46" s="19">
        <v>1.0</v>
      </c>
      <c r="I46" s="19">
        <f>MAX(1,ROUND(H46^Guida!$B$18*Guida!$F$11,0))</f>
        <v>1</v>
      </c>
      <c r="J46" s="19">
        <f t="shared" si="2"/>
        <v>2</v>
      </c>
      <c r="K46" s="11" t="str">
        <f t="shared" si="3"/>
        <v>Scommessa</v>
      </c>
      <c r="L46" s="11" t="s">
        <v>332</v>
      </c>
      <c r="M46" s="18" t="s">
        <v>338</v>
      </c>
      <c r="N46" s="11" t="s">
        <v>71</v>
      </c>
      <c r="O46" s="11" t="s">
        <v>71</v>
      </c>
      <c r="P46" s="19"/>
      <c r="Q46" s="22"/>
      <c r="R46" s="22"/>
      <c r="S46" s="19"/>
      <c r="T46" s="19"/>
      <c r="U46" s="11"/>
      <c r="V46" s="19"/>
      <c r="W46" s="19"/>
      <c r="X46" s="19">
        <v>0.0</v>
      </c>
      <c r="Y46" s="22"/>
      <c r="Z46" s="22"/>
      <c r="AA46" s="19"/>
      <c r="AB46" s="19"/>
      <c r="AC46" s="11" t="s">
        <v>71</v>
      </c>
      <c r="AD46" s="11" t="s">
        <v>103</v>
      </c>
      <c r="AE46" s="22">
        <f t="shared" si="4"/>
        <v>5.5</v>
      </c>
      <c r="AF46" s="18" t="s">
        <v>124</v>
      </c>
      <c r="AG46" s="19">
        <v>7.0</v>
      </c>
      <c r="AH46" s="19">
        <f t="shared" si="5"/>
        <v>27</v>
      </c>
      <c r="AI46" s="18"/>
    </row>
    <row r="47" ht="15.75" customHeight="1">
      <c r="A47" s="25">
        <f t="shared" si="1"/>
        <v>30</v>
      </c>
      <c r="B47" s="27">
        <f>ROUND(Guida!$B$22*H47/Guida!$B$28+Guida!$B$23*MAX(0,MIN(1,(AE47-5.4)/1.6))+Guida!$B$24*0+Guida!$B$25*0,1)</f>
        <v>2.3</v>
      </c>
      <c r="C47" s="28" t="s">
        <v>399</v>
      </c>
      <c r="D47" s="25" t="s">
        <v>93</v>
      </c>
      <c r="E47" s="29" t="s">
        <v>61</v>
      </c>
      <c r="F47" s="30">
        <v>1.0</v>
      </c>
      <c r="G47" s="30">
        <v>1.0</v>
      </c>
      <c r="H47" s="30">
        <v>1.0</v>
      </c>
      <c r="I47" s="30">
        <f>MAX(1,ROUND(H47^Guida!$B$18*Guida!$F$11,0))</f>
        <v>1</v>
      </c>
      <c r="J47" s="30">
        <f t="shared" si="2"/>
        <v>2</v>
      </c>
      <c r="K47" s="25" t="str">
        <f t="shared" si="3"/>
        <v>Scommessa</v>
      </c>
      <c r="L47" s="25" t="s">
        <v>226</v>
      </c>
      <c r="M47" s="29" t="s">
        <v>281</v>
      </c>
      <c r="N47" s="25" t="s">
        <v>71</v>
      </c>
      <c r="O47" s="25" t="s">
        <v>71</v>
      </c>
      <c r="P47" s="30"/>
      <c r="Q47" s="32"/>
      <c r="R47" s="32"/>
      <c r="S47" s="30"/>
      <c r="T47" s="30"/>
      <c r="U47" s="25"/>
      <c r="V47" s="30"/>
      <c r="W47" s="30"/>
      <c r="X47" s="30">
        <v>0.0</v>
      </c>
      <c r="Y47" s="32"/>
      <c r="Z47" s="32"/>
      <c r="AA47" s="30"/>
      <c r="AB47" s="30"/>
      <c r="AC47" s="25" t="s">
        <v>93</v>
      </c>
      <c r="AD47" s="25" t="s">
        <v>73</v>
      </c>
      <c r="AE47" s="32">
        <f t="shared" si="4"/>
        <v>5.5</v>
      </c>
      <c r="AF47" s="29" t="s">
        <v>401</v>
      </c>
      <c r="AG47" s="30">
        <v>0.0</v>
      </c>
      <c r="AH47" s="30">
        <f t="shared" si="5"/>
        <v>27</v>
      </c>
      <c r="AI47" s="29"/>
    </row>
    <row r="48" ht="15.75" customHeight="1">
      <c r="A48" s="11">
        <f t="shared" si="1"/>
        <v>30</v>
      </c>
      <c r="B48" s="16">
        <f>ROUND(Guida!$B$22*H48/Guida!$B$28+Guida!$B$23*MAX(0,MIN(1,(AE48-5.4)/1.6))+Guida!$B$24*0+Guida!$B$25*0,1)</f>
        <v>2.3</v>
      </c>
      <c r="C48" s="17" t="s">
        <v>406</v>
      </c>
      <c r="D48" s="11" t="s">
        <v>261</v>
      </c>
      <c r="E48" s="18" t="s">
        <v>61</v>
      </c>
      <c r="F48" s="19">
        <v>1.0</v>
      </c>
      <c r="G48" s="19">
        <v>1.0</v>
      </c>
      <c r="H48" s="19">
        <v>1.0</v>
      </c>
      <c r="I48" s="19">
        <f>MAX(1,ROUND(H48^Guida!$B$18*Guida!$F$11,0))</f>
        <v>1</v>
      </c>
      <c r="J48" s="19">
        <f t="shared" si="2"/>
        <v>2</v>
      </c>
      <c r="K48" s="11" t="str">
        <f t="shared" si="3"/>
        <v>Scommessa</v>
      </c>
      <c r="L48" s="11" t="s">
        <v>332</v>
      </c>
      <c r="M48" s="18" t="s">
        <v>338</v>
      </c>
      <c r="N48" s="11" t="s">
        <v>71</v>
      </c>
      <c r="O48" s="11" t="s">
        <v>71</v>
      </c>
      <c r="P48" s="19"/>
      <c r="Q48" s="22"/>
      <c r="R48" s="22"/>
      <c r="S48" s="19"/>
      <c r="T48" s="19"/>
      <c r="U48" s="11"/>
      <c r="V48" s="19"/>
      <c r="W48" s="19"/>
      <c r="X48" s="19">
        <v>0.0</v>
      </c>
      <c r="Y48" s="22"/>
      <c r="Z48" s="22"/>
      <c r="AA48" s="19"/>
      <c r="AB48" s="19"/>
      <c r="AC48" s="11" t="s">
        <v>71</v>
      </c>
      <c r="AD48" s="11" t="s">
        <v>103</v>
      </c>
      <c r="AE48" s="22">
        <f t="shared" si="4"/>
        <v>5.5</v>
      </c>
      <c r="AF48" s="18" t="s">
        <v>204</v>
      </c>
      <c r="AG48" s="19">
        <v>5.0</v>
      </c>
      <c r="AH48" s="19">
        <f t="shared" si="5"/>
        <v>27</v>
      </c>
      <c r="AI48" s="18"/>
    </row>
    <row r="49" ht="15.75" customHeight="1">
      <c r="A49" s="25">
        <f t="shared" si="1"/>
        <v>30</v>
      </c>
      <c r="B49" s="27">
        <f>ROUND(Guida!$B$22*H49/Guida!$B$28+Guida!$B$23*MAX(0,MIN(1,(AE49-5.4)/1.6))+Guida!$B$24*0+Guida!$B$25*0,1)</f>
        <v>2.3</v>
      </c>
      <c r="C49" s="28" t="s">
        <v>409</v>
      </c>
      <c r="D49" s="25" t="s">
        <v>264</v>
      </c>
      <c r="E49" s="29" t="s">
        <v>61</v>
      </c>
      <c r="F49" s="30">
        <v>1.0</v>
      </c>
      <c r="G49" s="30">
        <v>1.0</v>
      </c>
      <c r="H49" s="30">
        <v>1.0</v>
      </c>
      <c r="I49" s="30">
        <f>MAX(1,ROUND(H49^Guida!$B$18*Guida!$F$11,0))</f>
        <v>1</v>
      </c>
      <c r="J49" s="30">
        <f t="shared" si="2"/>
        <v>2</v>
      </c>
      <c r="K49" s="25" t="str">
        <f t="shared" si="3"/>
        <v>Scommessa</v>
      </c>
      <c r="L49" s="25" t="s">
        <v>332</v>
      </c>
      <c r="M49" s="29" t="s">
        <v>338</v>
      </c>
      <c r="N49" s="25" t="s">
        <v>71</v>
      </c>
      <c r="O49" s="25" t="s">
        <v>71</v>
      </c>
      <c r="P49" s="30"/>
      <c r="Q49" s="32"/>
      <c r="R49" s="32"/>
      <c r="S49" s="30"/>
      <c r="T49" s="30"/>
      <c r="U49" s="25"/>
      <c r="V49" s="30"/>
      <c r="W49" s="30"/>
      <c r="X49" s="30">
        <v>0.0</v>
      </c>
      <c r="Y49" s="32"/>
      <c r="Z49" s="32"/>
      <c r="AA49" s="30"/>
      <c r="AB49" s="30"/>
      <c r="AC49" s="25" t="s">
        <v>71</v>
      </c>
      <c r="AD49" s="25" t="s">
        <v>103</v>
      </c>
      <c r="AE49" s="32">
        <f t="shared" si="4"/>
        <v>5.5</v>
      </c>
      <c r="AF49" s="29" t="s">
        <v>268</v>
      </c>
      <c r="AG49" s="30">
        <v>6.0</v>
      </c>
      <c r="AH49" s="30">
        <f t="shared" si="5"/>
        <v>27</v>
      </c>
      <c r="AI49" s="29"/>
    </row>
    <row r="50" ht="15.75" customHeight="1">
      <c r="A50" s="11">
        <f t="shared" si="1"/>
        <v>30</v>
      </c>
      <c r="B50" s="16">
        <f>ROUND(Guida!$B$22*H50/Guida!$B$28+Guida!$B$23*MAX(0,MIN(1,(AE50-5.4)/1.6))+Guida!$B$24*0+Guida!$B$25*0,1)</f>
        <v>2.3</v>
      </c>
      <c r="C50" s="17" t="s">
        <v>413</v>
      </c>
      <c r="D50" s="11" t="s">
        <v>239</v>
      </c>
      <c r="E50" s="18" t="s">
        <v>61</v>
      </c>
      <c r="F50" s="19">
        <v>1.0</v>
      </c>
      <c r="G50" s="19">
        <v>1.0</v>
      </c>
      <c r="H50" s="19">
        <v>1.0</v>
      </c>
      <c r="I50" s="19">
        <f>MAX(1,ROUND(H50^Guida!$B$18*Guida!$F$11,0))</f>
        <v>1</v>
      </c>
      <c r="J50" s="19">
        <f t="shared" si="2"/>
        <v>2</v>
      </c>
      <c r="K50" s="11" t="str">
        <f t="shared" si="3"/>
        <v>Scommessa</v>
      </c>
      <c r="L50" s="11" t="s">
        <v>332</v>
      </c>
      <c r="M50" s="18" t="s">
        <v>333</v>
      </c>
      <c r="N50" s="11" t="s">
        <v>71</v>
      </c>
      <c r="O50" s="11" t="s">
        <v>71</v>
      </c>
      <c r="P50" s="19"/>
      <c r="Q50" s="22"/>
      <c r="R50" s="22"/>
      <c r="S50" s="19"/>
      <c r="T50" s="19"/>
      <c r="U50" s="11"/>
      <c r="V50" s="19"/>
      <c r="W50" s="19"/>
      <c r="X50" s="19">
        <v>0.0</v>
      </c>
      <c r="Y50" s="22"/>
      <c r="Z50" s="22"/>
      <c r="AA50" s="19"/>
      <c r="AB50" s="19"/>
      <c r="AC50" s="11" t="s">
        <v>239</v>
      </c>
      <c r="AD50" s="11" t="s">
        <v>73</v>
      </c>
      <c r="AE50" s="22">
        <f t="shared" si="4"/>
        <v>5.5</v>
      </c>
      <c r="AF50" s="18" t="s">
        <v>204</v>
      </c>
      <c r="AG50" s="19">
        <v>6.0</v>
      </c>
      <c r="AH50" s="19">
        <f t="shared" si="5"/>
        <v>27</v>
      </c>
      <c r="AI50" s="18"/>
    </row>
    <row r="51" ht="15.75" customHeight="1">
      <c r="A51" s="25">
        <f t="shared" si="1"/>
        <v>30</v>
      </c>
      <c r="B51" s="27">
        <f>ROUND(Guida!$B$22*H51/Guida!$B$28+Guida!$B$23*MAX(0,MIN(1,(AE51-5.4)/1.6))+Guida!$B$24*0+Guida!$B$25*0,1)</f>
        <v>2.3</v>
      </c>
      <c r="C51" s="28" t="s">
        <v>418</v>
      </c>
      <c r="D51" s="25" t="s">
        <v>195</v>
      </c>
      <c r="E51" s="29" t="s">
        <v>61</v>
      </c>
      <c r="F51" s="30">
        <v>1.0</v>
      </c>
      <c r="G51" s="30">
        <v>1.0</v>
      </c>
      <c r="H51" s="30">
        <v>1.0</v>
      </c>
      <c r="I51" s="30">
        <f>MAX(1,ROUND(H51^Guida!$B$18*Guida!$F$11,0))</f>
        <v>1</v>
      </c>
      <c r="J51" s="30">
        <f t="shared" si="2"/>
        <v>2</v>
      </c>
      <c r="K51" s="25" t="str">
        <f t="shared" si="3"/>
        <v>Scommessa</v>
      </c>
      <c r="L51" s="25" t="s">
        <v>332</v>
      </c>
      <c r="M51" s="29" t="s">
        <v>338</v>
      </c>
      <c r="N51" s="25" t="s">
        <v>71</v>
      </c>
      <c r="O51" s="25" t="s">
        <v>71</v>
      </c>
      <c r="P51" s="30"/>
      <c r="Q51" s="32"/>
      <c r="R51" s="32"/>
      <c r="S51" s="30"/>
      <c r="T51" s="30"/>
      <c r="U51" s="25"/>
      <c r="V51" s="30"/>
      <c r="W51" s="30"/>
      <c r="X51" s="30">
        <v>0.0</v>
      </c>
      <c r="Y51" s="32"/>
      <c r="Z51" s="32"/>
      <c r="AA51" s="30"/>
      <c r="AB51" s="30"/>
      <c r="AC51" s="25" t="s">
        <v>71</v>
      </c>
      <c r="AD51" s="25" t="s">
        <v>103</v>
      </c>
      <c r="AE51" s="32">
        <f t="shared" si="4"/>
        <v>5.5</v>
      </c>
      <c r="AF51" s="29" t="s">
        <v>105</v>
      </c>
      <c r="AG51" s="30">
        <v>0.0</v>
      </c>
      <c r="AH51" s="30">
        <f t="shared" si="5"/>
        <v>27</v>
      </c>
      <c r="AI51" s="29"/>
    </row>
    <row r="52" ht="15.75" customHeight="1">
      <c r="A52" s="11">
        <f t="shared" si="1"/>
        <v>30</v>
      </c>
      <c r="B52" s="16">
        <f>ROUND(Guida!$B$22*H52/Guida!$B$28+Guida!$B$23*MAX(0,MIN(1,(AE52-5.4)/1.6))+Guida!$B$24*0+Guida!$B$25*0,1)</f>
        <v>2.3</v>
      </c>
      <c r="C52" s="17" t="s">
        <v>422</v>
      </c>
      <c r="D52" s="11" t="s">
        <v>253</v>
      </c>
      <c r="E52" s="18" t="s">
        <v>61</v>
      </c>
      <c r="F52" s="19">
        <v>1.0</v>
      </c>
      <c r="G52" s="19">
        <v>1.0</v>
      </c>
      <c r="H52" s="19">
        <v>1.0</v>
      </c>
      <c r="I52" s="19">
        <f>MAX(1,ROUND(H52^Guida!$B$18*Guida!$F$11,0))</f>
        <v>1</v>
      </c>
      <c r="J52" s="19">
        <f t="shared" si="2"/>
        <v>2</v>
      </c>
      <c r="K52" s="11" t="str">
        <f t="shared" si="3"/>
        <v>Scommessa</v>
      </c>
      <c r="L52" s="11" t="s">
        <v>226</v>
      </c>
      <c r="M52" s="18" t="s">
        <v>281</v>
      </c>
      <c r="N52" s="11" t="s">
        <v>71</v>
      </c>
      <c r="O52" s="11" t="s">
        <v>71</v>
      </c>
      <c r="P52" s="19"/>
      <c r="Q52" s="22"/>
      <c r="R52" s="22"/>
      <c r="S52" s="19"/>
      <c r="T52" s="19"/>
      <c r="U52" s="11"/>
      <c r="V52" s="19"/>
      <c r="W52" s="19"/>
      <c r="X52" s="19">
        <v>0.0</v>
      </c>
      <c r="Y52" s="22"/>
      <c r="Z52" s="22"/>
      <c r="AA52" s="19"/>
      <c r="AB52" s="19"/>
      <c r="AC52" s="11" t="s">
        <v>253</v>
      </c>
      <c r="AD52" s="11" t="s">
        <v>73</v>
      </c>
      <c r="AE52" s="22">
        <f t="shared" si="4"/>
        <v>5.5</v>
      </c>
      <c r="AF52" s="18" t="s">
        <v>178</v>
      </c>
      <c r="AG52" s="19">
        <v>4.0</v>
      </c>
      <c r="AH52" s="19">
        <f t="shared" si="5"/>
        <v>27</v>
      </c>
      <c r="AI52" s="18"/>
    </row>
    <row r="53" ht="15.75" customHeight="1">
      <c r="A53" s="25">
        <f t="shared" si="1"/>
        <v>30</v>
      </c>
      <c r="B53" s="27">
        <f>ROUND(Guida!$B$22*H53/Guida!$B$28+Guida!$B$23*MAX(0,MIN(1,(AE53-5.4)/1.6))+Guida!$B$24*0+Guida!$B$25*0,1)</f>
        <v>2.3</v>
      </c>
      <c r="C53" s="28" t="s">
        <v>426</v>
      </c>
      <c r="D53" s="25" t="s">
        <v>253</v>
      </c>
      <c r="E53" s="29" t="s">
        <v>61</v>
      </c>
      <c r="F53" s="30">
        <v>1.0</v>
      </c>
      <c r="G53" s="30">
        <v>1.0</v>
      </c>
      <c r="H53" s="30">
        <v>1.0</v>
      </c>
      <c r="I53" s="30">
        <f>MAX(1,ROUND(H53^Guida!$B$18*Guida!$F$11,0))</f>
        <v>1</v>
      </c>
      <c r="J53" s="30">
        <f t="shared" si="2"/>
        <v>2</v>
      </c>
      <c r="K53" s="25" t="str">
        <f t="shared" si="3"/>
        <v>Scommessa</v>
      </c>
      <c r="L53" s="25" t="s">
        <v>332</v>
      </c>
      <c r="M53" s="29" t="s">
        <v>333</v>
      </c>
      <c r="N53" s="25" t="s">
        <v>71</v>
      </c>
      <c r="O53" s="25" t="s">
        <v>71</v>
      </c>
      <c r="P53" s="30"/>
      <c r="Q53" s="32"/>
      <c r="R53" s="32"/>
      <c r="S53" s="30"/>
      <c r="T53" s="30"/>
      <c r="U53" s="25"/>
      <c r="V53" s="30"/>
      <c r="W53" s="30"/>
      <c r="X53" s="30">
        <v>0.0</v>
      </c>
      <c r="Y53" s="32"/>
      <c r="Z53" s="32"/>
      <c r="AA53" s="30"/>
      <c r="AB53" s="30"/>
      <c r="AC53" s="25" t="s">
        <v>253</v>
      </c>
      <c r="AD53" s="25" t="s">
        <v>73</v>
      </c>
      <c r="AE53" s="32">
        <f t="shared" si="4"/>
        <v>5.5</v>
      </c>
      <c r="AF53" s="29" t="s">
        <v>178</v>
      </c>
      <c r="AG53" s="30">
        <v>4.0</v>
      </c>
      <c r="AH53" s="30">
        <f t="shared" si="5"/>
        <v>27</v>
      </c>
      <c r="AI53" s="29"/>
    </row>
    <row r="54" ht="15.75" customHeight="1">
      <c r="A54" s="11">
        <f t="shared" si="1"/>
        <v>30</v>
      </c>
      <c r="B54" s="16">
        <f>ROUND(Guida!$B$22*H54/Guida!$B$28+Guida!$B$23*MAX(0,MIN(1,(AE54-5.4)/1.6))+Guida!$B$24*0+Guida!$B$25*0,1)</f>
        <v>2.3</v>
      </c>
      <c r="C54" s="17" t="s">
        <v>430</v>
      </c>
      <c r="D54" s="11" t="s">
        <v>239</v>
      </c>
      <c r="E54" s="18" t="s">
        <v>61</v>
      </c>
      <c r="F54" s="19">
        <v>1.0</v>
      </c>
      <c r="G54" s="19">
        <v>1.0</v>
      </c>
      <c r="H54" s="19">
        <v>1.0</v>
      </c>
      <c r="I54" s="19">
        <f>MAX(1,ROUND(H54^Guida!$B$18*Guida!$F$11,0))</f>
        <v>1</v>
      </c>
      <c r="J54" s="19">
        <f t="shared" si="2"/>
        <v>2</v>
      </c>
      <c r="K54" s="11" t="str">
        <f t="shared" si="3"/>
        <v>Scommessa</v>
      </c>
      <c r="L54" s="11" t="s">
        <v>226</v>
      </c>
      <c r="M54" s="18" t="s">
        <v>281</v>
      </c>
      <c r="N54" s="11" t="s">
        <v>71</v>
      </c>
      <c r="O54" s="11" t="s">
        <v>71</v>
      </c>
      <c r="P54" s="19"/>
      <c r="Q54" s="22"/>
      <c r="R54" s="22"/>
      <c r="S54" s="19"/>
      <c r="T54" s="19"/>
      <c r="U54" s="11"/>
      <c r="V54" s="19"/>
      <c r="W54" s="19"/>
      <c r="X54" s="19">
        <v>0.0</v>
      </c>
      <c r="Y54" s="22"/>
      <c r="Z54" s="22"/>
      <c r="AA54" s="19"/>
      <c r="AB54" s="19"/>
      <c r="AC54" s="11" t="s">
        <v>239</v>
      </c>
      <c r="AD54" s="11" t="s">
        <v>73</v>
      </c>
      <c r="AE54" s="22">
        <f t="shared" si="4"/>
        <v>5.5</v>
      </c>
      <c r="AF54" s="18" t="s">
        <v>204</v>
      </c>
      <c r="AG54" s="19">
        <v>6.0</v>
      </c>
      <c r="AH54" s="19">
        <f t="shared" si="5"/>
        <v>27</v>
      </c>
      <c r="AI54" s="18"/>
    </row>
    <row r="55" ht="15.75" customHeight="1">
      <c r="A55" s="25">
        <f t="shared" si="1"/>
        <v>30</v>
      </c>
      <c r="B55" s="27">
        <f>ROUND(Guida!$B$22*H55/Guida!$B$28+Guida!$B$23*MAX(0,MIN(1,(AE55-5.4)/1.6))+Guida!$B$24*0+Guida!$B$25*0,1)</f>
        <v>2.3</v>
      </c>
      <c r="C55" s="28" t="s">
        <v>435</v>
      </c>
      <c r="D55" s="25" t="s">
        <v>212</v>
      </c>
      <c r="E55" s="29" t="s">
        <v>61</v>
      </c>
      <c r="F55" s="30">
        <v>1.0</v>
      </c>
      <c r="G55" s="30">
        <v>1.0</v>
      </c>
      <c r="H55" s="30">
        <v>1.0</v>
      </c>
      <c r="I55" s="30">
        <f>MAX(1,ROUND(H55^Guida!$B$18*Guida!$F$11,0))</f>
        <v>1</v>
      </c>
      <c r="J55" s="30">
        <f t="shared" si="2"/>
        <v>2</v>
      </c>
      <c r="K55" s="25" t="str">
        <f t="shared" si="3"/>
        <v>Scommessa</v>
      </c>
      <c r="L55" s="25" t="s">
        <v>332</v>
      </c>
      <c r="M55" s="29" t="s">
        <v>333</v>
      </c>
      <c r="N55" s="25" t="s">
        <v>71</v>
      </c>
      <c r="O55" s="25" t="s">
        <v>71</v>
      </c>
      <c r="P55" s="30"/>
      <c r="Q55" s="32"/>
      <c r="R55" s="32"/>
      <c r="S55" s="30"/>
      <c r="T55" s="30"/>
      <c r="U55" s="25"/>
      <c r="V55" s="30"/>
      <c r="W55" s="30"/>
      <c r="X55" s="30">
        <v>0.0</v>
      </c>
      <c r="Y55" s="32"/>
      <c r="Z55" s="32"/>
      <c r="AA55" s="30"/>
      <c r="AB55" s="30"/>
      <c r="AC55" s="25" t="s">
        <v>212</v>
      </c>
      <c r="AD55" s="25" t="s">
        <v>73</v>
      </c>
      <c r="AE55" s="32">
        <f t="shared" si="4"/>
        <v>5.5</v>
      </c>
      <c r="AF55" s="29" t="s">
        <v>215</v>
      </c>
      <c r="AG55" s="30">
        <v>0.0</v>
      </c>
      <c r="AH55" s="30">
        <f t="shared" si="5"/>
        <v>27</v>
      </c>
      <c r="AI55" s="29"/>
    </row>
    <row r="56" ht="15.75" customHeight="1">
      <c r="A56" s="11">
        <f t="shared" si="1"/>
        <v>30</v>
      </c>
      <c r="B56" s="16">
        <f>ROUND(Guida!$B$22*H56/Guida!$B$28+Guida!$B$23*MAX(0,MIN(1,(AE56-5.4)/1.6))+Guida!$B$24*0+Guida!$B$25*0,1)</f>
        <v>2.3</v>
      </c>
      <c r="C56" s="17" t="s">
        <v>440</v>
      </c>
      <c r="D56" s="11" t="s">
        <v>177</v>
      </c>
      <c r="E56" s="18" t="s">
        <v>61</v>
      </c>
      <c r="F56" s="19">
        <v>1.0</v>
      </c>
      <c r="G56" s="19">
        <v>1.0</v>
      </c>
      <c r="H56" s="19">
        <v>1.0</v>
      </c>
      <c r="I56" s="19">
        <f>MAX(1,ROUND(H56^Guida!$B$18*Guida!$F$11,0))</f>
        <v>1</v>
      </c>
      <c r="J56" s="19">
        <f t="shared" si="2"/>
        <v>2</v>
      </c>
      <c r="K56" s="11" t="str">
        <f t="shared" si="3"/>
        <v>Scommessa</v>
      </c>
      <c r="L56" s="11" t="s">
        <v>332</v>
      </c>
      <c r="M56" s="18" t="s">
        <v>338</v>
      </c>
      <c r="N56" s="11" t="s">
        <v>71</v>
      </c>
      <c r="O56" s="11" t="s">
        <v>71</v>
      </c>
      <c r="P56" s="19"/>
      <c r="Q56" s="22"/>
      <c r="R56" s="22"/>
      <c r="S56" s="19"/>
      <c r="T56" s="19"/>
      <c r="U56" s="11"/>
      <c r="V56" s="19"/>
      <c r="W56" s="19"/>
      <c r="X56" s="19">
        <v>0.0</v>
      </c>
      <c r="Y56" s="22"/>
      <c r="Z56" s="22"/>
      <c r="AA56" s="19"/>
      <c r="AB56" s="19"/>
      <c r="AC56" s="11" t="s">
        <v>71</v>
      </c>
      <c r="AD56" s="11" t="s">
        <v>103</v>
      </c>
      <c r="AE56" s="22">
        <f t="shared" si="4"/>
        <v>5.5</v>
      </c>
      <c r="AF56" s="18" t="s">
        <v>215</v>
      </c>
      <c r="AG56" s="19">
        <v>5.0</v>
      </c>
      <c r="AH56" s="19">
        <f t="shared" si="5"/>
        <v>27</v>
      </c>
      <c r="AI56" s="18"/>
    </row>
    <row r="57" ht="15.75" customHeight="1">
      <c r="A57" s="25">
        <f t="shared" si="1"/>
        <v>30</v>
      </c>
      <c r="B57" s="27">
        <f>ROUND(Guida!$B$22*H57/Guida!$B$28+Guida!$B$23*MAX(0,MIN(1,(AE57-5.4)/1.6))+Guida!$B$24*0+Guida!$B$25*0,1)</f>
        <v>2.3</v>
      </c>
      <c r="C57" s="28" t="s">
        <v>444</v>
      </c>
      <c r="D57" s="25" t="s">
        <v>272</v>
      </c>
      <c r="E57" s="29" t="s">
        <v>61</v>
      </c>
      <c r="F57" s="30">
        <v>1.0</v>
      </c>
      <c r="G57" s="30">
        <v>1.0</v>
      </c>
      <c r="H57" s="30">
        <v>1.0</v>
      </c>
      <c r="I57" s="30">
        <f>MAX(1,ROUND(H57^Guida!$B$18*Guida!$F$11,0))</f>
        <v>1</v>
      </c>
      <c r="J57" s="30">
        <f t="shared" si="2"/>
        <v>2</v>
      </c>
      <c r="K57" s="25" t="str">
        <f t="shared" si="3"/>
        <v>Scommessa</v>
      </c>
      <c r="L57" s="25" t="s">
        <v>332</v>
      </c>
      <c r="M57" s="29" t="s">
        <v>338</v>
      </c>
      <c r="N57" s="25" t="s">
        <v>71</v>
      </c>
      <c r="O57" s="25" t="s">
        <v>71</v>
      </c>
      <c r="P57" s="30"/>
      <c r="Q57" s="32"/>
      <c r="R57" s="32"/>
      <c r="S57" s="30"/>
      <c r="T57" s="30"/>
      <c r="U57" s="25"/>
      <c r="V57" s="30"/>
      <c r="W57" s="30"/>
      <c r="X57" s="30">
        <v>0.0</v>
      </c>
      <c r="Y57" s="32"/>
      <c r="Z57" s="32"/>
      <c r="AA57" s="30"/>
      <c r="AB57" s="30"/>
      <c r="AC57" s="25" t="s">
        <v>71</v>
      </c>
      <c r="AD57" s="25" t="s">
        <v>103</v>
      </c>
      <c r="AE57" s="32">
        <f t="shared" si="4"/>
        <v>5.5</v>
      </c>
      <c r="AF57" s="29" t="s">
        <v>276</v>
      </c>
      <c r="AG57" s="30">
        <v>6.0</v>
      </c>
      <c r="AH57" s="30">
        <f t="shared" si="5"/>
        <v>27</v>
      </c>
      <c r="AI57" s="29"/>
    </row>
    <row r="58" ht="15.75" customHeight="1">
      <c r="A58" s="11">
        <f t="shared" si="1"/>
        <v>30</v>
      </c>
      <c r="B58" s="16">
        <f>ROUND(Guida!$B$22*H58/Guida!$B$28+Guida!$B$23*MAX(0,MIN(1,(AE58-5.4)/1.6))+Guida!$B$24*0+Guida!$B$25*0,1)</f>
        <v>2.3</v>
      </c>
      <c r="C58" s="17" t="s">
        <v>447</v>
      </c>
      <c r="D58" s="11" t="s">
        <v>175</v>
      </c>
      <c r="E58" s="18" t="s">
        <v>61</v>
      </c>
      <c r="F58" s="19">
        <v>1.0</v>
      </c>
      <c r="G58" s="19">
        <v>1.0</v>
      </c>
      <c r="H58" s="19">
        <v>1.0</v>
      </c>
      <c r="I58" s="19">
        <f>MAX(1,ROUND(H58^Guida!$B$18*Guida!$F$11,0))</f>
        <v>1</v>
      </c>
      <c r="J58" s="19">
        <f t="shared" si="2"/>
        <v>2</v>
      </c>
      <c r="K58" s="11" t="str">
        <f t="shared" si="3"/>
        <v>Scommessa</v>
      </c>
      <c r="L58" s="11" t="s">
        <v>332</v>
      </c>
      <c r="M58" s="18" t="s">
        <v>333</v>
      </c>
      <c r="N58" s="11" t="s">
        <v>71</v>
      </c>
      <c r="O58" s="11" t="s">
        <v>71</v>
      </c>
      <c r="P58" s="19"/>
      <c r="Q58" s="22"/>
      <c r="R58" s="22"/>
      <c r="S58" s="19"/>
      <c r="T58" s="19"/>
      <c r="U58" s="11"/>
      <c r="V58" s="19"/>
      <c r="W58" s="19"/>
      <c r="X58" s="19">
        <v>0.0</v>
      </c>
      <c r="Y58" s="22"/>
      <c r="Z58" s="22"/>
      <c r="AA58" s="19"/>
      <c r="AB58" s="19"/>
      <c r="AC58" s="11" t="s">
        <v>175</v>
      </c>
      <c r="AD58" s="11" t="s">
        <v>73</v>
      </c>
      <c r="AE58" s="22">
        <f t="shared" si="4"/>
        <v>5.5</v>
      </c>
      <c r="AF58" s="18" t="s">
        <v>178</v>
      </c>
      <c r="AG58" s="19">
        <v>0.0</v>
      </c>
      <c r="AH58" s="19">
        <f t="shared" si="5"/>
        <v>27</v>
      </c>
      <c r="AI58" s="18"/>
    </row>
    <row r="59" ht="15.75" customHeight="1">
      <c r="A59" s="25">
        <f t="shared" si="1"/>
        <v>30</v>
      </c>
      <c r="B59" s="27">
        <f>ROUND(Guida!$B$22*H59/Guida!$B$28+Guida!$B$23*MAX(0,MIN(1,(AE59-5.4)/1.6))+Guida!$B$24*0+Guida!$B$25*0,1)</f>
        <v>2.3</v>
      </c>
      <c r="C59" s="28" t="s">
        <v>451</v>
      </c>
      <c r="D59" s="25" t="s">
        <v>133</v>
      </c>
      <c r="E59" s="29" t="s">
        <v>61</v>
      </c>
      <c r="F59" s="30">
        <v>1.0</v>
      </c>
      <c r="G59" s="30">
        <v>1.0</v>
      </c>
      <c r="H59" s="30">
        <v>1.0</v>
      </c>
      <c r="I59" s="30">
        <f>MAX(1,ROUND(H59^Guida!$B$18*Guida!$F$11,0))</f>
        <v>1</v>
      </c>
      <c r="J59" s="30">
        <f t="shared" si="2"/>
        <v>2</v>
      </c>
      <c r="K59" s="25" t="str">
        <f t="shared" si="3"/>
        <v>Scommessa</v>
      </c>
      <c r="L59" s="25" t="s">
        <v>332</v>
      </c>
      <c r="M59" s="29" t="s">
        <v>333</v>
      </c>
      <c r="N59" s="25" t="s">
        <v>71</v>
      </c>
      <c r="O59" s="25" t="s">
        <v>71</v>
      </c>
      <c r="P59" s="30"/>
      <c r="Q59" s="32"/>
      <c r="R59" s="32"/>
      <c r="S59" s="30"/>
      <c r="T59" s="30"/>
      <c r="U59" s="25"/>
      <c r="V59" s="30"/>
      <c r="W59" s="30"/>
      <c r="X59" s="30">
        <v>0.0</v>
      </c>
      <c r="Y59" s="32"/>
      <c r="Z59" s="32"/>
      <c r="AA59" s="30"/>
      <c r="AB59" s="30"/>
      <c r="AC59" s="25" t="s">
        <v>133</v>
      </c>
      <c r="AD59" s="25" t="s">
        <v>73</v>
      </c>
      <c r="AE59" s="32">
        <f t="shared" si="4"/>
        <v>5.5</v>
      </c>
      <c r="AF59" s="29" t="s">
        <v>186</v>
      </c>
      <c r="AG59" s="30">
        <v>6.0</v>
      </c>
      <c r="AH59" s="30">
        <f t="shared" si="5"/>
        <v>27</v>
      </c>
      <c r="AI59" s="29"/>
    </row>
    <row r="60" ht="15.75" customHeight="1">
      <c r="A60" s="11">
        <f t="shared" si="1"/>
        <v>57</v>
      </c>
      <c r="B60" s="16">
        <f>ROUND(Guida!$B$22*H60/Guida!$B$28+Guida!$B$23*MAX(0,MIN(1,(AE60-5.4)/1.6))+Guida!$B$24*0+Guida!$B$25*0,1)</f>
        <v>2</v>
      </c>
      <c r="C60" s="17" t="s">
        <v>456</v>
      </c>
      <c r="D60" s="11" t="s">
        <v>64</v>
      </c>
      <c r="E60" s="18" t="s">
        <v>61</v>
      </c>
      <c r="F60" s="19">
        <v>1.0</v>
      </c>
      <c r="G60" s="19">
        <v>1.0</v>
      </c>
      <c r="H60" s="19">
        <v>1.0</v>
      </c>
      <c r="I60" s="19">
        <f>MAX(1,ROUND(H60^Guida!$B$18*Guida!$F$11,0))</f>
        <v>1</v>
      </c>
      <c r="J60" s="19">
        <f t="shared" si="2"/>
        <v>2</v>
      </c>
      <c r="K60" s="11" t="str">
        <f t="shared" si="3"/>
        <v>Scommessa</v>
      </c>
      <c r="L60" s="11" t="s">
        <v>332</v>
      </c>
      <c r="M60" s="18" t="s">
        <v>333</v>
      </c>
      <c r="N60" s="11" t="s">
        <v>71</v>
      </c>
      <c r="O60" s="11" t="s">
        <v>71</v>
      </c>
      <c r="P60" s="19">
        <v>1.0</v>
      </c>
      <c r="Q60" s="22">
        <v>6.0</v>
      </c>
      <c r="R60" s="22">
        <v>5.0</v>
      </c>
      <c r="S60" s="19">
        <v>0.0</v>
      </c>
      <c r="T60" s="19">
        <v>0.0</v>
      </c>
      <c r="U60" s="11" t="s">
        <v>72</v>
      </c>
      <c r="V60" s="19">
        <v>0.0</v>
      </c>
      <c r="W60" s="19">
        <v>0.0</v>
      </c>
      <c r="X60" s="19">
        <v>0.0</v>
      </c>
      <c r="Y60" s="22"/>
      <c r="Z60" s="22"/>
      <c r="AA60" s="19"/>
      <c r="AB60" s="19"/>
      <c r="AC60" s="11" t="s">
        <v>64</v>
      </c>
      <c r="AD60" s="11" t="s">
        <v>73</v>
      </c>
      <c r="AE60" s="22">
        <f t="shared" si="4"/>
        <v>5.48</v>
      </c>
      <c r="AF60" s="18" t="s">
        <v>124</v>
      </c>
      <c r="AG60" s="19">
        <v>0.0</v>
      </c>
      <c r="AH60" s="19">
        <f t="shared" si="5"/>
        <v>27</v>
      </c>
      <c r="AI60" s="18"/>
    </row>
    <row r="61" ht="15.75" customHeight="1">
      <c r="A61" s="25">
        <f t="shared" si="1"/>
        <v>57</v>
      </c>
      <c r="B61" s="27">
        <f>ROUND(Guida!$B$22*H61/Guida!$B$28+Guida!$B$23*MAX(0,MIN(1,(AE61-5.4)/1.6))+Guida!$B$24*0+Guida!$B$25*0,1)</f>
        <v>2</v>
      </c>
      <c r="C61" s="28" t="s">
        <v>462</v>
      </c>
      <c r="D61" s="25" t="s">
        <v>185</v>
      </c>
      <c r="E61" s="29" t="s">
        <v>61</v>
      </c>
      <c r="F61" s="30">
        <v>1.0</v>
      </c>
      <c r="G61" s="30">
        <v>1.0</v>
      </c>
      <c r="H61" s="30">
        <v>1.0</v>
      </c>
      <c r="I61" s="30">
        <f>MAX(1,ROUND(H61^Guida!$B$18*Guida!$F$11,0))</f>
        <v>1</v>
      </c>
      <c r="J61" s="30">
        <f t="shared" si="2"/>
        <v>2</v>
      </c>
      <c r="K61" s="25" t="str">
        <f t="shared" si="3"/>
        <v>Scommessa</v>
      </c>
      <c r="L61" s="25" t="s">
        <v>226</v>
      </c>
      <c r="M61" s="29" t="s">
        <v>281</v>
      </c>
      <c r="N61" s="25" t="s">
        <v>71</v>
      </c>
      <c r="O61" s="25" t="s">
        <v>71</v>
      </c>
      <c r="P61" s="30">
        <v>2.0</v>
      </c>
      <c r="Q61" s="32">
        <v>6.25</v>
      </c>
      <c r="R61" s="32">
        <v>5.25</v>
      </c>
      <c r="S61" s="30">
        <v>0.0</v>
      </c>
      <c r="T61" s="30">
        <v>0.0</v>
      </c>
      <c r="U61" s="25" t="s">
        <v>72</v>
      </c>
      <c r="V61" s="30">
        <v>0.0</v>
      </c>
      <c r="W61" s="30">
        <v>0.0</v>
      </c>
      <c r="X61" s="30">
        <v>0.0</v>
      </c>
      <c r="Y61" s="32"/>
      <c r="Z61" s="32"/>
      <c r="AA61" s="30"/>
      <c r="AB61" s="30"/>
      <c r="AC61" s="25" t="s">
        <v>185</v>
      </c>
      <c r="AD61" s="25" t="s">
        <v>73</v>
      </c>
      <c r="AE61" s="32">
        <f t="shared" si="4"/>
        <v>5.48</v>
      </c>
      <c r="AF61" s="29" t="s">
        <v>124</v>
      </c>
      <c r="AG61" s="30">
        <v>7.0</v>
      </c>
      <c r="AH61" s="30">
        <f t="shared" si="5"/>
        <v>27</v>
      </c>
      <c r="AI61" s="29"/>
    </row>
    <row r="62" ht="15.75" customHeight="1">
      <c r="A62" s="11">
        <f t="shared" si="1"/>
        <v>59</v>
      </c>
      <c r="B62" s="16">
        <f>ROUND(Guida!$B$22*H62/Guida!$B$28+Guida!$B$23*MAX(0,MIN(1,(AE62-5.4)/1.6))+Guida!$B$24*0+Guida!$B$25*0,1)</f>
        <v>1.6</v>
      </c>
      <c r="C62" s="17" t="s">
        <v>466</v>
      </c>
      <c r="D62" s="11" t="s">
        <v>143</v>
      </c>
      <c r="E62" s="18" t="s">
        <v>61</v>
      </c>
      <c r="F62" s="19">
        <v>1.0</v>
      </c>
      <c r="G62" s="19">
        <v>1.0</v>
      </c>
      <c r="H62" s="19">
        <v>1.0</v>
      </c>
      <c r="I62" s="19">
        <f>MAX(1,ROUND(H62^Guida!$B$18*Guida!$F$11,0))</f>
        <v>1</v>
      </c>
      <c r="J62" s="19">
        <f t="shared" si="2"/>
        <v>2</v>
      </c>
      <c r="K62" s="11" t="str">
        <f t="shared" si="3"/>
        <v>Scommessa</v>
      </c>
      <c r="L62" s="11" t="s">
        <v>226</v>
      </c>
      <c r="M62" s="18" t="s">
        <v>281</v>
      </c>
      <c r="N62" s="11" t="s">
        <v>71</v>
      </c>
      <c r="O62" s="11" t="s">
        <v>71</v>
      </c>
      <c r="P62" s="19">
        <v>1.0</v>
      </c>
      <c r="Q62" s="22">
        <v>5.5</v>
      </c>
      <c r="R62" s="22">
        <v>4.5</v>
      </c>
      <c r="S62" s="19">
        <v>0.0</v>
      </c>
      <c r="T62" s="19">
        <v>0.0</v>
      </c>
      <c r="U62" s="11" t="s">
        <v>72</v>
      </c>
      <c r="V62" s="19">
        <v>0.0</v>
      </c>
      <c r="W62" s="19">
        <v>0.0</v>
      </c>
      <c r="X62" s="19">
        <v>0.0</v>
      </c>
      <c r="Y62" s="22"/>
      <c r="Z62" s="22"/>
      <c r="AA62" s="19"/>
      <c r="AB62" s="19"/>
      <c r="AC62" s="11" t="s">
        <v>143</v>
      </c>
      <c r="AD62" s="11" t="s">
        <v>73</v>
      </c>
      <c r="AE62" s="22">
        <f t="shared" si="4"/>
        <v>5.46</v>
      </c>
      <c r="AF62" s="18" t="s">
        <v>468</v>
      </c>
      <c r="AG62" s="19">
        <v>5.0</v>
      </c>
      <c r="AH62" s="19">
        <f t="shared" si="5"/>
        <v>27</v>
      </c>
      <c r="AI62" s="18"/>
    </row>
    <row r="63" ht="15.75" customHeight="1">
      <c r="A63" s="25">
        <f t="shared" si="1"/>
        <v>60</v>
      </c>
      <c r="B63" s="27">
        <f>ROUND(Guida!$B$22*H63/Guida!$B$28+Guida!$B$23*MAX(0,MIN(1,(AE63-5.4)/1.6))+Guida!$B$24*0+Guida!$B$25*0,1)</f>
        <v>0.7</v>
      </c>
      <c r="C63" s="28" t="s">
        <v>471</v>
      </c>
      <c r="D63" s="25" t="s">
        <v>264</v>
      </c>
      <c r="E63" s="29" t="s">
        <v>61</v>
      </c>
      <c r="F63" s="30">
        <v>1.0</v>
      </c>
      <c r="G63" s="30">
        <v>1.0</v>
      </c>
      <c r="H63" s="30">
        <v>1.0</v>
      </c>
      <c r="I63" s="30">
        <f>MAX(1,ROUND(H63^Guida!$B$18*Guida!$F$11,0))</f>
        <v>1</v>
      </c>
      <c r="J63" s="30">
        <f t="shared" si="2"/>
        <v>2</v>
      </c>
      <c r="K63" s="25" t="str">
        <f t="shared" si="3"/>
        <v>Scommessa</v>
      </c>
      <c r="L63" s="25" t="s">
        <v>332</v>
      </c>
      <c r="M63" s="29" t="s">
        <v>338</v>
      </c>
      <c r="N63" s="25" t="s">
        <v>71</v>
      </c>
      <c r="O63" s="25" t="s">
        <v>71</v>
      </c>
      <c r="P63" s="30">
        <v>35.0</v>
      </c>
      <c r="Q63" s="32">
        <v>6.2</v>
      </c>
      <c r="R63" s="32">
        <v>4.94</v>
      </c>
      <c r="S63" s="30">
        <v>0.0</v>
      </c>
      <c r="T63" s="30">
        <v>1.0</v>
      </c>
      <c r="U63" s="25" t="s">
        <v>72</v>
      </c>
      <c r="V63" s="30">
        <v>0.0</v>
      </c>
      <c r="W63" s="30">
        <v>0.0</v>
      </c>
      <c r="X63" s="30">
        <v>0.0</v>
      </c>
      <c r="Y63" s="32"/>
      <c r="Z63" s="32"/>
      <c r="AA63" s="30"/>
      <c r="AB63" s="30"/>
      <c r="AC63" s="25" t="s">
        <v>361</v>
      </c>
      <c r="AD63" s="25" t="s">
        <v>103</v>
      </c>
      <c r="AE63" s="32">
        <f t="shared" si="4"/>
        <v>4.94</v>
      </c>
      <c r="AF63" s="29" t="s">
        <v>268</v>
      </c>
      <c r="AG63" s="30">
        <v>6.0</v>
      </c>
      <c r="AH63" s="30">
        <f t="shared" si="5"/>
        <v>27</v>
      </c>
      <c r="AI63" s="29"/>
    </row>
    <row r="64" ht="15.75" customHeight="1">
      <c r="A64" s="11">
        <f t="shared" si="1"/>
        <v>60</v>
      </c>
      <c r="B64" s="16">
        <f>ROUND(Guida!$B$22*H64/Guida!$B$28+Guida!$B$23*MAX(0,MIN(1,(AE64-5.4)/1.6))+Guida!$B$24*0+Guida!$B$25*0,1)</f>
        <v>0.7</v>
      </c>
      <c r="C64" s="17" t="s">
        <v>475</v>
      </c>
      <c r="D64" s="11" t="s">
        <v>195</v>
      </c>
      <c r="E64" s="18" t="s">
        <v>61</v>
      </c>
      <c r="F64" s="19">
        <v>1.0</v>
      </c>
      <c r="G64" s="19">
        <v>1.0</v>
      </c>
      <c r="H64" s="19">
        <v>1.0</v>
      </c>
      <c r="I64" s="19">
        <f>MAX(1,ROUND(H64^Guida!$B$18*Guida!$F$11,0))</f>
        <v>1</v>
      </c>
      <c r="J64" s="19">
        <f t="shared" si="2"/>
        <v>2</v>
      </c>
      <c r="K64" s="11" t="str">
        <f t="shared" si="3"/>
        <v>Scommessa</v>
      </c>
      <c r="L64" s="11" t="s">
        <v>226</v>
      </c>
      <c r="M64" s="18" t="s">
        <v>281</v>
      </c>
      <c r="N64" s="11" t="s">
        <v>71</v>
      </c>
      <c r="O64" s="11" t="s">
        <v>71</v>
      </c>
      <c r="P64" s="19">
        <v>9.0</v>
      </c>
      <c r="Q64" s="22">
        <v>6.0</v>
      </c>
      <c r="R64" s="22">
        <v>5.17</v>
      </c>
      <c r="S64" s="19">
        <v>0.0</v>
      </c>
      <c r="T64" s="19">
        <v>0.0</v>
      </c>
      <c r="U64" s="11" t="s">
        <v>72</v>
      </c>
      <c r="V64" s="19">
        <v>1.0</v>
      </c>
      <c r="W64" s="19">
        <v>0.0</v>
      </c>
      <c r="X64" s="19">
        <v>0.0</v>
      </c>
      <c r="Y64" s="22"/>
      <c r="Z64" s="22"/>
      <c r="AA64" s="19"/>
      <c r="AB64" s="19"/>
      <c r="AC64" s="11" t="s">
        <v>195</v>
      </c>
      <c r="AD64" s="11" t="s">
        <v>73</v>
      </c>
      <c r="AE64" s="22">
        <f t="shared" si="4"/>
        <v>5.38</v>
      </c>
      <c r="AF64" s="18" t="s">
        <v>105</v>
      </c>
      <c r="AG64" s="19">
        <v>0.0</v>
      </c>
      <c r="AH64" s="19">
        <f t="shared" si="5"/>
        <v>27</v>
      </c>
      <c r="AI64" s="18"/>
    </row>
    <row r="65" ht="15.75" customHeight="1">
      <c r="A65" s="25">
        <f t="shared" si="1"/>
        <v>60</v>
      </c>
      <c r="B65" s="27">
        <f>ROUND(Guida!$B$22*H65/Guida!$B$28+Guida!$B$23*MAX(0,MIN(1,(AE65-5.4)/1.6))+Guida!$B$24*0+Guida!$B$25*0,1)</f>
        <v>0.7</v>
      </c>
      <c r="C65" s="28" t="s">
        <v>482</v>
      </c>
      <c r="D65" s="25" t="s">
        <v>212</v>
      </c>
      <c r="E65" s="29" t="s">
        <v>61</v>
      </c>
      <c r="F65" s="30">
        <v>1.0</v>
      </c>
      <c r="G65" s="30">
        <v>1.0</v>
      </c>
      <c r="H65" s="30">
        <v>1.0</v>
      </c>
      <c r="I65" s="30">
        <f>MAX(1,ROUND(H65^Guida!$B$18*Guida!$F$11,0))</f>
        <v>1</v>
      </c>
      <c r="J65" s="30">
        <f t="shared" si="2"/>
        <v>2</v>
      </c>
      <c r="K65" s="25" t="str">
        <f t="shared" si="3"/>
        <v>Scommessa</v>
      </c>
      <c r="L65" s="25" t="s">
        <v>332</v>
      </c>
      <c r="M65" s="29" t="s">
        <v>333</v>
      </c>
      <c r="N65" s="25" t="s">
        <v>71</v>
      </c>
      <c r="O65" s="25" t="s">
        <v>71</v>
      </c>
      <c r="P65" s="30">
        <v>29.0</v>
      </c>
      <c r="Q65" s="32">
        <v>6.09</v>
      </c>
      <c r="R65" s="32">
        <v>4.52</v>
      </c>
      <c r="S65" s="30">
        <v>0.0</v>
      </c>
      <c r="T65" s="30">
        <v>0.0</v>
      </c>
      <c r="U65" s="25" t="s">
        <v>72</v>
      </c>
      <c r="V65" s="30">
        <v>1.0</v>
      </c>
      <c r="W65" s="30">
        <v>0.0</v>
      </c>
      <c r="X65" s="30">
        <v>0.0</v>
      </c>
      <c r="Y65" s="32"/>
      <c r="Z65" s="32"/>
      <c r="AA65" s="30"/>
      <c r="AB65" s="30"/>
      <c r="AC65" s="25" t="s">
        <v>212</v>
      </c>
      <c r="AD65" s="25" t="s">
        <v>73</v>
      </c>
      <c r="AE65" s="32">
        <f t="shared" si="4"/>
        <v>4.52</v>
      </c>
      <c r="AF65" s="29" t="s">
        <v>215</v>
      </c>
      <c r="AG65" s="30">
        <v>0.0</v>
      </c>
      <c r="AH65" s="30">
        <f t="shared" si="5"/>
        <v>27</v>
      </c>
      <c r="AI65" s="29"/>
    </row>
    <row r="66" ht="15.75" customHeight="1">
      <c r="A66" s="11">
        <f t="shared" si="1"/>
        <v>60</v>
      </c>
      <c r="B66" s="16">
        <f>ROUND(Guida!$B$22*H66/Guida!$B$28+Guida!$B$23*MAX(0,MIN(1,(AE66-5.4)/1.6))+Guida!$B$24*0+Guida!$B$25*0,1)</f>
        <v>0.7</v>
      </c>
      <c r="C66" s="17" t="s">
        <v>486</v>
      </c>
      <c r="D66" s="11" t="s">
        <v>177</v>
      </c>
      <c r="E66" s="18" t="s">
        <v>61</v>
      </c>
      <c r="F66" s="19">
        <v>1.0</v>
      </c>
      <c r="G66" s="19">
        <v>1.0</v>
      </c>
      <c r="H66" s="19">
        <v>1.0</v>
      </c>
      <c r="I66" s="19">
        <f>MAX(1,ROUND(H66^Guida!$B$18*Guida!$F$11,0))</f>
        <v>1</v>
      </c>
      <c r="J66" s="19">
        <f t="shared" si="2"/>
        <v>2</v>
      </c>
      <c r="K66" s="11" t="str">
        <f t="shared" si="3"/>
        <v>Scommessa</v>
      </c>
      <c r="L66" s="11" t="s">
        <v>226</v>
      </c>
      <c r="M66" s="18" t="s">
        <v>281</v>
      </c>
      <c r="N66" s="11" t="s">
        <v>71</v>
      </c>
      <c r="O66" s="11" t="s">
        <v>71</v>
      </c>
      <c r="P66" s="19">
        <v>2.0</v>
      </c>
      <c r="Q66" s="22">
        <v>5.75</v>
      </c>
      <c r="R66" s="22">
        <v>3.75</v>
      </c>
      <c r="S66" s="19">
        <v>0.0</v>
      </c>
      <c r="T66" s="19">
        <v>0.0</v>
      </c>
      <c r="U66" s="11" t="s">
        <v>72</v>
      </c>
      <c r="V66" s="19">
        <v>0.0</v>
      </c>
      <c r="W66" s="19">
        <v>0.0</v>
      </c>
      <c r="X66" s="19">
        <v>0.0</v>
      </c>
      <c r="Y66" s="22"/>
      <c r="Z66" s="22"/>
      <c r="AA66" s="19"/>
      <c r="AB66" s="19"/>
      <c r="AC66" s="11" t="s">
        <v>177</v>
      </c>
      <c r="AD66" s="11" t="s">
        <v>73</v>
      </c>
      <c r="AE66" s="22">
        <f t="shared" si="4"/>
        <v>5.36</v>
      </c>
      <c r="AF66" s="18" t="s">
        <v>215</v>
      </c>
      <c r="AG66" s="19">
        <v>5.0</v>
      </c>
      <c r="AH66" s="19">
        <f t="shared" si="5"/>
        <v>27</v>
      </c>
      <c r="AI66" s="18"/>
    </row>
    <row r="67" ht="15.75" customHeight="1">
      <c r="A67" s="25">
        <f t="shared" si="1"/>
        <v>60</v>
      </c>
      <c r="B67" s="27">
        <f>ROUND(Guida!$B$22*H67/Guida!$B$28+Guida!$B$23*MAX(0,MIN(1,(AE67-5.4)/1.6))+Guida!$B$24*0+Guida!$B$25*0,1)</f>
        <v>0.7</v>
      </c>
      <c r="C67" s="28" t="s">
        <v>489</v>
      </c>
      <c r="D67" s="25" t="s">
        <v>253</v>
      </c>
      <c r="E67" s="29" t="s">
        <v>61</v>
      </c>
      <c r="F67" s="30">
        <v>1.0</v>
      </c>
      <c r="G67" s="30">
        <v>1.0</v>
      </c>
      <c r="H67" s="30">
        <v>1.0</v>
      </c>
      <c r="I67" s="30">
        <f>MAX(1,ROUND(H67^Guida!$B$18*Guida!$F$11,0))</f>
        <v>1</v>
      </c>
      <c r="J67" s="30">
        <f t="shared" si="2"/>
        <v>2</v>
      </c>
      <c r="K67" s="25" t="str">
        <f t="shared" si="3"/>
        <v>Scommessa</v>
      </c>
      <c r="L67" s="25" t="s">
        <v>332</v>
      </c>
      <c r="M67" s="29" t="s">
        <v>333</v>
      </c>
      <c r="N67" s="25" t="s">
        <v>71</v>
      </c>
      <c r="O67" s="25" t="s">
        <v>71</v>
      </c>
      <c r="P67" s="30">
        <v>6.0</v>
      </c>
      <c r="Q67" s="32">
        <v>6.17</v>
      </c>
      <c r="R67" s="32">
        <v>5.0</v>
      </c>
      <c r="S67" s="30">
        <v>0.0</v>
      </c>
      <c r="T67" s="30">
        <v>0.0</v>
      </c>
      <c r="U67" s="25" t="s">
        <v>72</v>
      </c>
      <c r="V67" s="30">
        <v>0.0</v>
      </c>
      <c r="W67" s="30">
        <v>0.0</v>
      </c>
      <c r="X67" s="30">
        <v>0.0</v>
      </c>
      <c r="Y67" s="32"/>
      <c r="Z67" s="32"/>
      <c r="AA67" s="30"/>
      <c r="AB67" s="30"/>
      <c r="AC67" s="25" t="s">
        <v>253</v>
      </c>
      <c r="AD67" s="25" t="s">
        <v>73</v>
      </c>
      <c r="AE67" s="32">
        <f t="shared" si="4"/>
        <v>5.38</v>
      </c>
      <c r="AF67" s="29" t="s">
        <v>178</v>
      </c>
      <c r="AG67" s="30">
        <v>4.0</v>
      </c>
      <c r="AH67" s="30">
        <f t="shared" si="5"/>
        <v>27</v>
      </c>
      <c r="AI67" s="29"/>
    </row>
    <row r="68" ht="15.75" customHeight="1"/>
    <row r="69" ht="15.75" customHeight="1">
      <c r="A69" s="39" t="s">
        <v>493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I$67"/>
  <conditionalFormatting sqref="B4:B6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4:AG67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4:L67">
    <cfRule type="cellIs" dxfId="0" priority="3" operator="equal">
      <formula>"Titolare"</formula>
    </cfRule>
  </conditionalFormatting>
  <conditionalFormatting sqref="L4:L67">
    <cfRule type="cellIs" dxfId="1" priority="4" operator="equal">
      <formula>"Riserva"</formula>
    </cfRule>
  </conditionalFormatting>
  <conditionalFormatting sqref="N4:N67">
    <cfRule type="cellIs" dxfId="2" priority="5" operator="equal">
      <formula>"1o"</formula>
    </cfRule>
  </conditionalFormatting>
  <conditionalFormatting sqref="X4:X67">
    <cfRule type="colorScale" priority="6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21.0"/>
    <col customWidth="1" min="4" max="4" width="12.0"/>
    <col customWidth="1" min="5" max="5" width="24.0"/>
    <col customWidth="1" min="6" max="7" width="6.0"/>
    <col customWidth="1" min="8" max="8" width="7.0"/>
    <col customWidth="1" min="9" max="9" width="11.0"/>
    <col customWidth="1" min="10" max="10" width="9.0"/>
    <col customWidth="1" min="11" max="11" width="11.0"/>
    <col customWidth="1" min="12" max="12" width="15.0"/>
    <col customWidth="1" min="13" max="13" width="34.0"/>
    <col customWidth="1" min="14" max="14" width="10.0"/>
    <col customWidth="1" min="15" max="15" width="12.0"/>
    <col customWidth="1" min="16" max="18" width="9.0"/>
    <col customWidth="1" min="19" max="19" width="8.0"/>
    <col customWidth="1" min="20" max="20" width="9.0"/>
    <col customWidth="1" min="21" max="21" width="11.0"/>
    <col customWidth="1" min="22" max="23" width="8.0"/>
    <col customWidth="1" min="24" max="24" width="10.0"/>
    <col customWidth="1" min="25" max="28" width="9.0"/>
    <col customWidth="1" min="29" max="29" width="13.0"/>
    <col customWidth="1" min="30" max="31" width="12.0"/>
    <col customWidth="1" min="32" max="32" width="27.0"/>
    <col customWidth="1" min="33" max="34" width="12.0"/>
    <col customWidth="1" min="35" max="35" width="70.0"/>
  </cols>
  <sheetData>
    <row r="1">
      <c r="A1" s="2" t="s">
        <v>2</v>
      </c>
    </row>
    <row r="2">
      <c r="A2" s="4" t="s">
        <v>6</v>
      </c>
    </row>
    <row r="3" ht="33.75" customHeight="1">
      <c r="A3" s="6" t="s">
        <v>7</v>
      </c>
      <c r="B3" s="6" t="s">
        <v>9</v>
      </c>
      <c r="C3" s="6" t="s">
        <v>10</v>
      </c>
      <c r="D3" s="6" t="s">
        <v>11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22</v>
      </c>
      <c r="N3" s="6" t="s">
        <v>23</v>
      </c>
      <c r="O3" s="6" t="s">
        <v>24</v>
      </c>
      <c r="P3" s="6" t="s">
        <v>25</v>
      </c>
      <c r="Q3" s="6" t="s">
        <v>26</v>
      </c>
      <c r="R3" s="6" t="s">
        <v>28</v>
      </c>
      <c r="S3" s="6" t="s">
        <v>29</v>
      </c>
      <c r="T3" s="6" t="s">
        <v>30</v>
      </c>
      <c r="U3" s="6" t="s">
        <v>32</v>
      </c>
      <c r="V3" s="6" t="s">
        <v>34</v>
      </c>
      <c r="W3" s="6" t="s">
        <v>35</v>
      </c>
      <c r="X3" s="6" t="s">
        <v>36</v>
      </c>
      <c r="Y3" s="6" t="s">
        <v>38</v>
      </c>
      <c r="Z3" s="6" t="s">
        <v>39</v>
      </c>
      <c r="AA3" s="6" t="s">
        <v>40</v>
      </c>
      <c r="AB3" s="6" t="s">
        <v>41</v>
      </c>
      <c r="AC3" s="6" t="s">
        <v>42</v>
      </c>
      <c r="AD3" s="6" t="s">
        <v>43</v>
      </c>
      <c r="AE3" s="6" t="s">
        <v>44</v>
      </c>
      <c r="AF3" s="6" t="s">
        <v>45</v>
      </c>
      <c r="AG3" s="6" t="s">
        <v>46</v>
      </c>
      <c r="AH3" s="6" t="s">
        <v>47</v>
      </c>
      <c r="AI3" s="6" t="s">
        <v>48</v>
      </c>
    </row>
    <row r="4">
      <c r="A4" s="11">
        <f t="shared" ref="A4:A192" si="1">RANK(B4,$B$4:$B$192)</f>
        <v>1</v>
      </c>
      <c r="B4" s="16">
        <f>ROUND(Guida!$B$22*H4/Guida!$B$29+Guida!$B$23*MAX(0,MIN(1,(AE4-5.4)/1.6))+Guida!$B$24*0+Guida!$B$25*0.6,1)</f>
        <v>88</v>
      </c>
      <c r="C4" s="17" t="s">
        <v>63</v>
      </c>
      <c r="D4" s="11" t="s">
        <v>64</v>
      </c>
      <c r="E4" s="18" t="s">
        <v>65</v>
      </c>
      <c r="F4" s="19">
        <v>32.0</v>
      </c>
      <c r="G4" s="19">
        <v>31.0</v>
      </c>
      <c r="H4" s="19">
        <v>240.0</v>
      </c>
      <c r="I4" s="19">
        <f>MAX(1,ROUND(H4^Guida!$B$18*Guida!$F$12,0))</f>
        <v>34</v>
      </c>
      <c r="J4" s="19">
        <f t="shared" ref="J4:J192" si="2">MAX(2,ROUND(I4*1.2,0))</f>
        <v>41</v>
      </c>
      <c r="K4" s="11" t="str">
        <f t="shared" ref="K4:K192" si="3">IF(I4&gt;=60,"Top",IF(I4&gt;=30,"1a fascia",IF(I4&gt;=15,"2a fascia",IF(I4&gt;=7,"3a fascia",IF(I4&gt;=3,"4a fascia","Scommessa")))))</f>
        <v>1a fascia</v>
      </c>
      <c r="L4" s="11" t="s">
        <v>68</v>
      </c>
      <c r="M4" s="21" t="s">
        <v>70</v>
      </c>
      <c r="N4" s="11" t="s">
        <v>71</v>
      </c>
      <c r="O4" s="11" t="s">
        <v>77</v>
      </c>
      <c r="P4" s="19">
        <v>35.0</v>
      </c>
      <c r="Q4" s="22">
        <v>6.6</v>
      </c>
      <c r="R4" s="22">
        <v>7.64</v>
      </c>
      <c r="S4" s="19">
        <v>7.0</v>
      </c>
      <c r="T4" s="19">
        <v>17.0</v>
      </c>
      <c r="U4" s="11" t="s">
        <v>72</v>
      </c>
      <c r="V4" s="19">
        <v>3.0</v>
      </c>
      <c r="W4" s="19">
        <v>0.0</v>
      </c>
      <c r="X4" s="19">
        <v>2.0</v>
      </c>
      <c r="Y4" s="22">
        <v>6.25</v>
      </c>
      <c r="Z4" s="22">
        <v>6.25</v>
      </c>
      <c r="AA4" s="19">
        <v>0.0</v>
      </c>
      <c r="AB4" s="19">
        <v>0.0</v>
      </c>
      <c r="AC4" s="11" t="s">
        <v>64</v>
      </c>
      <c r="AD4" s="11" t="s">
        <v>73</v>
      </c>
      <c r="AE4" s="22">
        <f t="shared" ref="AE4:AE192" si="4">ROUND(IF(P4="",5.5,R4*MIN(1,P4/25)+5.5*(1-MIN(1,P4/25))),2)</f>
        <v>7.64</v>
      </c>
      <c r="AF4" s="18" t="s">
        <v>85</v>
      </c>
      <c r="AG4" s="19">
        <v>0.0</v>
      </c>
      <c r="AH4" s="19">
        <f t="shared" ref="AH4:AH192" si="5">RANK(H4,$H$4:$H$192)</f>
        <v>1</v>
      </c>
      <c r="AI4" s="18"/>
    </row>
    <row r="5">
      <c r="A5" s="25">
        <f t="shared" si="1"/>
        <v>2</v>
      </c>
      <c r="B5" s="27">
        <f>ROUND(Guida!$B$22*H5/Guida!$B$29+Guida!$B$23*MAX(0,MIN(1,(AE5-5.4)/1.6))+Guida!$B$24*0+Guida!$B$25*0,1)</f>
        <v>38.5</v>
      </c>
      <c r="C5" s="28" t="s">
        <v>102</v>
      </c>
      <c r="D5" s="25" t="s">
        <v>60</v>
      </c>
      <c r="E5" s="29" t="s">
        <v>104</v>
      </c>
      <c r="F5" s="30">
        <v>17.0</v>
      </c>
      <c r="G5" s="30">
        <v>18.0</v>
      </c>
      <c r="H5" s="30">
        <v>87.0</v>
      </c>
      <c r="I5" s="30">
        <f>MAX(1,ROUND(H5^Guida!$B$18*Guida!$F$12,0))</f>
        <v>19</v>
      </c>
      <c r="J5" s="30">
        <f t="shared" si="2"/>
        <v>23</v>
      </c>
      <c r="K5" s="25" t="str">
        <f t="shared" si="3"/>
        <v>2a fascia</v>
      </c>
      <c r="L5" s="25" t="s">
        <v>68</v>
      </c>
      <c r="M5" s="21" t="s">
        <v>70</v>
      </c>
      <c r="N5" s="25" t="s">
        <v>71</v>
      </c>
      <c r="O5" s="25" t="s">
        <v>71</v>
      </c>
      <c r="P5" s="30">
        <v>30.0</v>
      </c>
      <c r="Q5" s="32">
        <v>6.12</v>
      </c>
      <c r="R5" s="32">
        <v>6.47</v>
      </c>
      <c r="S5" s="30">
        <v>5.0</v>
      </c>
      <c r="T5" s="30">
        <v>0.0</v>
      </c>
      <c r="U5" s="25" t="s">
        <v>72</v>
      </c>
      <c r="V5" s="30">
        <v>5.0</v>
      </c>
      <c r="W5" s="30">
        <v>2.0</v>
      </c>
      <c r="X5" s="30">
        <v>2.0</v>
      </c>
      <c r="Y5" s="32">
        <v>6.75</v>
      </c>
      <c r="Z5" s="32">
        <v>7.25</v>
      </c>
      <c r="AA5" s="30">
        <v>0.0</v>
      </c>
      <c r="AB5" s="30">
        <v>1.0</v>
      </c>
      <c r="AC5" s="25" t="s">
        <v>60</v>
      </c>
      <c r="AD5" s="25" t="s">
        <v>73</v>
      </c>
      <c r="AE5" s="32">
        <f t="shared" si="4"/>
        <v>6.47</v>
      </c>
      <c r="AF5" s="29" t="s">
        <v>113</v>
      </c>
      <c r="AG5" s="30">
        <v>3.0</v>
      </c>
      <c r="AH5" s="30">
        <f t="shared" si="5"/>
        <v>2</v>
      </c>
      <c r="AI5" s="29"/>
    </row>
    <row r="6">
      <c r="A6" s="11">
        <f t="shared" si="1"/>
        <v>3</v>
      </c>
      <c r="B6" s="16">
        <f>ROUND(Guida!$B$22*H6/Guida!$B$29+Guida!$B$23*MAX(0,MIN(1,(AE6-5.4)/1.6))+Guida!$B$24*0+Guida!$B$25*0,1)</f>
        <v>37</v>
      </c>
      <c r="C6" s="17" t="s">
        <v>135</v>
      </c>
      <c r="D6" s="11" t="s">
        <v>93</v>
      </c>
      <c r="E6" s="18" t="s">
        <v>137</v>
      </c>
      <c r="F6" s="19">
        <v>15.0</v>
      </c>
      <c r="G6" s="19">
        <v>16.0</v>
      </c>
      <c r="H6" s="19">
        <v>60.0</v>
      </c>
      <c r="I6" s="19">
        <f>MAX(1,ROUND(H6^Guida!$B$18*Guida!$F$12,0))</f>
        <v>15</v>
      </c>
      <c r="J6" s="19">
        <f t="shared" si="2"/>
        <v>18</v>
      </c>
      <c r="K6" s="11" t="str">
        <f t="shared" si="3"/>
        <v>2a fascia</v>
      </c>
      <c r="L6" s="11" t="s">
        <v>68</v>
      </c>
      <c r="M6" s="21" t="s">
        <v>70</v>
      </c>
      <c r="N6" s="11" t="s">
        <v>71</v>
      </c>
      <c r="O6" s="11" t="s">
        <v>71</v>
      </c>
      <c r="P6" s="19">
        <v>26.0</v>
      </c>
      <c r="Q6" s="22">
        <v>6.33</v>
      </c>
      <c r="R6" s="22">
        <v>6.81</v>
      </c>
      <c r="S6" s="19">
        <v>4.0</v>
      </c>
      <c r="T6" s="19">
        <v>3.0</v>
      </c>
      <c r="U6" s="11" t="s">
        <v>72</v>
      </c>
      <c r="V6" s="19">
        <v>5.0</v>
      </c>
      <c r="W6" s="19">
        <v>0.0</v>
      </c>
      <c r="X6" s="19">
        <v>2.0</v>
      </c>
      <c r="Y6" s="22">
        <v>7.0</v>
      </c>
      <c r="Z6" s="22">
        <v>8.5</v>
      </c>
      <c r="AA6" s="19">
        <v>1.0</v>
      </c>
      <c r="AB6" s="19">
        <v>0.0</v>
      </c>
      <c r="AC6" s="11" t="s">
        <v>93</v>
      </c>
      <c r="AD6" s="11" t="s">
        <v>73</v>
      </c>
      <c r="AE6" s="22">
        <f t="shared" si="4"/>
        <v>6.81</v>
      </c>
      <c r="AF6" s="18" t="s">
        <v>158</v>
      </c>
      <c r="AG6" s="19">
        <v>5.0</v>
      </c>
      <c r="AH6" s="19">
        <f t="shared" si="5"/>
        <v>4</v>
      </c>
      <c r="AI6" s="18"/>
    </row>
    <row r="7">
      <c r="A7" s="25">
        <f t="shared" si="1"/>
        <v>4</v>
      </c>
      <c r="B7" s="27">
        <f>ROUND(Guida!$B$22*H7/Guida!$B$29+Guida!$B$23*MAX(0,MIN(1,(AE7-5.4)/1.6))+Guida!$B$24*0.6+Guida!$B$25*0,1)</f>
        <v>33.8</v>
      </c>
      <c r="C7" s="28" t="s">
        <v>174</v>
      </c>
      <c r="D7" s="25" t="s">
        <v>177</v>
      </c>
      <c r="E7" s="29" t="s">
        <v>137</v>
      </c>
      <c r="F7" s="30">
        <v>11.0</v>
      </c>
      <c r="G7" s="30">
        <v>11.0</v>
      </c>
      <c r="H7" s="30">
        <v>41.0</v>
      </c>
      <c r="I7" s="30">
        <f>MAX(1,ROUND(H7^Guida!$B$18*Guida!$F$12,0))</f>
        <v>12</v>
      </c>
      <c r="J7" s="30">
        <f t="shared" si="2"/>
        <v>14</v>
      </c>
      <c r="K7" s="25" t="str">
        <f t="shared" si="3"/>
        <v>3a fascia</v>
      </c>
      <c r="L7" s="25" t="s">
        <v>68</v>
      </c>
      <c r="M7" s="21" t="s">
        <v>70</v>
      </c>
      <c r="N7" s="25" t="s">
        <v>77</v>
      </c>
      <c r="O7" s="25" t="s">
        <v>71</v>
      </c>
      <c r="P7" s="30">
        <v>30.0</v>
      </c>
      <c r="Q7" s="32">
        <v>6.13</v>
      </c>
      <c r="R7" s="32">
        <v>6.52</v>
      </c>
      <c r="S7" s="30">
        <v>5.0</v>
      </c>
      <c r="T7" s="30">
        <v>0.0</v>
      </c>
      <c r="U7" s="25" t="s">
        <v>72</v>
      </c>
      <c r="V7" s="30">
        <v>7.0</v>
      </c>
      <c r="W7" s="30">
        <v>0.0</v>
      </c>
      <c r="X7" s="30">
        <v>2.0</v>
      </c>
      <c r="Y7" s="32">
        <v>6.5</v>
      </c>
      <c r="Z7" s="32">
        <v>6.0</v>
      </c>
      <c r="AA7" s="30">
        <v>0.0</v>
      </c>
      <c r="AB7" s="30">
        <v>0.0</v>
      </c>
      <c r="AC7" s="25" t="s">
        <v>177</v>
      </c>
      <c r="AD7" s="25" t="s">
        <v>73</v>
      </c>
      <c r="AE7" s="32">
        <f t="shared" si="4"/>
        <v>6.52</v>
      </c>
      <c r="AF7" s="29" t="s">
        <v>179</v>
      </c>
      <c r="AG7" s="30">
        <v>5.0</v>
      </c>
      <c r="AH7" s="30">
        <f t="shared" si="5"/>
        <v>13</v>
      </c>
      <c r="AI7" s="29"/>
    </row>
    <row r="8">
      <c r="A8" s="11">
        <f t="shared" si="1"/>
        <v>5</v>
      </c>
      <c r="B8" s="16">
        <f>ROUND(Guida!$B$22*H8/Guida!$B$29+Guida!$B$23*MAX(0,MIN(1,(AE8-5.4)/1.6))+Guida!$B$24*0.6+Guida!$B$25*0,1)</f>
        <v>33.1</v>
      </c>
      <c r="C8" s="17" t="s">
        <v>184</v>
      </c>
      <c r="D8" s="11" t="s">
        <v>185</v>
      </c>
      <c r="E8" s="18" t="s">
        <v>137</v>
      </c>
      <c r="F8" s="19">
        <v>13.0</v>
      </c>
      <c r="G8" s="19">
        <v>13.0</v>
      </c>
      <c r="H8" s="19">
        <v>46.0</v>
      </c>
      <c r="I8" s="19">
        <f>MAX(1,ROUND(H8^Guida!$B$18*Guida!$F$12,0))</f>
        <v>13</v>
      </c>
      <c r="J8" s="19">
        <f t="shared" si="2"/>
        <v>16</v>
      </c>
      <c r="K8" s="11" t="str">
        <f t="shared" si="3"/>
        <v>3a fascia</v>
      </c>
      <c r="L8" s="11" t="s">
        <v>68</v>
      </c>
      <c r="M8" s="21" t="s">
        <v>70</v>
      </c>
      <c r="N8" s="11" t="s">
        <v>77</v>
      </c>
      <c r="O8" s="11" t="s">
        <v>71</v>
      </c>
      <c r="P8" s="19">
        <v>34.0</v>
      </c>
      <c r="Q8" s="22">
        <v>6.18</v>
      </c>
      <c r="R8" s="22">
        <v>6.4</v>
      </c>
      <c r="S8" s="19">
        <v>3.0</v>
      </c>
      <c r="T8" s="19">
        <v>1.0</v>
      </c>
      <c r="U8" s="11" t="s">
        <v>188</v>
      </c>
      <c r="V8" s="19">
        <v>1.0</v>
      </c>
      <c r="W8" s="19">
        <v>0.0</v>
      </c>
      <c r="X8" s="19">
        <v>2.0</v>
      </c>
      <c r="Y8" s="22">
        <v>6.0</v>
      </c>
      <c r="Z8" s="22">
        <v>6.0</v>
      </c>
      <c r="AA8" s="19">
        <v>0.0</v>
      </c>
      <c r="AB8" s="19">
        <v>0.0</v>
      </c>
      <c r="AC8" s="11" t="s">
        <v>185</v>
      </c>
      <c r="AD8" s="11" t="s">
        <v>73</v>
      </c>
      <c r="AE8" s="22">
        <f t="shared" si="4"/>
        <v>6.4</v>
      </c>
      <c r="AF8" s="18" t="s">
        <v>158</v>
      </c>
      <c r="AG8" s="19">
        <v>7.0</v>
      </c>
      <c r="AH8" s="19">
        <f t="shared" si="5"/>
        <v>10</v>
      </c>
      <c r="AI8" s="18"/>
    </row>
    <row r="9">
      <c r="A9" s="25">
        <f t="shared" si="1"/>
        <v>6</v>
      </c>
      <c r="B9" s="27">
        <f>ROUND(Guida!$B$22*H9/Guida!$B$29+Guida!$B$23*MAX(0,MIN(1,(AE9-5.4)/1.6))+Guida!$B$24*0+Guida!$B$25*0,1)</f>
        <v>31.3</v>
      </c>
      <c r="C9" s="28" t="s">
        <v>193</v>
      </c>
      <c r="D9" s="25" t="s">
        <v>175</v>
      </c>
      <c r="E9" s="29" t="s">
        <v>137</v>
      </c>
      <c r="F9" s="30">
        <v>14.0</v>
      </c>
      <c r="G9" s="30">
        <v>14.0</v>
      </c>
      <c r="H9" s="30">
        <v>49.0</v>
      </c>
      <c r="I9" s="30">
        <f>MAX(1,ROUND(H9^Guida!$B$18*Guida!$F$12,0))</f>
        <v>13</v>
      </c>
      <c r="J9" s="30">
        <f t="shared" si="2"/>
        <v>16</v>
      </c>
      <c r="K9" s="25" t="str">
        <f t="shared" si="3"/>
        <v>3a fascia</v>
      </c>
      <c r="L9" s="25" t="s">
        <v>68</v>
      </c>
      <c r="M9" s="21" t="s">
        <v>70</v>
      </c>
      <c r="N9" s="25" t="s">
        <v>71</v>
      </c>
      <c r="O9" s="25" t="s">
        <v>71</v>
      </c>
      <c r="P9" s="30">
        <v>34.0</v>
      </c>
      <c r="Q9" s="32">
        <v>6.24</v>
      </c>
      <c r="R9" s="32">
        <v>6.62</v>
      </c>
      <c r="S9" s="30">
        <v>5.0</v>
      </c>
      <c r="T9" s="30">
        <v>0.0</v>
      </c>
      <c r="U9" s="25" t="s">
        <v>72</v>
      </c>
      <c r="V9" s="30">
        <v>4.0</v>
      </c>
      <c r="W9" s="30">
        <v>0.0</v>
      </c>
      <c r="X9" s="30">
        <v>2.0</v>
      </c>
      <c r="Y9" s="32">
        <v>6.25</v>
      </c>
      <c r="Z9" s="32">
        <v>6.0</v>
      </c>
      <c r="AA9" s="30">
        <v>0.0</v>
      </c>
      <c r="AB9" s="30">
        <v>0.0</v>
      </c>
      <c r="AC9" s="25" t="s">
        <v>175</v>
      </c>
      <c r="AD9" s="25" t="s">
        <v>73</v>
      </c>
      <c r="AE9" s="32">
        <f t="shared" si="4"/>
        <v>6.62</v>
      </c>
      <c r="AF9" s="29" t="s">
        <v>196</v>
      </c>
      <c r="AG9" s="30">
        <v>0.0</v>
      </c>
      <c r="AH9" s="30">
        <f t="shared" si="5"/>
        <v>7</v>
      </c>
      <c r="AI9" s="29"/>
    </row>
    <row r="10">
      <c r="A10" s="11">
        <f t="shared" si="1"/>
        <v>7</v>
      </c>
      <c r="B10" s="16">
        <f>ROUND(Guida!$B$22*H10/Guida!$B$29+Guida!$B$23*MAX(0,MIN(1,(AE10-5.4)/1.6))+Guida!$B$24*0+Guida!$B$25*0,1)</f>
        <v>29.8</v>
      </c>
      <c r="C10" s="17" t="s">
        <v>199</v>
      </c>
      <c r="D10" s="11" t="s">
        <v>60</v>
      </c>
      <c r="E10" s="18" t="s">
        <v>137</v>
      </c>
      <c r="F10" s="19">
        <v>15.0</v>
      </c>
      <c r="G10" s="19">
        <v>16.0</v>
      </c>
      <c r="H10" s="19">
        <v>50.0</v>
      </c>
      <c r="I10" s="19">
        <f>MAX(1,ROUND(H10^Guida!$B$18*Guida!$F$12,0))</f>
        <v>13</v>
      </c>
      <c r="J10" s="19">
        <f t="shared" si="2"/>
        <v>16</v>
      </c>
      <c r="K10" s="11" t="str">
        <f t="shared" si="3"/>
        <v>3a fascia</v>
      </c>
      <c r="L10" s="11" t="s">
        <v>68</v>
      </c>
      <c r="M10" s="21" t="s">
        <v>70</v>
      </c>
      <c r="N10" s="11" t="s">
        <v>71</v>
      </c>
      <c r="O10" s="11" t="s">
        <v>71</v>
      </c>
      <c r="P10" s="19">
        <v>36.0</v>
      </c>
      <c r="Q10" s="22">
        <v>6.25</v>
      </c>
      <c r="R10" s="22">
        <v>6.51</v>
      </c>
      <c r="S10" s="19">
        <v>4.0</v>
      </c>
      <c r="T10" s="19">
        <v>2.0</v>
      </c>
      <c r="U10" s="11" t="s">
        <v>72</v>
      </c>
      <c r="V10" s="19">
        <v>9.0</v>
      </c>
      <c r="W10" s="19">
        <v>0.0</v>
      </c>
      <c r="X10" s="19">
        <v>2.0</v>
      </c>
      <c r="Y10" s="22">
        <v>6.5</v>
      </c>
      <c r="Z10" s="22">
        <v>7.0</v>
      </c>
      <c r="AA10" s="19">
        <v>0.0</v>
      </c>
      <c r="AB10" s="19">
        <v>1.0</v>
      </c>
      <c r="AC10" s="11" t="s">
        <v>60</v>
      </c>
      <c r="AD10" s="11" t="s">
        <v>73</v>
      </c>
      <c r="AE10" s="22">
        <f t="shared" si="4"/>
        <v>6.51</v>
      </c>
      <c r="AF10" s="18" t="s">
        <v>113</v>
      </c>
      <c r="AG10" s="19">
        <v>3.0</v>
      </c>
      <c r="AH10" s="19">
        <f t="shared" si="5"/>
        <v>6</v>
      </c>
      <c r="AI10" s="18"/>
    </row>
    <row r="11">
      <c r="A11" s="25">
        <f t="shared" si="1"/>
        <v>8</v>
      </c>
      <c r="B11" s="27">
        <f>ROUND(Guida!$B$22*H11/Guida!$B$29+Guida!$B$23*MAX(0,MIN(1,(AE11-5.4)/1.6))+Guida!$B$24*0+Guida!$B$25*0,1)</f>
        <v>27.5</v>
      </c>
      <c r="C11" s="28" t="s">
        <v>206</v>
      </c>
      <c r="D11" s="25" t="s">
        <v>64</v>
      </c>
      <c r="E11" s="29" t="s">
        <v>137</v>
      </c>
      <c r="F11" s="30">
        <v>16.0</v>
      </c>
      <c r="G11" s="30">
        <v>15.0</v>
      </c>
      <c r="H11" s="30">
        <v>47.0</v>
      </c>
      <c r="I11" s="30">
        <f>MAX(1,ROUND(H11^Guida!$B$18*Guida!$F$12,0))</f>
        <v>13</v>
      </c>
      <c r="J11" s="30">
        <f t="shared" si="2"/>
        <v>16</v>
      </c>
      <c r="K11" s="25" t="str">
        <f t="shared" si="3"/>
        <v>3a fascia</v>
      </c>
      <c r="L11" s="25" t="s">
        <v>68</v>
      </c>
      <c r="M11" s="21" t="s">
        <v>70</v>
      </c>
      <c r="N11" s="25" t="s">
        <v>71</v>
      </c>
      <c r="O11" s="25" t="s">
        <v>71</v>
      </c>
      <c r="P11" s="30">
        <v>32.0</v>
      </c>
      <c r="Q11" s="32">
        <v>6.28</v>
      </c>
      <c r="R11" s="32">
        <v>6.41</v>
      </c>
      <c r="S11" s="30">
        <v>2.0</v>
      </c>
      <c r="T11" s="30">
        <v>0.0</v>
      </c>
      <c r="U11" s="25" t="s">
        <v>72</v>
      </c>
      <c r="V11" s="30">
        <v>4.0</v>
      </c>
      <c r="W11" s="30">
        <v>0.0</v>
      </c>
      <c r="X11" s="30">
        <v>2.0</v>
      </c>
      <c r="Y11" s="32">
        <v>5.5</v>
      </c>
      <c r="Z11" s="32">
        <v>5.25</v>
      </c>
      <c r="AA11" s="30">
        <v>0.0</v>
      </c>
      <c r="AB11" s="30">
        <v>0.0</v>
      </c>
      <c r="AC11" s="25" t="s">
        <v>64</v>
      </c>
      <c r="AD11" s="25" t="s">
        <v>73</v>
      </c>
      <c r="AE11" s="32">
        <f t="shared" si="4"/>
        <v>6.41</v>
      </c>
      <c r="AF11" s="29" t="s">
        <v>85</v>
      </c>
      <c r="AG11" s="30">
        <v>0.0</v>
      </c>
      <c r="AH11" s="30">
        <f t="shared" si="5"/>
        <v>8</v>
      </c>
      <c r="AI11" s="29"/>
    </row>
    <row r="12">
      <c r="A12" s="11">
        <f t="shared" si="1"/>
        <v>9</v>
      </c>
      <c r="B12" s="16">
        <f>ROUND(Guida!$B$22*H12/Guida!$B$29+Guida!$B$23*MAX(0,MIN(1,(AE12-5.4)/1.6))+Guida!$B$24*0+Guida!$B$25*0,1)</f>
        <v>27.1</v>
      </c>
      <c r="C12" s="17" t="s">
        <v>213</v>
      </c>
      <c r="D12" s="11" t="s">
        <v>64</v>
      </c>
      <c r="E12" s="18" t="s">
        <v>137</v>
      </c>
      <c r="F12" s="19">
        <v>11.0</v>
      </c>
      <c r="G12" s="19">
        <v>12.0</v>
      </c>
      <c r="H12" s="19">
        <v>36.0</v>
      </c>
      <c r="I12" s="19">
        <f>MAX(1,ROUND(H12^Guida!$B$18*Guida!$F$12,0))</f>
        <v>11</v>
      </c>
      <c r="J12" s="19">
        <f t="shared" si="2"/>
        <v>13</v>
      </c>
      <c r="K12" s="11" t="str">
        <f t="shared" si="3"/>
        <v>3a fascia</v>
      </c>
      <c r="L12" s="11" t="s">
        <v>68</v>
      </c>
      <c r="M12" s="21" t="s">
        <v>70</v>
      </c>
      <c r="N12" s="11" t="s">
        <v>71</v>
      </c>
      <c r="O12" s="11" t="s">
        <v>71</v>
      </c>
      <c r="P12" s="19">
        <v>23.0</v>
      </c>
      <c r="Q12" s="22">
        <v>6.22</v>
      </c>
      <c r="R12" s="22">
        <v>6.65</v>
      </c>
      <c r="S12" s="19">
        <v>3.0</v>
      </c>
      <c r="T12" s="19">
        <v>2.0</v>
      </c>
      <c r="U12" s="11" t="s">
        <v>72</v>
      </c>
      <c r="V12" s="19">
        <v>2.0</v>
      </c>
      <c r="W12" s="19">
        <v>0.0</v>
      </c>
      <c r="X12" s="19">
        <v>2.0</v>
      </c>
      <c r="Y12" s="22">
        <v>6.75</v>
      </c>
      <c r="Z12" s="22">
        <v>8.25</v>
      </c>
      <c r="AA12" s="19">
        <v>1.0</v>
      </c>
      <c r="AB12" s="19">
        <v>0.0</v>
      </c>
      <c r="AC12" s="11" t="s">
        <v>64</v>
      </c>
      <c r="AD12" s="11" t="s">
        <v>73</v>
      </c>
      <c r="AE12" s="22">
        <f t="shared" si="4"/>
        <v>6.56</v>
      </c>
      <c r="AF12" s="18" t="s">
        <v>85</v>
      </c>
      <c r="AG12" s="19">
        <v>0.0</v>
      </c>
      <c r="AH12" s="19">
        <f t="shared" si="5"/>
        <v>16</v>
      </c>
      <c r="AI12" s="18"/>
    </row>
    <row r="13">
      <c r="A13" s="25">
        <f t="shared" si="1"/>
        <v>10</v>
      </c>
      <c r="B13" s="27">
        <f>ROUND(Guida!$B$22*H13/Guida!$B$29+Guida!$B$23*MAX(0,MIN(1,(AE13-5.4)/1.6))+Guida!$B$24*0+Guida!$B$25*0,1)</f>
        <v>26.8</v>
      </c>
      <c r="C13" s="28" t="s">
        <v>220</v>
      </c>
      <c r="D13" s="25" t="s">
        <v>191</v>
      </c>
      <c r="E13" s="29" t="s">
        <v>137</v>
      </c>
      <c r="F13" s="30">
        <v>14.0</v>
      </c>
      <c r="G13" s="30">
        <v>15.0</v>
      </c>
      <c r="H13" s="30">
        <v>51.0</v>
      </c>
      <c r="I13" s="30">
        <f>MAX(1,ROUND(H13^Guida!$B$18*Guida!$F$12,0))</f>
        <v>13</v>
      </c>
      <c r="J13" s="30">
        <f t="shared" si="2"/>
        <v>16</v>
      </c>
      <c r="K13" s="25" t="str">
        <f t="shared" si="3"/>
        <v>3a fascia</v>
      </c>
      <c r="L13" s="25" t="s">
        <v>68</v>
      </c>
      <c r="M13" s="21" t="s">
        <v>70</v>
      </c>
      <c r="N13" s="25" t="s">
        <v>71</v>
      </c>
      <c r="O13" s="25" t="s">
        <v>71</v>
      </c>
      <c r="P13" s="30">
        <v>21.0</v>
      </c>
      <c r="Q13" s="32">
        <v>6.24</v>
      </c>
      <c r="R13" s="32">
        <v>6.45</v>
      </c>
      <c r="S13" s="30">
        <v>2.0</v>
      </c>
      <c r="T13" s="30">
        <v>0.0</v>
      </c>
      <c r="U13" s="25" t="s">
        <v>72</v>
      </c>
      <c r="V13" s="30">
        <v>3.0</v>
      </c>
      <c r="W13" s="30">
        <v>0.0</v>
      </c>
      <c r="X13" s="30">
        <v>2.0</v>
      </c>
      <c r="Y13" s="32">
        <v>6.25</v>
      </c>
      <c r="Z13" s="32">
        <v>6.75</v>
      </c>
      <c r="AA13" s="30">
        <v>0.0</v>
      </c>
      <c r="AB13" s="30">
        <v>1.0</v>
      </c>
      <c r="AC13" s="25" t="s">
        <v>191</v>
      </c>
      <c r="AD13" s="25" t="s">
        <v>73</v>
      </c>
      <c r="AE13" s="32">
        <f t="shared" si="4"/>
        <v>6.3</v>
      </c>
      <c r="AF13" s="29" t="s">
        <v>223</v>
      </c>
      <c r="AG13" s="30">
        <v>3.0</v>
      </c>
      <c r="AH13" s="30">
        <f t="shared" si="5"/>
        <v>5</v>
      </c>
      <c r="AI13" s="29"/>
    </row>
    <row r="14">
      <c r="A14" s="11">
        <f t="shared" si="1"/>
        <v>11</v>
      </c>
      <c r="B14" s="16">
        <f>ROUND(Guida!$B$22*H14/Guida!$B$29+Guida!$B$23*MAX(0,MIN(1,(AE14-5.4)/1.6))+Guida!$B$24*0+Guida!$B$25*0,1)</f>
        <v>26.6</v>
      </c>
      <c r="C14" s="17" t="s">
        <v>228</v>
      </c>
      <c r="D14" s="11" t="s">
        <v>93</v>
      </c>
      <c r="E14" s="18" t="s">
        <v>229</v>
      </c>
      <c r="F14" s="19">
        <v>13.0</v>
      </c>
      <c r="G14" s="19">
        <v>14.0</v>
      </c>
      <c r="H14" s="19">
        <v>47.0</v>
      </c>
      <c r="I14" s="19">
        <f>MAX(1,ROUND(H14^Guida!$B$18*Guida!$F$12,0))</f>
        <v>13</v>
      </c>
      <c r="J14" s="19">
        <f t="shared" si="2"/>
        <v>16</v>
      </c>
      <c r="K14" s="11" t="str">
        <f t="shared" si="3"/>
        <v>3a fascia</v>
      </c>
      <c r="L14" s="11" t="s">
        <v>68</v>
      </c>
      <c r="M14" s="21" t="s">
        <v>70</v>
      </c>
      <c r="N14" s="11" t="s">
        <v>71</v>
      </c>
      <c r="O14" s="11" t="s">
        <v>71</v>
      </c>
      <c r="P14" s="19">
        <v>37.0</v>
      </c>
      <c r="Q14" s="22">
        <v>6.14</v>
      </c>
      <c r="R14" s="22">
        <v>6.35</v>
      </c>
      <c r="S14" s="19">
        <v>2.0</v>
      </c>
      <c r="T14" s="19">
        <v>4.0</v>
      </c>
      <c r="U14" s="11" t="s">
        <v>72</v>
      </c>
      <c r="V14" s="19">
        <v>2.0</v>
      </c>
      <c r="W14" s="19">
        <v>1.0</v>
      </c>
      <c r="X14" s="19">
        <v>2.0</v>
      </c>
      <c r="Y14" s="22">
        <v>6.5</v>
      </c>
      <c r="Z14" s="22">
        <v>6.5</v>
      </c>
      <c r="AA14" s="19">
        <v>0.0</v>
      </c>
      <c r="AB14" s="19">
        <v>0.0</v>
      </c>
      <c r="AC14" s="11" t="s">
        <v>93</v>
      </c>
      <c r="AD14" s="11" t="s">
        <v>73</v>
      </c>
      <c r="AE14" s="22">
        <f t="shared" si="4"/>
        <v>6.35</v>
      </c>
      <c r="AF14" s="18" t="s">
        <v>230</v>
      </c>
      <c r="AG14" s="19">
        <v>0.0</v>
      </c>
      <c r="AH14" s="19">
        <f t="shared" si="5"/>
        <v>8</v>
      </c>
      <c r="AI14" s="18"/>
    </row>
    <row r="15">
      <c r="A15" s="25">
        <f t="shared" si="1"/>
        <v>12</v>
      </c>
      <c r="B15" s="27">
        <f>ROUND(Guida!$B$22*H15/Guida!$B$29+Guida!$B$23*MAX(0,MIN(1,(AE15-5.4)/1.6))+Guida!$B$24*0+Guida!$B$25*0,1)</f>
        <v>25.4</v>
      </c>
      <c r="C15" s="28" t="s">
        <v>236</v>
      </c>
      <c r="D15" s="25" t="s">
        <v>64</v>
      </c>
      <c r="E15" s="29" t="s">
        <v>137</v>
      </c>
      <c r="F15" s="30">
        <v>14.0</v>
      </c>
      <c r="G15" s="30">
        <v>14.0</v>
      </c>
      <c r="H15" s="30">
        <v>43.0</v>
      </c>
      <c r="I15" s="30">
        <f>MAX(1,ROUND(H15^Guida!$B$18*Guida!$F$12,0))</f>
        <v>12</v>
      </c>
      <c r="J15" s="30">
        <f t="shared" si="2"/>
        <v>14</v>
      </c>
      <c r="K15" s="25" t="str">
        <f t="shared" si="3"/>
        <v>3a fascia</v>
      </c>
      <c r="L15" s="25" t="s">
        <v>68</v>
      </c>
      <c r="M15" s="21" t="s">
        <v>70</v>
      </c>
      <c r="N15" s="25" t="s">
        <v>71</v>
      </c>
      <c r="O15" s="25" t="s">
        <v>71</v>
      </c>
      <c r="P15" s="30">
        <v>28.0</v>
      </c>
      <c r="Q15" s="32">
        <v>6.2</v>
      </c>
      <c r="R15" s="32">
        <v>6.34</v>
      </c>
      <c r="S15" s="30">
        <v>1.0</v>
      </c>
      <c r="T15" s="30">
        <v>4.0</v>
      </c>
      <c r="U15" s="25" t="s">
        <v>72</v>
      </c>
      <c r="V15" s="30">
        <v>6.0</v>
      </c>
      <c r="W15" s="30">
        <v>0.0</v>
      </c>
      <c r="X15" s="30">
        <v>2.0</v>
      </c>
      <c r="Y15" s="32">
        <v>6.25</v>
      </c>
      <c r="Z15" s="32">
        <v>6.25</v>
      </c>
      <c r="AA15" s="30">
        <v>0.0</v>
      </c>
      <c r="AB15" s="30">
        <v>0.0</v>
      </c>
      <c r="AC15" s="25" t="s">
        <v>64</v>
      </c>
      <c r="AD15" s="25" t="s">
        <v>73</v>
      </c>
      <c r="AE15" s="32">
        <f t="shared" si="4"/>
        <v>6.34</v>
      </c>
      <c r="AF15" s="29" t="s">
        <v>85</v>
      </c>
      <c r="AG15" s="30">
        <v>0.0</v>
      </c>
      <c r="AH15" s="30">
        <f t="shared" si="5"/>
        <v>11</v>
      </c>
      <c r="AI15" s="29"/>
    </row>
    <row r="16">
      <c r="A16" s="11">
        <f t="shared" si="1"/>
        <v>13</v>
      </c>
      <c r="B16" s="16">
        <f>ROUND(Guida!$B$22*H16/Guida!$B$29+Guida!$B$23*MAX(0,MIN(1,(AE16-5.4)/1.6))+Guida!$B$24*0+Guida!$B$25*0,1)</f>
        <v>24.9</v>
      </c>
      <c r="C16" s="17" t="s">
        <v>240</v>
      </c>
      <c r="D16" s="11" t="s">
        <v>60</v>
      </c>
      <c r="E16" s="18" t="s">
        <v>137</v>
      </c>
      <c r="F16" s="19">
        <v>13.0</v>
      </c>
      <c r="G16" s="19">
        <v>13.0</v>
      </c>
      <c r="H16" s="19">
        <v>42.0</v>
      </c>
      <c r="I16" s="19">
        <f>MAX(1,ROUND(H16^Guida!$B$18*Guida!$F$12,0))</f>
        <v>12</v>
      </c>
      <c r="J16" s="19">
        <f t="shared" si="2"/>
        <v>14</v>
      </c>
      <c r="K16" s="11" t="str">
        <f t="shared" si="3"/>
        <v>3a fascia</v>
      </c>
      <c r="L16" s="11" t="s">
        <v>68</v>
      </c>
      <c r="M16" s="38" t="s">
        <v>242</v>
      </c>
      <c r="N16" s="11" t="s">
        <v>71</v>
      </c>
      <c r="O16" s="11" t="s">
        <v>71</v>
      </c>
      <c r="P16" s="19">
        <v>31.0</v>
      </c>
      <c r="Q16" s="22">
        <v>6.08</v>
      </c>
      <c r="R16" s="22">
        <v>6.32</v>
      </c>
      <c r="S16" s="19">
        <v>3.0</v>
      </c>
      <c r="T16" s="19">
        <v>1.0</v>
      </c>
      <c r="U16" s="11" t="s">
        <v>72</v>
      </c>
      <c r="V16" s="19">
        <v>5.0</v>
      </c>
      <c r="W16" s="19">
        <v>0.0</v>
      </c>
      <c r="X16" s="19">
        <v>1.0</v>
      </c>
      <c r="Y16" s="22">
        <v>6.0</v>
      </c>
      <c r="Z16" s="22">
        <v>6.0</v>
      </c>
      <c r="AA16" s="19">
        <v>0.0</v>
      </c>
      <c r="AB16" s="19">
        <v>0.0</v>
      </c>
      <c r="AC16" s="11" t="s">
        <v>60</v>
      </c>
      <c r="AD16" s="11" t="s">
        <v>73</v>
      </c>
      <c r="AE16" s="22">
        <f t="shared" si="4"/>
        <v>6.32</v>
      </c>
      <c r="AF16" s="18" t="s">
        <v>245</v>
      </c>
      <c r="AG16" s="19">
        <v>0.0</v>
      </c>
      <c r="AH16" s="19">
        <f t="shared" si="5"/>
        <v>12</v>
      </c>
      <c r="AI16" s="18" t="s">
        <v>247</v>
      </c>
    </row>
    <row r="17">
      <c r="A17" s="25">
        <f t="shared" si="1"/>
        <v>14</v>
      </c>
      <c r="B17" s="27">
        <f>ROUND(Guida!$B$22*H17/Guida!$B$29+Guida!$B$23*MAX(0,MIN(1,(AE17-5.4)/1.6))+Guida!$B$24*0+Guida!$B$25*0,1)</f>
        <v>24.3</v>
      </c>
      <c r="C17" s="28" t="s">
        <v>248</v>
      </c>
      <c r="D17" s="25" t="s">
        <v>191</v>
      </c>
      <c r="E17" s="29" t="s">
        <v>249</v>
      </c>
      <c r="F17" s="30">
        <v>12.0</v>
      </c>
      <c r="G17" s="30">
        <v>12.0</v>
      </c>
      <c r="H17" s="30">
        <v>39.0</v>
      </c>
      <c r="I17" s="30">
        <f>MAX(1,ROUND(H17^Guida!$B$18*Guida!$F$12,0))</f>
        <v>11</v>
      </c>
      <c r="J17" s="30">
        <f t="shared" si="2"/>
        <v>13</v>
      </c>
      <c r="K17" s="25" t="str">
        <f t="shared" si="3"/>
        <v>3a fascia</v>
      </c>
      <c r="L17" s="25" t="s">
        <v>68</v>
      </c>
      <c r="M17" s="21" t="s">
        <v>70</v>
      </c>
      <c r="N17" s="25" t="s">
        <v>71</v>
      </c>
      <c r="O17" s="25" t="s">
        <v>71</v>
      </c>
      <c r="P17" s="30">
        <v>26.0</v>
      </c>
      <c r="Q17" s="32">
        <v>6.08</v>
      </c>
      <c r="R17" s="32">
        <v>6.33</v>
      </c>
      <c r="S17" s="30">
        <v>2.0</v>
      </c>
      <c r="T17" s="30">
        <v>1.0</v>
      </c>
      <c r="U17" s="25" t="s">
        <v>72</v>
      </c>
      <c r="V17" s="30">
        <v>1.0</v>
      </c>
      <c r="W17" s="30">
        <v>0.0</v>
      </c>
      <c r="X17" s="30">
        <v>2.0</v>
      </c>
      <c r="Y17" s="32">
        <v>6.0</v>
      </c>
      <c r="Z17" s="32">
        <v>5.75</v>
      </c>
      <c r="AA17" s="30">
        <v>0.0</v>
      </c>
      <c r="AB17" s="30">
        <v>0.0</v>
      </c>
      <c r="AC17" s="25" t="s">
        <v>191</v>
      </c>
      <c r="AD17" s="25" t="s">
        <v>73</v>
      </c>
      <c r="AE17" s="32">
        <f t="shared" si="4"/>
        <v>6.33</v>
      </c>
      <c r="AF17" s="29" t="s">
        <v>223</v>
      </c>
      <c r="AG17" s="30">
        <v>3.0</v>
      </c>
      <c r="AH17" s="30">
        <f t="shared" si="5"/>
        <v>14</v>
      </c>
      <c r="AI17" s="29"/>
    </row>
    <row r="18">
      <c r="A18" s="11">
        <f t="shared" si="1"/>
        <v>15</v>
      </c>
      <c r="B18" s="16">
        <f>ROUND(Guida!$B$22*H18/Guida!$B$29+Guida!$B$23*MAX(0,MIN(1,(AE18-5.4)/1.6))+Guida!$B$24*0+Guida!$B$25*0,1)</f>
        <v>24.2</v>
      </c>
      <c r="C18" s="17" t="s">
        <v>258</v>
      </c>
      <c r="D18" s="11" t="s">
        <v>191</v>
      </c>
      <c r="E18" s="18" t="s">
        <v>259</v>
      </c>
      <c r="F18" s="19">
        <v>8.0</v>
      </c>
      <c r="G18" s="19">
        <v>8.0</v>
      </c>
      <c r="H18" s="19">
        <v>25.0</v>
      </c>
      <c r="I18" s="19">
        <f>MAX(1,ROUND(H18^Guida!$B$18*Guida!$F$12,0))</f>
        <v>9</v>
      </c>
      <c r="J18" s="19">
        <f t="shared" si="2"/>
        <v>11</v>
      </c>
      <c r="K18" s="11" t="str">
        <f t="shared" si="3"/>
        <v>3a fascia</v>
      </c>
      <c r="L18" s="11" t="s">
        <v>68</v>
      </c>
      <c r="M18" s="21" t="s">
        <v>70</v>
      </c>
      <c r="N18" s="11" t="s">
        <v>71</v>
      </c>
      <c r="O18" s="11" t="s">
        <v>71</v>
      </c>
      <c r="P18" s="19">
        <v>30.0</v>
      </c>
      <c r="Q18" s="22">
        <v>6.17</v>
      </c>
      <c r="R18" s="22">
        <v>6.55</v>
      </c>
      <c r="S18" s="19">
        <v>3.0</v>
      </c>
      <c r="T18" s="19">
        <v>3.0</v>
      </c>
      <c r="U18" s="11" t="s">
        <v>72</v>
      </c>
      <c r="V18" s="19">
        <v>1.0</v>
      </c>
      <c r="W18" s="19">
        <v>0.0</v>
      </c>
      <c r="X18" s="19">
        <v>2.0</v>
      </c>
      <c r="Y18" s="22">
        <v>5.75</v>
      </c>
      <c r="Z18" s="22">
        <v>5.75</v>
      </c>
      <c r="AA18" s="19">
        <v>0.0</v>
      </c>
      <c r="AB18" s="19">
        <v>0.0</v>
      </c>
      <c r="AC18" s="11" t="s">
        <v>191</v>
      </c>
      <c r="AD18" s="11" t="s">
        <v>73</v>
      </c>
      <c r="AE18" s="22">
        <f t="shared" si="4"/>
        <v>6.55</v>
      </c>
      <c r="AF18" s="18" t="s">
        <v>223</v>
      </c>
      <c r="AG18" s="19">
        <v>3.0</v>
      </c>
      <c r="AH18" s="19">
        <f t="shared" si="5"/>
        <v>24</v>
      </c>
      <c r="AI18" s="18"/>
    </row>
    <row r="19">
      <c r="A19" s="25">
        <f t="shared" si="1"/>
        <v>16</v>
      </c>
      <c r="B19" s="27">
        <f>ROUND(Guida!$B$22*H19/Guida!$B$29+Guida!$B$23*MAX(0,MIN(1,(AE19-5.4)/1.6))+Guida!$B$24*0+Guida!$B$25*0,1)</f>
        <v>22.6</v>
      </c>
      <c r="C19" s="28" t="s">
        <v>265</v>
      </c>
      <c r="D19" s="25" t="s">
        <v>143</v>
      </c>
      <c r="E19" s="29" t="s">
        <v>137</v>
      </c>
      <c r="F19" s="30">
        <v>10.0</v>
      </c>
      <c r="G19" s="30">
        <v>10.0</v>
      </c>
      <c r="H19" s="30">
        <v>28.0</v>
      </c>
      <c r="I19" s="30">
        <f>MAX(1,ROUND(H19^Guida!$B$18*Guida!$F$12,0))</f>
        <v>9</v>
      </c>
      <c r="J19" s="30">
        <f t="shared" si="2"/>
        <v>11</v>
      </c>
      <c r="K19" s="25" t="str">
        <f t="shared" si="3"/>
        <v>3a fascia</v>
      </c>
      <c r="L19" s="25" t="s">
        <v>68</v>
      </c>
      <c r="M19" s="21" t="s">
        <v>70</v>
      </c>
      <c r="N19" s="25" t="s">
        <v>71</v>
      </c>
      <c r="O19" s="25" t="s">
        <v>71</v>
      </c>
      <c r="P19" s="30">
        <v>24.0</v>
      </c>
      <c r="Q19" s="32">
        <v>6.06</v>
      </c>
      <c r="R19" s="32">
        <v>6.44</v>
      </c>
      <c r="S19" s="30">
        <v>3.0</v>
      </c>
      <c r="T19" s="30">
        <v>1.0</v>
      </c>
      <c r="U19" s="25" t="s">
        <v>72</v>
      </c>
      <c r="V19" s="30">
        <v>2.0</v>
      </c>
      <c r="W19" s="30">
        <v>0.0</v>
      </c>
      <c r="X19" s="30">
        <v>2.0</v>
      </c>
      <c r="Y19" s="32">
        <v>6.0</v>
      </c>
      <c r="Z19" s="32">
        <v>6.0</v>
      </c>
      <c r="AA19" s="30">
        <v>0.0</v>
      </c>
      <c r="AB19" s="30">
        <v>0.0</v>
      </c>
      <c r="AC19" s="25" t="s">
        <v>143</v>
      </c>
      <c r="AD19" s="25" t="s">
        <v>73</v>
      </c>
      <c r="AE19" s="32">
        <f t="shared" si="4"/>
        <v>6.4</v>
      </c>
      <c r="AF19" s="29" t="s">
        <v>270</v>
      </c>
      <c r="AG19" s="30">
        <v>6.0</v>
      </c>
      <c r="AH19" s="30">
        <f t="shared" si="5"/>
        <v>21</v>
      </c>
      <c r="AI19" s="29"/>
    </row>
    <row r="20">
      <c r="A20" s="11">
        <f t="shared" si="1"/>
        <v>17</v>
      </c>
      <c r="B20" s="16">
        <f>ROUND(Guida!$B$22*H20/Guida!$B$29+Guida!$B$23*MAX(0,MIN(1,(AE20-5.4)/1.6))+Guida!$B$24*0+Guida!$B$25*0,1)</f>
        <v>22.3</v>
      </c>
      <c r="C20" s="17" t="s">
        <v>274</v>
      </c>
      <c r="D20" s="11" t="s">
        <v>60</v>
      </c>
      <c r="E20" s="18" t="s">
        <v>137</v>
      </c>
      <c r="F20" s="19">
        <v>10.0</v>
      </c>
      <c r="G20" s="19">
        <v>11.0</v>
      </c>
      <c r="H20" s="19">
        <v>26.0</v>
      </c>
      <c r="I20" s="19">
        <f>MAX(1,ROUND(H20^Guida!$B$18*Guida!$F$12,0))</f>
        <v>9</v>
      </c>
      <c r="J20" s="19">
        <f t="shared" si="2"/>
        <v>11</v>
      </c>
      <c r="K20" s="11" t="str">
        <f t="shared" si="3"/>
        <v>3a fascia</v>
      </c>
      <c r="L20" s="11" t="s">
        <v>226</v>
      </c>
      <c r="M20" s="18" t="s">
        <v>277</v>
      </c>
      <c r="N20" s="11" t="s">
        <v>71</v>
      </c>
      <c r="O20" s="11" t="s">
        <v>71</v>
      </c>
      <c r="P20" s="19">
        <v>27.0</v>
      </c>
      <c r="Q20" s="22">
        <v>6.17</v>
      </c>
      <c r="R20" s="22">
        <v>6.41</v>
      </c>
      <c r="S20" s="19">
        <v>3.0</v>
      </c>
      <c r="T20" s="19">
        <v>2.0</v>
      </c>
      <c r="U20" s="11" t="s">
        <v>72</v>
      </c>
      <c r="V20" s="19">
        <v>9.0</v>
      </c>
      <c r="W20" s="19">
        <v>0.0</v>
      </c>
      <c r="X20" s="19">
        <v>2.0</v>
      </c>
      <c r="Y20" s="22">
        <v>6.5</v>
      </c>
      <c r="Z20" s="22">
        <v>6.25</v>
      </c>
      <c r="AA20" s="19">
        <v>0.0</v>
      </c>
      <c r="AB20" s="19">
        <v>0.0</v>
      </c>
      <c r="AC20" s="11" t="s">
        <v>60</v>
      </c>
      <c r="AD20" s="11" t="s">
        <v>73</v>
      </c>
      <c r="AE20" s="22">
        <f t="shared" si="4"/>
        <v>6.41</v>
      </c>
      <c r="AF20" s="18" t="s">
        <v>245</v>
      </c>
      <c r="AG20" s="19">
        <v>0.0</v>
      </c>
      <c r="AH20" s="19">
        <f t="shared" si="5"/>
        <v>22</v>
      </c>
      <c r="AI20" s="18"/>
    </row>
    <row r="21" ht="15.75" customHeight="1">
      <c r="A21" s="25">
        <f t="shared" si="1"/>
        <v>18</v>
      </c>
      <c r="B21" s="27">
        <f>ROUND(Guida!$B$22*H21/Guida!$B$29+Guida!$B$23*MAX(0,MIN(1,(AE21-5.4)/1.6))+Guida!$B$24*0.35+Guida!$B$25*0.35,1)</f>
        <v>21.5</v>
      </c>
      <c r="C21" s="28" t="s">
        <v>282</v>
      </c>
      <c r="D21" s="25" t="s">
        <v>283</v>
      </c>
      <c r="E21" s="29" t="s">
        <v>259</v>
      </c>
      <c r="F21" s="30">
        <v>8.0</v>
      </c>
      <c r="G21" s="30">
        <v>8.0</v>
      </c>
      <c r="H21" s="30">
        <v>22.0</v>
      </c>
      <c r="I21" s="30">
        <f>MAX(1,ROUND(H21^Guida!$B$18*Guida!$F$12,0))</f>
        <v>8</v>
      </c>
      <c r="J21" s="30">
        <f t="shared" si="2"/>
        <v>10</v>
      </c>
      <c r="K21" s="25" t="str">
        <f t="shared" si="3"/>
        <v>3a fascia</v>
      </c>
      <c r="L21" s="25" t="s">
        <v>68</v>
      </c>
      <c r="M21" s="21" t="s">
        <v>70</v>
      </c>
      <c r="N21" s="25" t="s">
        <v>160</v>
      </c>
      <c r="O21" s="25" t="s">
        <v>160</v>
      </c>
      <c r="P21" s="30">
        <v>34.0</v>
      </c>
      <c r="Q21" s="32">
        <v>6.06</v>
      </c>
      <c r="R21" s="32">
        <v>6.09</v>
      </c>
      <c r="S21" s="30">
        <v>0.0</v>
      </c>
      <c r="T21" s="30">
        <v>2.0</v>
      </c>
      <c r="U21" s="25" t="s">
        <v>72</v>
      </c>
      <c r="V21" s="30">
        <v>2.0</v>
      </c>
      <c r="W21" s="30">
        <v>0.0</v>
      </c>
      <c r="X21" s="30">
        <v>2.0</v>
      </c>
      <c r="Y21" s="32">
        <v>6.0</v>
      </c>
      <c r="Z21" s="32">
        <v>6.0</v>
      </c>
      <c r="AA21" s="30">
        <v>0.0</v>
      </c>
      <c r="AB21" s="30">
        <v>0.0</v>
      </c>
      <c r="AC21" s="25" t="s">
        <v>283</v>
      </c>
      <c r="AD21" s="25" t="s">
        <v>73</v>
      </c>
      <c r="AE21" s="32">
        <f t="shared" si="4"/>
        <v>6.09</v>
      </c>
      <c r="AF21" s="29" t="s">
        <v>288</v>
      </c>
      <c r="AG21" s="30">
        <v>4.0</v>
      </c>
      <c r="AH21" s="30">
        <f t="shared" si="5"/>
        <v>29</v>
      </c>
      <c r="AI21" s="29"/>
    </row>
    <row r="22" ht="15.75" customHeight="1">
      <c r="A22" s="11">
        <f t="shared" si="1"/>
        <v>19</v>
      </c>
      <c r="B22" s="16">
        <f>ROUND(Guida!$B$22*H22/Guida!$B$29+Guida!$B$23*MAX(0,MIN(1,(AE22-5.4)/1.6))+Guida!$B$24*0+Guida!$B$25*0,1)</f>
        <v>21.1</v>
      </c>
      <c r="C22" s="17" t="s">
        <v>292</v>
      </c>
      <c r="D22" s="11" t="s">
        <v>60</v>
      </c>
      <c r="E22" s="18" t="s">
        <v>104</v>
      </c>
      <c r="F22" s="19">
        <v>18.0</v>
      </c>
      <c r="G22" s="19">
        <v>18.0</v>
      </c>
      <c r="H22" s="19">
        <v>78.0</v>
      </c>
      <c r="I22" s="19">
        <f>MAX(1,ROUND(H22^Guida!$B$18*Guida!$F$12,0))</f>
        <v>17</v>
      </c>
      <c r="J22" s="19">
        <f t="shared" si="2"/>
        <v>20</v>
      </c>
      <c r="K22" s="11" t="str">
        <f t="shared" si="3"/>
        <v>2a fascia</v>
      </c>
      <c r="L22" s="11" t="s">
        <v>68</v>
      </c>
      <c r="M22" s="18" t="s">
        <v>294</v>
      </c>
      <c r="N22" s="11" t="s">
        <v>71</v>
      </c>
      <c r="O22" s="11" t="s">
        <v>71</v>
      </c>
      <c r="P22" s="19"/>
      <c r="Q22" s="22"/>
      <c r="R22" s="22"/>
      <c r="S22" s="19"/>
      <c r="T22" s="19"/>
      <c r="U22" s="11"/>
      <c r="V22" s="19"/>
      <c r="W22" s="19"/>
      <c r="X22" s="19">
        <v>1.0</v>
      </c>
      <c r="Y22" s="22">
        <v>6.0</v>
      </c>
      <c r="Z22" s="22">
        <v>6.0</v>
      </c>
      <c r="AA22" s="19">
        <v>0.0</v>
      </c>
      <c r="AB22" s="19">
        <v>0.0</v>
      </c>
      <c r="AC22" s="11" t="s">
        <v>71</v>
      </c>
      <c r="AD22" s="11" t="s">
        <v>103</v>
      </c>
      <c r="AE22" s="22">
        <f t="shared" si="4"/>
        <v>5.5</v>
      </c>
      <c r="AF22" s="18" t="s">
        <v>245</v>
      </c>
      <c r="AG22" s="19">
        <v>0.0</v>
      </c>
      <c r="AH22" s="19">
        <f t="shared" si="5"/>
        <v>3</v>
      </c>
      <c r="AI22" s="18"/>
    </row>
    <row r="23" ht="15.75" customHeight="1">
      <c r="A23" s="25">
        <f t="shared" si="1"/>
        <v>20</v>
      </c>
      <c r="B23" s="27">
        <f>ROUND(Guida!$B$22*H23/Guida!$B$29+Guida!$B$23*MAX(0,MIN(1,(AE23-5.4)/1.6))+Guida!$B$24*0+Guida!$B$25*0,1)</f>
        <v>20.8</v>
      </c>
      <c r="C23" s="28" t="s">
        <v>298</v>
      </c>
      <c r="D23" s="25" t="s">
        <v>133</v>
      </c>
      <c r="E23" s="29" t="s">
        <v>137</v>
      </c>
      <c r="F23" s="30">
        <v>5.0</v>
      </c>
      <c r="G23" s="30">
        <v>5.0</v>
      </c>
      <c r="H23" s="30">
        <v>13.0</v>
      </c>
      <c r="I23" s="30">
        <f>MAX(1,ROUND(H23^Guida!$B$18*Guida!$F$12,0))</f>
        <v>6</v>
      </c>
      <c r="J23" s="30">
        <f t="shared" si="2"/>
        <v>7</v>
      </c>
      <c r="K23" s="25" t="str">
        <f t="shared" si="3"/>
        <v>4a fascia</v>
      </c>
      <c r="L23" s="25" t="s">
        <v>226</v>
      </c>
      <c r="M23" s="29" t="s">
        <v>301</v>
      </c>
      <c r="N23" s="25" t="s">
        <v>71</v>
      </c>
      <c r="O23" s="25" t="s">
        <v>71</v>
      </c>
      <c r="P23" s="30">
        <v>29.0</v>
      </c>
      <c r="Q23" s="32">
        <v>6.12</v>
      </c>
      <c r="R23" s="32">
        <v>6.52</v>
      </c>
      <c r="S23" s="30">
        <v>4.0</v>
      </c>
      <c r="T23" s="30">
        <v>1.0</v>
      </c>
      <c r="U23" s="25" t="s">
        <v>72</v>
      </c>
      <c r="V23" s="30">
        <v>3.0</v>
      </c>
      <c r="W23" s="30">
        <v>0.0</v>
      </c>
      <c r="X23" s="30">
        <v>1.0</v>
      </c>
      <c r="Y23" s="32">
        <v>6.5</v>
      </c>
      <c r="Z23" s="32">
        <v>6.5</v>
      </c>
      <c r="AA23" s="30">
        <v>0.0</v>
      </c>
      <c r="AB23" s="30">
        <v>0.0</v>
      </c>
      <c r="AC23" s="25" t="s">
        <v>133</v>
      </c>
      <c r="AD23" s="25" t="s">
        <v>73</v>
      </c>
      <c r="AE23" s="32">
        <f t="shared" si="4"/>
        <v>6.52</v>
      </c>
      <c r="AF23" s="29" t="s">
        <v>304</v>
      </c>
      <c r="AG23" s="30">
        <v>6.0</v>
      </c>
      <c r="AH23" s="30">
        <f t="shared" si="5"/>
        <v>76</v>
      </c>
      <c r="AI23" s="29"/>
    </row>
    <row r="24" ht="15.75" customHeight="1">
      <c r="A24" s="11">
        <f t="shared" si="1"/>
        <v>21</v>
      </c>
      <c r="B24" s="16">
        <f>ROUND(Guida!$B$22*H24/Guida!$B$29+Guida!$B$23*MAX(0,MIN(1,(AE24-5.4)/1.6))+Guida!$B$24*0.35+Guida!$B$25*0,1)</f>
        <v>20.5</v>
      </c>
      <c r="C24" s="17" t="s">
        <v>307</v>
      </c>
      <c r="D24" s="11" t="s">
        <v>239</v>
      </c>
      <c r="E24" s="18" t="s">
        <v>137</v>
      </c>
      <c r="F24" s="19">
        <v>8.0</v>
      </c>
      <c r="G24" s="19">
        <v>7.0</v>
      </c>
      <c r="H24" s="19">
        <v>20.0</v>
      </c>
      <c r="I24" s="19">
        <f>MAX(1,ROUND(H24^Guida!$B$18*Guida!$F$12,0))</f>
        <v>8</v>
      </c>
      <c r="J24" s="19">
        <f t="shared" si="2"/>
        <v>10</v>
      </c>
      <c r="K24" s="11" t="str">
        <f t="shared" si="3"/>
        <v>3a fascia</v>
      </c>
      <c r="L24" s="11" t="s">
        <v>68</v>
      </c>
      <c r="M24" s="38" t="s">
        <v>309</v>
      </c>
      <c r="N24" s="11" t="s">
        <v>160</v>
      </c>
      <c r="O24" s="11" t="s">
        <v>71</v>
      </c>
      <c r="P24" s="19">
        <v>26.0</v>
      </c>
      <c r="Q24" s="22">
        <v>6.0</v>
      </c>
      <c r="R24" s="22">
        <v>6.17</v>
      </c>
      <c r="S24" s="19">
        <v>2.0</v>
      </c>
      <c r="T24" s="19">
        <v>1.0</v>
      </c>
      <c r="U24" s="11" t="s">
        <v>72</v>
      </c>
      <c r="V24" s="19">
        <v>3.0</v>
      </c>
      <c r="W24" s="19">
        <v>1.0</v>
      </c>
      <c r="X24" s="19">
        <v>0.0</v>
      </c>
      <c r="Y24" s="22"/>
      <c r="Z24" s="22"/>
      <c r="AA24" s="19"/>
      <c r="AB24" s="19"/>
      <c r="AC24" s="11" t="s">
        <v>239</v>
      </c>
      <c r="AD24" s="11" t="s">
        <v>73</v>
      </c>
      <c r="AE24" s="22">
        <f t="shared" si="4"/>
        <v>6.17</v>
      </c>
      <c r="AF24" s="18" t="s">
        <v>311</v>
      </c>
      <c r="AG24" s="19">
        <v>6.0</v>
      </c>
      <c r="AH24" s="19">
        <f t="shared" si="5"/>
        <v>33</v>
      </c>
      <c r="AI24" s="18" t="s">
        <v>312</v>
      </c>
    </row>
    <row r="25" ht="15.75" customHeight="1">
      <c r="A25" s="25">
        <f t="shared" si="1"/>
        <v>22</v>
      </c>
      <c r="B25" s="27">
        <f>ROUND(Guida!$B$22*H25/Guida!$B$29+Guida!$B$23*MAX(0,MIN(1,(AE25-5.4)/1.6))+Guida!$B$24*0+Guida!$B$25*0,1)</f>
        <v>19.3</v>
      </c>
      <c r="C25" s="28" t="s">
        <v>317</v>
      </c>
      <c r="D25" s="25" t="s">
        <v>133</v>
      </c>
      <c r="E25" s="29" t="s">
        <v>137</v>
      </c>
      <c r="F25" s="30">
        <v>10.0</v>
      </c>
      <c r="G25" s="30">
        <v>10.0</v>
      </c>
      <c r="H25" s="30">
        <v>31.0</v>
      </c>
      <c r="I25" s="30">
        <f>MAX(1,ROUND(H25^Guida!$B$18*Guida!$F$12,0))</f>
        <v>10</v>
      </c>
      <c r="J25" s="30">
        <f t="shared" si="2"/>
        <v>12</v>
      </c>
      <c r="K25" s="25" t="str">
        <f t="shared" si="3"/>
        <v>3a fascia</v>
      </c>
      <c r="L25" s="25" t="s">
        <v>68</v>
      </c>
      <c r="M25" s="21" t="s">
        <v>70</v>
      </c>
      <c r="N25" s="25" t="s">
        <v>71</v>
      </c>
      <c r="O25" s="25" t="s">
        <v>71</v>
      </c>
      <c r="P25" s="30">
        <v>32.0</v>
      </c>
      <c r="Q25" s="32">
        <v>6.16</v>
      </c>
      <c r="R25" s="32">
        <v>6.14</v>
      </c>
      <c r="S25" s="30">
        <v>2.0</v>
      </c>
      <c r="T25" s="30">
        <v>0.0</v>
      </c>
      <c r="U25" s="25" t="s">
        <v>72</v>
      </c>
      <c r="V25" s="30">
        <v>11.0</v>
      </c>
      <c r="W25" s="30">
        <v>1.0</v>
      </c>
      <c r="X25" s="30">
        <v>2.0</v>
      </c>
      <c r="Y25" s="32">
        <v>6.0</v>
      </c>
      <c r="Z25" s="32">
        <v>6.0</v>
      </c>
      <c r="AA25" s="30">
        <v>0.0</v>
      </c>
      <c r="AB25" s="30">
        <v>0.0</v>
      </c>
      <c r="AC25" s="25" t="s">
        <v>133</v>
      </c>
      <c r="AD25" s="25" t="s">
        <v>73</v>
      </c>
      <c r="AE25" s="32">
        <f t="shared" si="4"/>
        <v>6.14</v>
      </c>
      <c r="AF25" s="29" t="s">
        <v>304</v>
      </c>
      <c r="AG25" s="30">
        <v>6.0</v>
      </c>
      <c r="AH25" s="30">
        <f t="shared" si="5"/>
        <v>18</v>
      </c>
      <c r="AI25" s="29"/>
    </row>
    <row r="26" ht="15.75" customHeight="1">
      <c r="A26" s="11">
        <f t="shared" si="1"/>
        <v>23</v>
      </c>
      <c r="B26" s="16">
        <f>ROUND(Guida!$B$22*H26/Guida!$B$29+Guida!$B$23*MAX(0,MIN(1,(AE26-5.4)/1.6))+Guida!$B$24*0+Guida!$B$25*0,1)</f>
        <v>19.1</v>
      </c>
      <c r="C26" s="17" t="s">
        <v>323</v>
      </c>
      <c r="D26" s="11" t="s">
        <v>177</v>
      </c>
      <c r="E26" s="18" t="s">
        <v>324</v>
      </c>
      <c r="F26" s="19">
        <v>9.0</v>
      </c>
      <c r="G26" s="19">
        <v>9.0</v>
      </c>
      <c r="H26" s="19">
        <v>30.0</v>
      </c>
      <c r="I26" s="19">
        <f>MAX(1,ROUND(H26^Guida!$B$18*Guida!$F$12,0))</f>
        <v>10</v>
      </c>
      <c r="J26" s="19">
        <f t="shared" si="2"/>
        <v>12</v>
      </c>
      <c r="K26" s="11" t="str">
        <f t="shared" si="3"/>
        <v>3a fascia</v>
      </c>
      <c r="L26" s="11" t="s">
        <v>68</v>
      </c>
      <c r="M26" s="21" t="s">
        <v>70</v>
      </c>
      <c r="N26" s="11" t="s">
        <v>71</v>
      </c>
      <c r="O26" s="11" t="s">
        <v>71</v>
      </c>
      <c r="P26" s="19">
        <v>36.0</v>
      </c>
      <c r="Q26" s="22">
        <v>6.08</v>
      </c>
      <c r="R26" s="22">
        <v>6.14</v>
      </c>
      <c r="S26" s="19">
        <v>1.0</v>
      </c>
      <c r="T26" s="19">
        <v>0.0</v>
      </c>
      <c r="U26" s="11" t="s">
        <v>72</v>
      </c>
      <c r="V26" s="19">
        <v>2.0</v>
      </c>
      <c r="W26" s="19">
        <v>0.0</v>
      </c>
      <c r="X26" s="19">
        <v>2.0</v>
      </c>
      <c r="Y26" s="22">
        <v>5.75</v>
      </c>
      <c r="Z26" s="22">
        <v>5.75</v>
      </c>
      <c r="AA26" s="19">
        <v>0.0</v>
      </c>
      <c r="AB26" s="19">
        <v>0.0</v>
      </c>
      <c r="AC26" s="11" t="s">
        <v>177</v>
      </c>
      <c r="AD26" s="11" t="s">
        <v>73</v>
      </c>
      <c r="AE26" s="22">
        <f t="shared" si="4"/>
        <v>6.14</v>
      </c>
      <c r="AF26" s="18" t="s">
        <v>179</v>
      </c>
      <c r="AG26" s="19">
        <v>5.0</v>
      </c>
      <c r="AH26" s="19">
        <f t="shared" si="5"/>
        <v>20</v>
      </c>
      <c r="AI26" s="18"/>
    </row>
    <row r="27" ht="15.75" customHeight="1">
      <c r="A27" s="25">
        <f t="shared" si="1"/>
        <v>24</v>
      </c>
      <c r="B27" s="27">
        <f>ROUND(Guida!$B$22*H27/Guida!$B$29+Guida!$B$23*MAX(0,MIN(1,(AE27-5.4)/1.6))+Guida!$B$24*0+Guida!$B$25*0,1)</f>
        <v>18.8</v>
      </c>
      <c r="C27" s="28" t="s">
        <v>329</v>
      </c>
      <c r="D27" s="25" t="s">
        <v>143</v>
      </c>
      <c r="E27" s="29" t="s">
        <v>249</v>
      </c>
      <c r="F27" s="30">
        <v>8.0</v>
      </c>
      <c r="G27" s="30">
        <v>8.0</v>
      </c>
      <c r="H27" s="30">
        <v>19.0</v>
      </c>
      <c r="I27" s="30">
        <f>MAX(1,ROUND(H27^Guida!$B$18*Guida!$F$12,0))</f>
        <v>7</v>
      </c>
      <c r="J27" s="30">
        <f t="shared" si="2"/>
        <v>8</v>
      </c>
      <c r="K27" s="25" t="str">
        <f t="shared" si="3"/>
        <v>3a fascia</v>
      </c>
      <c r="L27" s="25" t="s">
        <v>68</v>
      </c>
      <c r="M27" s="21" t="s">
        <v>70</v>
      </c>
      <c r="N27" s="25" t="s">
        <v>71</v>
      </c>
      <c r="O27" s="25" t="s">
        <v>71</v>
      </c>
      <c r="P27" s="30">
        <v>35.0</v>
      </c>
      <c r="Q27" s="32">
        <v>6.06</v>
      </c>
      <c r="R27" s="32">
        <v>6.3</v>
      </c>
      <c r="S27" s="30">
        <v>3.0</v>
      </c>
      <c r="T27" s="30">
        <v>1.0</v>
      </c>
      <c r="U27" s="25" t="s">
        <v>72</v>
      </c>
      <c r="V27" s="30">
        <v>3.0</v>
      </c>
      <c r="W27" s="30">
        <v>0.0</v>
      </c>
      <c r="X27" s="30">
        <v>2.0</v>
      </c>
      <c r="Y27" s="32">
        <v>6.0</v>
      </c>
      <c r="Z27" s="32">
        <v>6.0</v>
      </c>
      <c r="AA27" s="30">
        <v>0.0</v>
      </c>
      <c r="AB27" s="30">
        <v>0.0</v>
      </c>
      <c r="AC27" s="25" t="s">
        <v>143</v>
      </c>
      <c r="AD27" s="25" t="s">
        <v>73</v>
      </c>
      <c r="AE27" s="32">
        <f t="shared" si="4"/>
        <v>6.3</v>
      </c>
      <c r="AF27" s="29" t="s">
        <v>270</v>
      </c>
      <c r="AG27" s="30">
        <v>6.0</v>
      </c>
      <c r="AH27" s="30">
        <f t="shared" si="5"/>
        <v>44</v>
      </c>
      <c r="AI27" s="29"/>
    </row>
    <row r="28" ht="15.75" customHeight="1">
      <c r="A28" s="11">
        <f t="shared" si="1"/>
        <v>25</v>
      </c>
      <c r="B28" s="16">
        <f>ROUND(Guida!$B$22*H28/Guida!$B$29+Guida!$B$23*MAX(0,MIN(1,(AE28-5.4)/1.6))+Guida!$B$24*0+Guida!$B$25*0.35,1)</f>
        <v>18.4</v>
      </c>
      <c r="C28" s="17" t="s">
        <v>335</v>
      </c>
      <c r="D28" s="11" t="s">
        <v>182</v>
      </c>
      <c r="E28" s="18" t="s">
        <v>259</v>
      </c>
      <c r="F28" s="19">
        <v>8.0</v>
      </c>
      <c r="G28" s="19">
        <v>8.0</v>
      </c>
      <c r="H28" s="19">
        <v>23.0</v>
      </c>
      <c r="I28" s="19">
        <f>MAX(1,ROUND(H28^Guida!$B$18*Guida!$F$12,0))</f>
        <v>8</v>
      </c>
      <c r="J28" s="19">
        <f t="shared" si="2"/>
        <v>10</v>
      </c>
      <c r="K28" s="11" t="str">
        <f t="shared" si="3"/>
        <v>3a fascia</v>
      </c>
      <c r="L28" s="11" t="s">
        <v>68</v>
      </c>
      <c r="M28" s="18" t="s">
        <v>148</v>
      </c>
      <c r="N28" s="11" t="s">
        <v>71</v>
      </c>
      <c r="O28" s="11" t="s">
        <v>160</v>
      </c>
      <c r="P28" s="19">
        <v>31.0</v>
      </c>
      <c r="Q28" s="22">
        <v>6.0</v>
      </c>
      <c r="R28" s="22">
        <v>6.1</v>
      </c>
      <c r="S28" s="19">
        <v>1.0</v>
      </c>
      <c r="T28" s="19">
        <v>3.0</v>
      </c>
      <c r="U28" s="11" t="s">
        <v>72</v>
      </c>
      <c r="V28" s="19">
        <v>6.0</v>
      </c>
      <c r="W28" s="19">
        <v>0.0</v>
      </c>
      <c r="X28" s="19">
        <v>1.0</v>
      </c>
      <c r="Y28" s="22">
        <v>6.0</v>
      </c>
      <c r="Z28" s="22">
        <v>6.0</v>
      </c>
      <c r="AA28" s="19">
        <v>0.0</v>
      </c>
      <c r="AB28" s="19">
        <v>0.0</v>
      </c>
      <c r="AC28" s="11" t="s">
        <v>182</v>
      </c>
      <c r="AD28" s="11" t="s">
        <v>73</v>
      </c>
      <c r="AE28" s="22">
        <f t="shared" si="4"/>
        <v>6.1</v>
      </c>
      <c r="AF28" s="18" t="s">
        <v>113</v>
      </c>
      <c r="AG28" s="19">
        <v>6.0</v>
      </c>
      <c r="AH28" s="19">
        <f t="shared" si="5"/>
        <v>28</v>
      </c>
      <c r="AI28" s="18"/>
    </row>
    <row r="29" ht="15.75" customHeight="1">
      <c r="A29" s="25">
        <f t="shared" si="1"/>
        <v>26</v>
      </c>
      <c r="B29" s="27">
        <f>ROUND(Guida!$B$22*H29/Guida!$B$29+Guida!$B$23*MAX(0,MIN(1,(AE29-5.4)/1.6))+Guida!$B$24*0+Guida!$B$25*0,1)</f>
        <v>18.2</v>
      </c>
      <c r="C29" s="28" t="s">
        <v>339</v>
      </c>
      <c r="D29" s="25" t="s">
        <v>133</v>
      </c>
      <c r="E29" s="29" t="s">
        <v>259</v>
      </c>
      <c r="F29" s="30">
        <v>6.0</v>
      </c>
      <c r="G29" s="30">
        <v>6.0</v>
      </c>
      <c r="H29" s="30">
        <v>21.0</v>
      </c>
      <c r="I29" s="30">
        <f>MAX(1,ROUND(H29^Guida!$B$18*Guida!$F$12,0))</f>
        <v>8</v>
      </c>
      <c r="J29" s="30">
        <f t="shared" si="2"/>
        <v>10</v>
      </c>
      <c r="K29" s="25" t="str">
        <f t="shared" si="3"/>
        <v>3a fascia</v>
      </c>
      <c r="L29" s="25" t="s">
        <v>68</v>
      </c>
      <c r="M29" s="21" t="s">
        <v>70</v>
      </c>
      <c r="N29" s="25" t="s">
        <v>71</v>
      </c>
      <c r="O29" s="25" t="s">
        <v>71</v>
      </c>
      <c r="P29" s="30">
        <v>26.0</v>
      </c>
      <c r="Q29" s="32">
        <v>6.06</v>
      </c>
      <c r="R29" s="32">
        <v>6.23</v>
      </c>
      <c r="S29" s="30">
        <v>1.0</v>
      </c>
      <c r="T29" s="30">
        <v>3.0</v>
      </c>
      <c r="U29" s="25" t="s">
        <v>72</v>
      </c>
      <c r="V29" s="30">
        <v>3.0</v>
      </c>
      <c r="W29" s="30">
        <v>0.0</v>
      </c>
      <c r="X29" s="30">
        <v>2.0</v>
      </c>
      <c r="Y29" s="32">
        <v>6.0</v>
      </c>
      <c r="Z29" s="32">
        <v>6.0</v>
      </c>
      <c r="AA29" s="30">
        <v>0.0</v>
      </c>
      <c r="AB29" s="30">
        <v>0.0</v>
      </c>
      <c r="AC29" s="25" t="s">
        <v>133</v>
      </c>
      <c r="AD29" s="25" t="s">
        <v>73</v>
      </c>
      <c r="AE29" s="32">
        <f t="shared" si="4"/>
        <v>6.23</v>
      </c>
      <c r="AF29" s="29" t="s">
        <v>304</v>
      </c>
      <c r="AG29" s="30">
        <v>6.0</v>
      </c>
      <c r="AH29" s="30">
        <f t="shared" si="5"/>
        <v>31</v>
      </c>
      <c r="AI29" s="29"/>
    </row>
    <row r="30" ht="15.75" customHeight="1">
      <c r="A30" s="11">
        <f t="shared" si="1"/>
        <v>27</v>
      </c>
      <c r="B30" s="16">
        <f>ROUND(Guida!$B$22*H30/Guida!$B$29+Guida!$B$23*MAX(0,MIN(1,(AE30-5.4)/1.6))+Guida!$B$24*0+Guida!$B$25*0,1)</f>
        <v>18</v>
      </c>
      <c r="C30" s="17" t="s">
        <v>347</v>
      </c>
      <c r="D30" s="11" t="s">
        <v>143</v>
      </c>
      <c r="E30" s="18" t="s">
        <v>229</v>
      </c>
      <c r="F30" s="19">
        <v>7.0</v>
      </c>
      <c r="G30" s="19">
        <v>6.0</v>
      </c>
      <c r="H30" s="19">
        <v>20.0</v>
      </c>
      <c r="I30" s="19">
        <f>MAX(1,ROUND(H30^Guida!$B$18*Guida!$F$12,0))</f>
        <v>8</v>
      </c>
      <c r="J30" s="19">
        <f t="shared" si="2"/>
        <v>10</v>
      </c>
      <c r="K30" s="11" t="str">
        <f t="shared" si="3"/>
        <v>3a fascia</v>
      </c>
      <c r="L30" s="11" t="s">
        <v>68</v>
      </c>
      <c r="M30" s="38" t="s">
        <v>348</v>
      </c>
      <c r="N30" s="11" t="s">
        <v>71</v>
      </c>
      <c r="O30" s="11" t="s">
        <v>71</v>
      </c>
      <c r="P30" s="19">
        <v>28.0</v>
      </c>
      <c r="Q30" s="22">
        <v>5.98</v>
      </c>
      <c r="R30" s="22">
        <v>6.23</v>
      </c>
      <c r="S30" s="19">
        <v>3.0</v>
      </c>
      <c r="T30" s="19">
        <v>0.0</v>
      </c>
      <c r="U30" s="11" t="s">
        <v>72</v>
      </c>
      <c r="V30" s="19">
        <v>4.0</v>
      </c>
      <c r="W30" s="19">
        <v>0.0</v>
      </c>
      <c r="X30" s="19">
        <v>0.0</v>
      </c>
      <c r="Y30" s="22"/>
      <c r="Z30" s="22"/>
      <c r="AA30" s="19"/>
      <c r="AB30" s="19"/>
      <c r="AC30" s="11" t="s">
        <v>185</v>
      </c>
      <c r="AD30" s="11" t="s">
        <v>103</v>
      </c>
      <c r="AE30" s="22">
        <f t="shared" si="4"/>
        <v>6.23</v>
      </c>
      <c r="AF30" s="18" t="s">
        <v>270</v>
      </c>
      <c r="AG30" s="19">
        <v>6.0</v>
      </c>
      <c r="AH30" s="19">
        <f t="shared" si="5"/>
        <v>33</v>
      </c>
      <c r="AI30" s="18" t="s">
        <v>351</v>
      </c>
    </row>
    <row r="31" ht="15.75" customHeight="1">
      <c r="A31" s="25">
        <f t="shared" si="1"/>
        <v>28</v>
      </c>
      <c r="B31" s="27">
        <f>ROUND(Guida!$B$22*H31/Guida!$B$29+Guida!$B$23*MAX(0,MIN(1,(AE31-5.4)/1.6))+Guida!$B$24*0+Guida!$B$25*0,1)</f>
        <v>17.9</v>
      </c>
      <c r="C31" s="28" t="s">
        <v>353</v>
      </c>
      <c r="D31" s="25" t="s">
        <v>185</v>
      </c>
      <c r="E31" s="29" t="s">
        <v>249</v>
      </c>
      <c r="F31" s="30">
        <v>8.0</v>
      </c>
      <c r="G31" s="30">
        <v>9.0</v>
      </c>
      <c r="H31" s="30">
        <v>19.0</v>
      </c>
      <c r="I31" s="30">
        <f>MAX(1,ROUND(H31^Guida!$B$18*Guida!$F$12,0))</f>
        <v>7</v>
      </c>
      <c r="J31" s="30">
        <f t="shared" si="2"/>
        <v>8</v>
      </c>
      <c r="K31" s="25" t="str">
        <f t="shared" si="3"/>
        <v>3a fascia</v>
      </c>
      <c r="L31" s="25" t="s">
        <v>68</v>
      </c>
      <c r="M31" s="21" t="s">
        <v>100</v>
      </c>
      <c r="N31" s="25" t="s">
        <v>71</v>
      </c>
      <c r="O31" s="25" t="s">
        <v>71</v>
      </c>
      <c r="P31" s="30">
        <v>27.0</v>
      </c>
      <c r="Q31" s="32">
        <v>6.02</v>
      </c>
      <c r="R31" s="32">
        <v>6.24</v>
      </c>
      <c r="S31" s="30">
        <v>2.0</v>
      </c>
      <c r="T31" s="30">
        <v>1.0</v>
      </c>
      <c r="U31" s="25" t="s">
        <v>72</v>
      </c>
      <c r="V31" s="30">
        <v>2.0</v>
      </c>
      <c r="W31" s="30">
        <v>0.0</v>
      </c>
      <c r="X31" s="30">
        <v>2.0</v>
      </c>
      <c r="Y31" s="32">
        <v>6.5</v>
      </c>
      <c r="Z31" s="32">
        <v>6.5</v>
      </c>
      <c r="AA31" s="30">
        <v>0.0</v>
      </c>
      <c r="AB31" s="30">
        <v>0.0</v>
      </c>
      <c r="AC31" s="25" t="s">
        <v>133</v>
      </c>
      <c r="AD31" s="25" t="s">
        <v>103</v>
      </c>
      <c r="AE31" s="32">
        <f t="shared" si="4"/>
        <v>6.24</v>
      </c>
      <c r="AF31" s="29" t="s">
        <v>158</v>
      </c>
      <c r="AG31" s="30">
        <v>7.0</v>
      </c>
      <c r="AH31" s="30">
        <f t="shared" si="5"/>
        <v>44</v>
      </c>
      <c r="AI31" s="29"/>
    </row>
    <row r="32" ht="15.75" customHeight="1">
      <c r="A32" s="11">
        <f t="shared" si="1"/>
        <v>29</v>
      </c>
      <c r="B32" s="16">
        <f>ROUND(Guida!$B$22*H32/Guida!$B$29+Guida!$B$23*MAX(0,MIN(1,(AE32-5.4)/1.6))+Guida!$B$24*0+Guida!$B$25*0,1)</f>
        <v>17.7</v>
      </c>
      <c r="C32" s="17" t="s">
        <v>358</v>
      </c>
      <c r="D32" s="11" t="s">
        <v>212</v>
      </c>
      <c r="E32" s="18" t="s">
        <v>249</v>
      </c>
      <c r="F32" s="19">
        <v>7.0</v>
      </c>
      <c r="G32" s="19">
        <v>7.0</v>
      </c>
      <c r="H32" s="19">
        <v>20.0</v>
      </c>
      <c r="I32" s="19">
        <f>MAX(1,ROUND(H32^Guida!$B$18*Guida!$F$12,0))</f>
        <v>8</v>
      </c>
      <c r="J32" s="19">
        <f t="shared" si="2"/>
        <v>10</v>
      </c>
      <c r="K32" s="11" t="str">
        <f t="shared" si="3"/>
        <v>3a fascia</v>
      </c>
      <c r="L32" s="11" t="s">
        <v>68</v>
      </c>
      <c r="M32" s="37" t="s">
        <v>214</v>
      </c>
      <c r="N32" s="11" t="s">
        <v>71</v>
      </c>
      <c r="O32" s="11" t="s">
        <v>71</v>
      </c>
      <c r="P32" s="19">
        <v>26.0</v>
      </c>
      <c r="Q32" s="22">
        <v>6.1</v>
      </c>
      <c r="R32" s="22">
        <v>6.21</v>
      </c>
      <c r="S32" s="19">
        <v>2.0</v>
      </c>
      <c r="T32" s="19">
        <v>0.0</v>
      </c>
      <c r="U32" s="11" t="s">
        <v>72</v>
      </c>
      <c r="V32" s="19">
        <v>6.0</v>
      </c>
      <c r="W32" s="19">
        <v>0.0</v>
      </c>
      <c r="X32" s="19">
        <v>0.0</v>
      </c>
      <c r="Y32" s="22"/>
      <c r="Z32" s="22"/>
      <c r="AA32" s="19"/>
      <c r="AB32" s="19"/>
      <c r="AC32" s="11" t="s">
        <v>361</v>
      </c>
      <c r="AD32" s="11" t="s">
        <v>103</v>
      </c>
      <c r="AE32" s="22">
        <f t="shared" si="4"/>
        <v>6.21</v>
      </c>
      <c r="AF32" s="18" t="s">
        <v>179</v>
      </c>
      <c r="AG32" s="19">
        <v>0.0</v>
      </c>
      <c r="AH32" s="19">
        <f t="shared" si="5"/>
        <v>33</v>
      </c>
      <c r="AI32" s="18"/>
    </row>
    <row r="33" ht="15.75" customHeight="1">
      <c r="A33" s="25">
        <f t="shared" si="1"/>
        <v>30</v>
      </c>
      <c r="B33" s="27">
        <f>ROUND(Guida!$B$22*H33/Guida!$B$29+Guida!$B$23*MAX(0,MIN(1,(AE33-5.4)/1.6))+Guida!$B$24*0+Guida!$B$25*0,1)</f>
        <v>17.6</v>
      </c>
      <c r="C33" s="28" t="s">
        <v>366</v>
      </c>
      <c r="D33" s="25" t="s">
        <v>93</v>
      </c>
      <c r="E33" s="29" t="s">
        <v>367</v>
      </c>
      <c r="F33" s="30">
        <v>8.0</v>
      </c>
      <c r="G33" s="30">
        <v>8.0</v>
      </c>
      <c r="H33" s="30">
        <v>16.0</v>
      </c>
      <c r="I33" s="30">
        <f>MAX(1,ROUND(H33^Guida!$B$18*Guida!$F$12,0))</f>
        <v>7</v>
      </c>
      <c r="J33" s="30">
        <f t="shared" si="2"/>
        <v>8</v>
      </c>
      <c r="K33" s="25" t="str">
        <f t="shared" si="3"/>
        <v>3a fascia</v>
      </c>
      <c r="L33" s="25" t="s">
        <v>68</v>
      </c>
      <c r="M33" s="21" t="s">
        <v>100</v>
      </c>
      <c r="N33" s="25" t="s">
        <v>71</v>
      </c>
      <c r="O33" s="25" t="s">
        <v>71</v>
      </c>
      <c r="P33" s="30">
        <v>32.0</v>
      </c>
      <c r="Q33" s="32">
        <v>6.17</v>
      </c>
      <c r="R33" s="32">
        <v>6.27</v>
      </c>
      <c r="S33" s="30">
        <v>1.0</v>
      </c>
      <c r="T33" s="30">
        <v>2.0</v>
      </c>
      <c r="U33" s="25" t="s">
        <v>72</v>
      </c>
      <c r="V33" s="30">
        <v>2.0</v>
      </c>
      <c r="W33" s="30">
        <v>1.0</v>
      </c>
      <c r="X33" s="30">
        <v>2.0</v>
      </c>
      <c r="Y33" s="32">
        <v>6.0</v>
      </c>
      <c r="Z33" s="32">
        <v>5.75</v>
      </c>
      <c r="AA33" s="30">
        <v>0.0</v>
      </c>
      <c r="AB33" s="30">
        <v>0.0</v>
      </c>
      <c r="AC33" s="25" t="s">
        <v>60</v>
      </c>
      <c r="AD33" s="25" t="s">
        <v>103</v>
      </c>
      <c r="AE33" s="32">
        <f t="shared" si="4"/>
        <v>6.27</v>
      </c>
      <c r="AF33" s="29" t="s">
        <v>230</v>
      </c>
      <c r="AG33" s="30">
        <v>0.0</v>
      </c>
      <c r="AH33" s="30">
        <f t="shared" si="5"/>
        <v>55</v>
      </c>
      <c r="AI33" s="29"/>
    </row>
    <row r="34" ht="15.75" customHeight="1">
      <c r="A34" s="11">
        <f t="shared" si="1"/>
        <v>31</v>
      </c>
      <c r="B34" s="16">
        <f>ROUND(Guida!$B$22*H34/Guida!$B$29+Guida!$B$23*MAX(0,MIN(1,(AE34-5.4)/1.6))+Guida!$B$24*0+Guida!$B$25*0,1)</f>
        <v>17.4</v>
      </c>
      <c r="C34" s="17" t="s">
        <v>372</v>
      </c>
      <c r="D34" s="11" t="s">
        <v>283</v>
      </c>
      <c r="E34" s="18" t="s">
        <v>137</v>
      </c>
      <c r="F34" s="19">
        <v>8.0</v>
      </c>
      <c r="G34" s="19">
        <v>8.0</v>
      </c>
      <c r="H34" s="19">
        <v>26.0</v>
      </c>
      <c r="I34" s="19">
        <f>MAX(1,ROUND(H34^Guida!$B$18*Guida!$F$12,0))</f>
        <v>9</v>
      </c>
      <c r="J34" s="19">
        <f t="shared" si="2"/>
        <v>11</v>
      </c>
      <c r="K34" s="11" t="str">
        <f t="shared" si="3"/>
        <v>3a fascia</v>
      </c>
      <c r="L34" s="11" t="s">
        <v>68</v>
      </c>
      <c r="M34" s="37" t="s">
        <v>214</v>
      </c>
      <c r="N34" s="11" t="s">
        <v>71</v>
      </c>
      <c r="O34" s="11" t="s">
        <v>71</v>
      </c>
      <c r="P34" s="19">
        <v>25.0</v>
      </c>
      <c r="Q34" s="22">
        <v>6.14</v>
      </c>
      <c r="R34" s="22">
        <v>6.1</v>
      </c>
      <c r="S34" s="19">
        <v>1.0</v>
      </c>
      <c r="T34" s="19">
        <v>0.0</v>
      </c>
      <c r="U34" s="11" t="s">
        <v>72</v>
      </c>
      <c r="V34" s="19">
        <v>8.0</v>
      </c>
      <c r="W34" s="19">
        <v>0.0</v>
      </c>
      <c r="X34" s="19">
        <v>0.0</v>
      </c>
      <c r="Y34" s="22"/>
      <c r="Z34" s="22"/>
      <c r="AA34" s="19"/>
      <c r="AB34" s="19"/>
      <c r="AC34" s="11" t="s">
        <v>133</v>
      </c>
      <c r="AD34" s="11" t="s">
        <v>103</v>
      </c>
      <c r="AE34" s="22">
        <f t="shared" si="4"/>
        <v>6.1</v>
      </c>
      <c r="AF34" s="18" t="s">
        <v>288</v>
      </c>
      <c r="AG34" s="19">
        <v>4.0</v>
      </c>
      <c r="AH34" s="19">
        <f t="shared" si="5"/>
        <v>22</v>
      </c>
      <c r="AI34" s="18"/>
    </row>
    <row r="35" ht="15.75" customHeight="1">
      <c r="A35" s="25">
        <f t="shared" si="1"/>
        <v>32</v>
      </c>
      <c r="B35" s="27">
        <f>ROUND(Guida!$B$22*H35/Guida!$B$29+Guida!$B$23*MAX(0,MIN(1,(AE35-5.4)/1.6))+Guida!$B$24*0+Guida!$B$25*0,1)</f>
        <v>16.9</v>
      </c>
      <c r="C35" s="28" t="s">
        <v>376</v>
      </c>
      <c r="D35" s="25" t="s">
        <v>64</v>
      </c>
      <c r="E35" s="29" t="s">
        <v>377</v>
      </c>
      <c r="F35" s="30">
        <v>7.0</v>
      </c>
      <c r="G35" s="30">
        <v>6.0</v>
      </c>
      <c r="H35" s="30">
        <v>20.0</v>
      </c>
      <c r="I35" s="30">
        <f>MAX(1,ROUND(H35^Guida!$B$18*Guida!$F$12,0))</f>
        <v>8</v>
      </c>
      <c r="J35" s="30">
        <f t="shared" si="2"/>
        <v>10</v>
      </c>
      <c r="K35" s="25" t="str">
        <f t="shared" si="3"/>
        <v>3a fascia</v>
      </c>
      <c r="L35" s="25" t="s">
        <v>332</v>
      </c>
      <c r="M35" s="29" t="s">
        <v>333</v>
      </c>
      <c r="N35" s="25" t="s">
        <v>71</v>
      </c>
      <c r="O35" s="25" t="s">
        <v>71</v>
      </c>
      <c r="P35" s="30">
        <v>28.0</v>
      </c>
      <c r="Q35" s="32">
        <v>6.12</v>
      </c>
      <c r="R35" s="32">
        <v>6.16</v>
      </c>
      <c r="S35" s="30">
        <v>1.0</v>
      </c>
      <c r="T35" s="30">
        <v>1.0</v>
      </c>
      <c r="U35" s="25" t="s">
        <v>72</v>
      </c>
      <c r="V35" s="30">
        <v>6.0</v>
      </c>
      <c r="W35" s="30">
        <v>0.0</v>
      </c>
      <c r="X35" s="30">
        <v>0.0</v>
      </c>
      <c r="Y35" s="32"/>
      <c r="Z35" s="32"/>
      <c r="AA35" s="30"/>
      <c r="AB35" s="30"/>
      <c r="AC35" s="25" t="s">
        <v>64</v>
      </c>
      <c r="AD35" s="25" t="s">
        <v>73</v>
      </c>
      <c r="AE35" s="32">
        <f t="shared" si="4"/>
        <v>6.16</v>
      </c>
      <c r="AF35" s="29" t="s">
        <v>85</v>
      </c>
      <c r="AG35" s="30">
        <v>0.0</v>
      </c>
      <c r="AH35" s="30">
        <f t="shared" si="5"/>
        <v>33</v>
      </c>
      <c r="AI35" s="29"/>
    </row>
    <row r="36" ht="15.75" customHeight="1">
      <c r="A36" s="11">
        <f t="shared" si="1"/>
        <v>32</v>
      </c>
      <c r="B36" s="16">
        <f>ROUND(Guida!$B$22*H36/Guida!$B$29+Guida!$B$23*MAX(0,MIN(1,(AE36-5.4)/1.6))+Guida!$B$24*0+Guida!$B$25*0,1)</f>
        <v>16.9</v>
      </c>
      <c r="C36" s="17" t="s">
        <v>381</v>
      </c>
      <c r="D36" s="11" t="s">
        <v>60</v>
      </c>
      <c r="E36" s="18" t="s">
        <v>367</v>
      </c>
      <c r="F36" s="19">
        <v>5.0</v>
      </c>
      <c r="G36" s="19">
        <v>4.0</v>
      </c>
      <c r="H36" s="19">
        <v>14.0</v>
      </c>
      <c r="I36" s="19">
        <f>MAX(1,ROUND(H36^Guida!$B$18*Guida!$F$12,0))</f>
        <v>6</v>
      </c>
      <c r="J36" s="19">
        <f t="shared" si="2"/>
        <v>7</v>
      </c>
      <c r="K36" s="11" t="str">
        <f t="shared" si="3"/>
        <v>4a fascia</v>
      </c>
      <c r="L36" s="11" t="s">
        <v>332</v>
      </c>
      <c r="M36" s="38" t="s">
        <v>309</v>
      </c>
      <c r="N36" s="11" t="s">
        <v>71</v>
      </c>
      <c r="O36" s="11" t="s">
        <v>71</v>
      </c>
      <c r="P36" s="19">
        <v>19.0</v>
      </c>
      <c r="Q36" s="22">
        <v>6.16</v>
      </c>
      <c r="R36" s="22">
        <v>6.5</v>
      </c>
      <c r="S36" s="19">
        <v>1.0</v>
      </c>
      <c r="T36" s="19">
        <v>4.0</v>
      </c>
      <c r="U36" s="11" t="s">
        <v>72</v>
      </c>
      <c r="V36" s="19">
        <v>1.0</v>
      </c>
      <c r="W36" s="19">
        <v>0.0</v>
      </c>
      <c r="X36" s="19">
        <v>0.0</v>
      </c>
      <c r="Y36" s="22"/>
      <c r="Z36" s="22"/>
      <c r="AA36" s="19"/>
      <c r="AB36" s="19"/>
      <c r="AC36" s="11" t="s">
        <v>60</v>
      </c>
      <c r="AD36" s="11" t="s">
        <v>73</v>
      </c>
      <c r="AE36" s="22">
        <f t="shared" si="4"/>
        <v>6.26</v>
      </c>
      <c r="AF36" s="18" t="s">
        <v>245</v>
      </c>
      <c r="AG36" s="19">
        <v>0.0</v>
      </c>
      <c r="AH36" s="19">
        <f t="shared" si="5"/>
        <v>68</v>
      </c>
      <c r="AI36" s="18" t="s">
        <v>382</v>
      </c>
    </row>
    <row r="37" ht="15.75" customHeight="1">
      <c r="A37" s="25">
        <f t="shared" si="1"/>
        <v>34</v>
      </c>
      <c r="B37" s="27">
        <f>ROUND(Guida!$B$22*H37/Guida!$B$29+Guida!$B$23*MAX(0,MIN(1,(AE37-5.4)/1.6))+Guida!$B$24*0+Guida!$B$25*0,1)</f>
        <v>16.3</v>
      </c>
      <c r="C37" s="28" t="s">
        <v>385</v>
      </c>
      <c r="D37" s="25" t="s">
        <v>175</v>
      </c>
      <c r="E37" s="29" t="s">
        <v>137</v>
      </c>
      <c r="F37" s="30">
        <v>12.0</v>
      </c>
      <c r="G37" s="30">
        <v>13.0</v>
      </c>
      <c r="H37" s="30">
        <v>31.0</v>
      </c>
      <c r="I37" s="30">
        <f>MAX(1,ROUND(H37^Guida!$B$18*Guida!$F$12,0))</f>
        <v>10</v>
      </c>
      <c r="J37" s="30">
        <f t="shared" si="2"/>
        <v>12</v>
      </c>
      <c r="K37" s="25" t="str">
        <f t="shared" si="3"/>
        <v>3a fascia</v>
      </c>
      <c r="L37" s="25" t="s">
        <v>68</v>
      </c>
      <c r="M37" s="21" t="s">
        <v>100</v>
      </c>
      <c r="N37" s="25" t="s">
        <v>71</v>
      </c>
      <c r="O37" s="25" t="s">
        <v>71</v>
      </c>
      <c r="P37" s="30">
        <v>31.0</v>
      </c>
      <c r="Q37" s="32">
        <v>6.03</v>
      </c>
      <c r="R37" s="32">
        <v>5.95</v>
      </c>
      <c r="S37" s="30">
        <v>0.0</v>
      </c>
      <c r="T37" s="30">
        <v>0.0</v>
      </c>
      <c r="U37" s="25" t="s">
        <v>72</v>
      </c>
      <c r="V37" s="30">
        <v>3.0</v>
      </c>
      <c r="W37" s="30">
        <v>1.0</v>
      </c>
      <c r="X37" s="30">
        <v>2.0</v>
      </c>
      <c r="Y37" s="32">
        <v>6.5</v>
      </c>
      <c r="Z37" s="32">
        <v>6.5</v>
      </c>
      <c r="AA37" s="30">
        <v>0.0</v>
      </c>
      <c r="AB37" s="30">
        <v>0.0</v>
      </c>
      <c r="AC37" s="25" t="s">
        <v>195</v>
      </c>
      <c r="AD37" s="25" t="s">
        <v>103</v>
      </c>
      <c r="AE37" s="32">
        <f t="shared" si="4"/>
        <v>5.95</v>
      </c>
      <c r="AF37" s="29" t="s">
        <v>196</v>
      </c>
      <c r="AG37" s="30">
        <v>0.0</v>
      </c>
      <c r="AH37" s="30">
        <f t="shared" si="5"/>
        <v>18</v>
      </c>
      <c r="AI37" s="29"/>
    </row>
    <row r="38" ht="15.75" customHeight="1">
      <c r="A38" s="11">
        <f t="shared" si="1"/>
        <v>35</v>
      </c>
      <c r="B38" s="16">
        <f>ROUND(Guida!$B$22*H38/Guida!$B$29+Guida!$B$23*MAX(0,MIN(1,(AE38-5.4)/1.6))+Guida!$B$24*0+Guida!$B$25*0,1)</f>
        <v>15.7</v>
      </c>
      <c r="C38" s="17" t="s">
        <v>389</v>
      </c>
      <c r="D38" s="11" t="s">
        <v>175</v>
      </c>
      <c r="E38" s="18" t="s">
        <v>259</v>
      </c>
      <c r="F38" s="19">
        <v>8.0</v>
      </c>
      <c r="G38" s="19">
        <v>8.0</v>
      </c>
      <c r="H38" s="19">
        <v>22.0</v>
      </c>
      <c r="I38" s="19">
        <f>MAX(1,ROUND(H38^Guida!$B$18*Guida!$F$12,0))</f>
        <v>8</v>
      </c>
      <c r="J38" s="19">
        <f t="shared" si="2"/>
        <v>10</v>
      </c>
      <c r="K38" s="11" t="str">
        <f t="shared" si="3"/>
        <v>3a fascia</v>
      </c>
      <c r="L38" s="11" t="s">
        <v>68</v>
      </c>
      <c r="M38" s="21" t="s">
        <v>70</v>
      </c>
      <c r="N38" s="11" t="s">
        <v>71</v>
      </c>
      <c r="O38" s="11" t="s">
        <v>71</v>
      </c>
      <c r="P38" s="19">
        <v>31.0</v>
      </c>
      <c r="Q38" s="22">
        <v>5.97</v>
      </c>
      <c r="R38" s="22">
        <v>6.05</v>
      </c>
      <c r="S38" s="19">
        <v>2.0</v>
      </c>
      <c r="T38" s="19">
        <v>0.0</v>
      </c>
      <c r="U38" s="11" t="s">
        <v>72</v>
      </c>
      <c r="V38" s="19">
        <v>3.0</v>
      </c>
      <c r="W38" s="19">
        <v>0.0</v>
      </c>
      <c r="X38" s="19">
        <v>2.0</v>
      </c>
      <c r="Y38" s="22">
        <v>6.0</v>
      </c>
      <c r="Z38" s="22">
        <v>6.0</v>
      </c>
      <c r="AA38" s="19">
        <v>0.0</v>
      </c>
      <c r="AB38" s="19">
        <v>0.0</v>
      </c>
      <c r="AC38" s="11" t="s">
        <v>175</v>
      </c>
      <c r="AD38" s="11" t="s">
        <v>73</v>
      </c>
      <c r="AE38" s="22">
        <f t="shared" si="4"/>
        <v>6.05</v>
      </c>
      <c r="AF38" s="18" t="s">
        <v>196</v>
      </c>
      <c r="AG38" s="19">
        <v>0.0</v>
      </c>
      <c r="AH38" s="19">
        <f t="shared" si="5"/>
        <v>29</v>
      </c>
      <c r="AI38" s="18"/>
    </row>
    <row r="39" ht="15.75" customHeight="1">
      <c r="A39" s="25">
        <f t="shared" si="1"/>
        <v>36</v>
      </c>
      <c r="B39" s="27">
        <f>ROUND(Guida!$B$22*H39/Guida!$B$29+Guida!$B$23*MAX(0,MIN(1,(AE39-5.4)/1.6))+Guida!$B$24*0+Guida!$B$25*0,1)</f>
        <v>15.2</v>
      </c>
      <c r="C39" s="28" t="s">
        <v>394</v>
      </c>
      <c r="D39" s="25" t="s">
        <v>185</v>
      </c>
      <c r="E39" s="29" t="s">
        <v>137</v>
      </c>
      <c r="F39" s="30">
        <v>4.0</v>
      </c>
      <c r="G39" s="30">
        <v>4.0</v>
      </c>
      <c r="H39" s="30">
        <v>12.0</v>
      </c>
      <c r="I39" s="30">
        <f>MAX(1,ROUND(H39^Guida!$B$18*Guida!$F$12,0))</f>
        <v>6</v>
      </c>
      <c r="J39" s="30">
        <f t="shared" si="2"/>
        <v>7</v>
      </c>
      <c r="K39" s="25" t="str">
        <f t="shared" si="3"/>
        <v>4a fascia</v>
      </c>
      <c r="L39" s="25" t="s">
        <v>68</v>
      </c>
      <c r="M39" s="37" t="s">
        <v>146</v>
      </c>
      <c r="N39" s="25" t="s">
        <v>71</v>
      </c>
      <c r="O39" s="25" t="s">
        <v>71</v>
      </c>
      <c r="P39" s="30">
        <v>28.0</v>
      </c>
      <c r="Q39" s="32">
        <v>5.98</v>
      </c>
      <c r="R39" s="32">
        <v>6.18</v>
      </c>
      <c r="S39" s="30">
        <v>3.0</v>
      </c>
      <c r="T39" s="30">
        <v>0.0</v>
      </c>
      <c r="U39" s="25" t="s">
        <v>72</v>
      </c>
      <c r="V39" s="30">
        <v>5.0</v>
      </c>
      <c r="W39" s="30">
        <v>1.0</v>
      </c>
      <c r="X39" s="30">
        <v>0.0</v>
      </c>
      <c r="Y39" s="32"/>
      <c r="Z39" s="32"/>
      <c r="AA39" s="30"/>
      <c r="AB39" s="30"/>
      <c r="AC39" s="25" t="s">
        <v>185</v>
      </c>
      <c r="AD39" s="25" t="s">
        <v>73</v>
      </c>
      <c r="AE39" s="32">
        <f t="shared" si="4"/>
        <v>6.18</v>
      </c>
      <c r="AF39" s="29" t="s">
        <v>158</v>
      </c>
      <c r="AG39" s="30">
        <v>7.0</v>
      </c>
      <c r="AH39" s="30">
        <f t="shared" si="5"/>
        <v>89</v>
      </c>
      <c r="AI39" s="29"/>
    </row>
    <row r="40" ht="15.75" customHeight="1">
      <c r="A40" s="11">
        <f t="shared" si="1"/>
        <v>37</v>
      </c>
      <c r="B40" s="16">
        <f>ROUND(Guida!$B$22*H40/Guida!$B$29+Guida!$B$23*MAX(0,MIN(1,(AE40-5.4)/1.6))+Guida!$B$24*0+Guida!$B$25*0,1)</f>
        <v>15.1</v>
      </c>
      <c r="C40" s="17" t="s">
        <v>398</v>
      </c>
      <c r="D40" s="11" t="s">
        <v>143</v>
      </c>
      <c r="E40" s="18" t="s">
        <v>259</v>
      </c>
      <c r="F40" s="19">
        <v>6.0</v>
      </c>
      <c r="G40" s="19">
        <v>6.0</v>
      </c>
      <c r="H40" s="19">
        <v>18.0</v>
      </c>
      <c r="I40" s="19">
        <f>MAX(1,ROUND(H40^Guida!$B$18*Guida!$F$12,0))</f>
        <v>7</v>
      </c>
      <c r="J40" s="19">
        <f t="shared" si="2"/>
        <v>8</v>
      </c>
      <c r="K40" s="11" t="str">
        <f t="shared" si="3"/>
        <v>3a fascia</v>
      </c>
      <c r="L40" s="11" t="s">
        <v>226</v>
      </c>
      <c r="M40" s="18" t="s">
        <v>301</v>
      </c>
      <c r="N40" s="11" t="s">
        <v>71</v>
      </c>
      <c r="O40" s="11" t="s">
        <v>71</v>
      </c>
      <c r="P40" s="19">
        <v>22.0</v>
      </c>
      <c r="Q40" s="22">
        <v>6.09</v>
      </c>
      <c r="R40" s="22">
        <v>6.16</v>
      </c>
      <c r="S40" s="19">
        <v>0.0</v>
      </c>
      <c r="T40" s="19">
        <v>3.0</v>
      </c>
      <c r="U40" s="11" t="s">
        <v>72</v>
      </c>
      <c r="V40" s="19">
        <v>3.0</v>
      </c>
      <c r="W40" s="19">
        <v>0.0</v>
      </c>
      <c r="X40" s="19">
        <v>1.0</v>
      </c>
      <c r="Y40" s="22">
        <v>5.5</v>
      </c>
      <c r="Z40" s="22">
        <v>5.5</v>
      </c>
      <c r="AA40" s="19">
        <v>0.0</v>
      </c>
      <c r="AB40" s="19">
        <v>0.0</v>
      </c>
      <c r="AC40" s="11" t="s">
        <v>143</v>
      </c>
      <c r="AD40" s="11" t="s">
        <v>73</v>
      </c>
      <c r="AE40" s="22">
        <f t="shared" si="4"/>
        <v>6.08</v>
      </c>
      <c r="AF40" s="18" t="s">
        <v>270</v>
      </c>
      <c r="AG40" s="19">
        <v>6.0</v>
      </c>
      <c r="AH40" s="19">
        <f t="shared" si="5"/>
        <v>49</v>
      </c>
      <c r="AI40" s="18"/>
    </row>
    <row r="41" ht="15.75" customHeight="1">
      <c r="A41" s="25">
        <f t="shared" si="1"/>
        <v>38</v>
      </c>
      <c r="B41" s="27">
        <f>ROUND(Guida!$B$22*H41/Guida!$B$29+Guida!$B$23*MAX(0,MIN(1,(AE41-5.4)/1.6))+Guida!$B$24*0+Guida!$B$25*0,1)</f>
        <v>14.8</v>
      </c>
      <c r="C41" s="28" t="s">
        <v>405</v>
      </c>
      <c r="D41" s="25" t="s">
        <v>283</v>
      </c>
      <c r="E41" s="29" t="s">
        <v>367</v>
      </c>
      <c r="F41" s="30">
        <v>8.0</v>
      </c>
      <c r="G41" s="30">
        <v>8.0</v>
      </c>
      <c r="H41" s="30">
        <v>21.0</v>
      </c>
      <c r="I41" s="30">
        <f>MAX(1,ROUND(H41^Guida!$B$18*Guida!$F$12,0))</f>
        <v>8</v>
      </c>
      <c r="J41" s="30">
        <f t="shared" si="2"/>
        <v>10</v>
      </c>
      <c r="K41" s="25" t="str">
        <f t="shared" si="3"/>
        <v>3a fascia</v>
      </c>
      <c r="L41" s="25" t="s">
        <v>68</v>
      </c>
      <c r="M41" s="21" t="s">
        <v>70</v>
      </c>
      <c r="N41" s="25" t="s">
        <v>71</v>
      </c>
      <c r="O41" s="25" t="s">
        <v>71</v>
      </c>
      <c r="P41" s="30">
        <v>35.0</v>
      </c>
      <c r="Q41" s="32">
        <v>5.91</v>
      </c>
      <c r="R41" s="32">
        <v>6.01</v>
      </c>
      <c r="S41" s="30">
        <v>2.0</v>
      </c>
      <c r="T41" s="30">
        <v>0.0</v>
      </c>
      <c r="U41" s="25" t="s">
        <v>72</v>
      </c>
      <c r="V41" s="30">
        <v>5.0</v>
      </c>
      <c r="W41" s="30">
        <v>0.0</v>
      </c>
      <c r="X41" s="30">
        <v>2.0</v>
      </c>
      <c r="Y41" s="32">
        <v>6.0</v>
      </c>
      <c r="Z41" s="32">
        <v>5.75</v>
      </c>
      <c r="AA41" s="30">
        <v>0.0</v>
      </c>
      <c r="AB41" s="30">
        <v>0.0</v>
      </c>
      <c r="AC41" s="25" t="s">
        <v>283</v>
      </c>
      <c r="AD41" s="25" t="s">
        <v>73</v>
      </c>
      <c r="AE41" s="32">
        <f t="shared" si="4"/>
        <v>6.01</v>
      </c>
      <c r="AF41" s="29" t="s">
        <v>288</v>
      </c>
      <c r="AG41" s="30">
        <v>4.0</v>
      </c>
      <c r="AH41" s="30">
        <f t="shared" si="5"/>
        <v>31</v>
      </c>
      <c r="AI41" s="29"/>
    </row>
    <row r="42" ht="15.75" customHeight="1">
      <c r="A42" s="11">
        <f t="shared" si="1"/>
        <v>38</v>
      </c>
      <c r="B42" s="16">
        <f>ROUND(Guida!$B$22*H42/Guida!$B$29+Guida!$B$23*MAX(0,MIN(1,(AE42-5.4)/1.6))+Guida!$B$24*0+Guida!$B$25*0,1)</f>
        <v>14.8</v>
      </c>
      <c r="C42" s="17" t="s">
        <v>410</v>
      </c>
      <c r="D42" s="11" t="s">
        <v>208</v>
      </c>
      <c r="E42" s="18" t="s">
        <v>249</v>
      </c>
      <c r="F42" s="19">
        <v>10.0</v>
      </c>
      <c r="G42" s="19">
        <v>9.0</v>
      </c>
      <c r="H42" s="19">
        <v>20.0</v>
      </c>
      <c r="I42" s="19">
        <f>MAX(1,ROUND(H42^Guida!$B$18*Guida!$F$12,0))</f>
        <v>8</v>
      </c>
      <c r="J42" s="19">
        <f t="shared" si="2"/>
        <v>10</v>
      </c>
      <c r="K42" s="11" t="str">
        <f t="shared" si="3"/>
        <v>3a fascia</v>
      </c>
      <c r="L42" s="11" t="s">
        <v>68</v>
      </c>
      <c r="M42" s="18" t="s">
        <v>148</v>
      </c>
      <c r="N42" s="11" t="s">
        <v>71</v>
      </c>
      <c r="O42" s="11" t="s">
        <v>71</v>
      </c>
      <c r="P42" s="19">
        <v>36.0</v>
      </c>
      <c r="Q42" s="22">
        <v>5.99</v>
      </c>
      <c r="R42" s="22">
        <v>6.03</v>
      </c>
      <c r="S42" s="19">
        <v>1.0</v>
      </c>
      <c r="T42" s="19">
        <v>2.0</v>
      </c>
      <c r="U42" s="11" t="s">
        <v>72</v>
      </c>
      <c r="V42" s="19">
        <v>7.0</v>
      </c>
      <c r="W42" s="19">
        <v>0.0</v>
      </c>
      <c r="X42" s="19">
        <v>1.0</v>
      </c>
      <c r="Y42" s="22">
        <v>5.0</v>
      </c>
      <c r="Z42" s="22">
        <v>5.0</v>
      </c>
      <c r="AA42" s="19">
        <v>0.0</v>
      </c>
      <c r="AB42" s="19">
        <v>0.0</v>
      </c>
      <c r="AC42" s="11" t="s">
        <v>208</v>
      </c>
      <c r="AD42" s="11" t="s">
        <v>73</v>
      </c>
      <c r="AE42" s="22">
        <f t="shared" si="4"/>
        <v>6.03</v>
      </c>
      <c r="AF42" s="18" t="s">
        <v>412</v>
      </c>
      <c r="AG42" s="19">
        <v>6.0</v>
      </c>
      <c r="AH42" s="19">
        <f t="shared" si="5"/>
        <v>33</v>
      </c>
      <c r="AI42" s="18"/>
    </row>
    <row r="43" ht="15.75" customHeight="1">
      <c r="A43" s="25">
        <f t="shared" si="1"/>
        <v>40</v>
      </c>
      <c r="B43" s="27">
        <f>ROUND(Guida!$B$22*H43/Guida!$B$29+Guida!$B$23*MAX(0,MIN(1,(AE43-5.4)/1.6))+Guida!$B$24*0+Guida!$B$25*0,1)</f>
        <v>14.5</v>
      </c>
      <c r="C43" s="28" t="s">
        <v>415</v>
      </c>
      <c r="D43" s="25" t="s">
        <v>232</v>
      </c>
      <c r="E43" s="29" t="s">
        <v>137</v>
      </c>
      <c r="F43" s="30">
        <v>7.0</v>
      </c>
      <c r="G43" s="30">
        <v>8.0</v>
      </c>
      <c r="H43" s="30">
        <v>20.0</v>
      </c>
      <c r="I43" s="30">
        <f>MAX(1,ROUND(H43^Guida!$B$18*Guida!$F$12,0))</f>
        <v>8</v>
      </c>
      <c r="J43" s="30">
        <f t="shared" si="2"/>
        <v>10</v>
      </c>
      <c r="K43" s="25" t="str">
        <f t="shared" si="3"/>
        <v>3a fascia</v>
      </c>
      <c r="L43" s="25" t="s">
        <v>68</v>
      </c>
      <c r="M43" s="21" t="s">
        <v>70</v>
      </c>
      <c r="N43" s="25" t="s">
        <v>71</v>
      </c>
      <c r="O43" s="25" t="s">
        <v>71</v>
      </c>
      <c r="P43" s="30">
        <v>36.0</v>
      </c>
      <c r="Q43" s="32">
        <v>6.0</v>
      </c>
      <c r="R43" s="32">
        <v>6.01</v>
      </c>
      <c r="S43" s="30">
        <v>2.0</v>
      </c>
      <c r="T43" s="30">
        <v>0.0</v>
      </c>
      <c r="U43" s="25" t="s">
        <v>72</v>
      </c>
      <c r="V43" s="30">
        <v>7.0</v>
      </c>
      <c r="W43" s="30">
        <v>0.0</v>
      </c>
      <c r="X43" s="30">
        <v>2.0</v>
      </c>
      <c r="Y43" s="32">
        <v>6.0</v>
      </c>
      <c r="Z43" s="32">
        <v>7.5</v>
      </c>
      <c r="AA43" s="30">
        <v>1.0</v>
      </c>
      <c r="AB43" s="30">
        <v>0.0</v>
      </c>
      <c r="AC43" s="25" t="s">
        <v>232</v>
      </c>
      <c r="AD43" s="25" t="s">
        <v>73</v>
      </c>
      <c r="AE43" s="32">
        <f t="shared" si="4"/>
        <v>6.01</v>
      </c>
      <c r="AF43" s="29" t="s">
        <v>417</v>
      </c>
      <c r="AG43" s="30">
        <v>4.0</v>
      </c>
      <c r="AH43" s="30">
        <f t="shared" si="5"/>
        <v>33</v>
      </c>
      <c r="AI43" s="29"/>
    </row>
    <row r="44" ht="15.75" customHeight="1">
      <c r="A44" s="11">
        <f t="shared" si="1"/>
        <v>40</v>
      </c>
      <c r="B44" s="16">
        <f>ROUND(Guida!$B$22*H44/Guida!$B$29+Guida!$B$23*MAX(0,MIN(1,(AE44-5.4)/1.6))+Guida!$B$24*0+Guida!$B$25*0,1)</f>
        <v>14.5</v>
      </c>
      <c r="C44" s="17" t="s">
        <v>420</v>
      </c>
      <c r="D44" s="11" t="s">
        <v>177</v>
      </c>
      <c r="E44" s="18" t="s">
        <v>249</v>
      </c>
      <c r="F44" s="19">
        <v>8.0</v>
      </c>
      <c r="G44" s="19">
        <v>8.0</v>
      </c>
      <c r="H44" s="19">
        <v>15.0</v>
      </c>
      <c r="I44" s="19">
        <f>MAX(1,ROUND(H44^Guida!$B$18*Guida!$F$12,0))</f>
        <v>6</v>
      </c>
      <c r="J44" s="19">
        <f t="shared" si="2"/>
        <v>7</v>
      </c>
      <c r="K44" s="11" t="str">
        <f t="shared" si="3"/>
        <v>4a fascia</v>
      </c>
      <c r="L44" s="11" t="s">
        <v>68</v>
      </c>
      <c r="M44" s="21" t="s">
        <v>70</v>
      </c>
      <c r="N44" s="11" t="s">
        <v>71</v>
      </c>
      <c r="O44" s="11" t="s">
        <v>71</v>
      </c>
      <c r="P44" s="19">
        <v>27.0</v>
      </c>
      <c r="Q44" s="22">
        <v>5.93</v>
      </c>
      <c r="R44" s="22">
        <v>6.09</v>
      </c>
      <c r="S44" s="19">
        <v>2.0</v>
      </c>
      <c r="T44" s="19">
        <v>1.0</v>
      </c>
      <c r="U44" s="11" t="s">
        <v>72</v>
      </c>
      <c r="V44" s="19">
        <v>3.0</v>
      </c>
      <c r="W44" s="19">
        <v>1.0</v>
      </c>
      <c r="X44" s="19">
        <v>2.0</v>
      </c>
      <c r="Y44" s="22">
        <v>5.75</v>
      </c>
      <c r="Z44" s="22">
        <v>5.75</v>
      </c>
      <c r="AA44" s="19">
        <v>0.0</v>
      </c>
      <c r="AB44" s="19">
        <v>0.0</v>
      </c>
      <c r="AC44" s="11" t="s">
        <v>177</v>
      </c>
      <c r="AD44" s="11" t="s">
        <v>73</v>
      </c>
      <c r="AE44" s="22">
        <f t="shared" si="4"/>
        <v>6.09</v>
      </c>
      <c r="AF44" s="18" t="s">
        <v>179</v>
      </c>
      <c r="AG44" s="19">
        <v>5.0</v>
      </c>
      <c r="AH44" s="19">
        <f t="shared" si="5"/>
        <v>58</v>
      </c>
      <c r="AI44" s="18"/>
    </row>
    <row r="45" ht="15.75" customHeight="1">
      <c r="A45" s="25">
        <f t="shared" si="1"/>
        <v>42</v>
      </c>
      <c r="B45" s="27">
        <f>ROUND(Guida!$B$22*H45/Guida!$B$29+Guida!$B$23*MAX(0,MIN(1,(AE45-5.4)/1.6))+Guida!$B$24*0+Guida!$B$25*0,1)</f>
        <v>14.2</v>
      </c>
      <c r="C45" s="28" t="s">
        <v>424</v>
      </c>
      <c r="D45" s="25" t="s">
        <v>182</v>
      </c>
      <c r="E45" s="29" t="s">
        <v>249</v>
      </c>
      <c r="F45" s="30">
        <v>5.0</v>
      </c>
      <c r="G45" s="30">
        <v>6.0</v>
      </c>
      <c r="H45" s="30">
        <v>13.0</v>
      </c>
      <c r="I45" s="30">
        <f>MAX(1,ROUND(H45^Guida!$B$18*Guida!$F$12,0))</f>
        <v>6</v>
      </c>
      <c r="J45" s="30">
        <f t="shared" si="2"/>
        <v>7</v>
      </c>
      <c r="K45" s="25" t="str">
        <f t="shared" si="3"/>
        <v>4a fascia</v>
      </c>
      <c r="L45" s="25" t="s">
        <v>226</v>
      </c>
      <c r="M45" s="29" t="s">
        <v>300</v>
      </c>
      <c r="N45" s="25" t="s">
        <v>71</v>
      </c>
      <c r="O45" s="25" t="s">
        <v>71</v>
      </c>
      <c r="P45" s="30">
        <v>16.0</v>
      </c>
      <c r="Q45" s="32">
        <v>6.09</v>
      </c>
      <c r="R45" s="32">
        <v>6.44</v>
      </c>
      <c r="S45" s="30">
        <v>1.0</v>
      </c>
      <c r="T45" s="30">
        <v>4.0</v>
      </c>
      <c r="U45" s="25" t="s">
        <v>72</v>
      </c>
      <c r="V45" s="30">
        <v>1.0</v>
      </c>
      <c r="W45" s="30">
        <v>1.0</v>
      </c>
      <c r="X45" s="30">
        <v>2.0</v>
      </c>
      <c r="Y45" s="32">
        <v>6.25</v>
      </c>
      <c r="Z45" s="32">
        <v>6.25</v>
      </c>
      <c r="AA45" s="30">
        <v>0.0</v>
      </c>
      <c r="AB45" s="30">
        <v>0.0</v>
      </c>
      <c r="AC45" s="25" t="s">
        <v>93</v>
      </c>
      <c r="AD45" s="25" t="s">
        <v>103</v>
      </c>
      <c r="AE45" s="32">
        <f t="shared" si="4"/>
        <v>6.1</v>
      </c>
      <c r="AF45" s="29" t="s">
        <v>113</v>
      </c>
      <c r="AG45" s="30">
        <v>6.0</v>
      </c>
      <c r="AH45" s="30">
        <f t="shared" si="5"/>
        <v>76</v>
      </c>
      <c r="AI45" s="29"/>
    </row>
    <row r="46" ht="15.75" customHeight="1">
      <c r="A46" s="11">
        <f t="shared" si="1"/>
        <v>43</v>
      </c>
      <c r="B46" s="16">
        <f>ROUND(Guida!$B$22*H46/Guida!$B$29+Guida!$B$23*MAX(0,MIN(1,(AE46-5.4)/1.6))+Guida!$B$24*0+Guida!$B$25*0,1)</f>
        <v>13.9</v>
      </c>
      <c r="C46" s="17" t="s">
        <v>427</v>
      </c>
      <c r="D46" s="11" t="s">
        <v>195</v>
      </c>
      <c r="E46" s="18" t="s">
        <v>428</v>
      </c>
      <c r="F46" s="19">
        <v>6.0</v>
      </c>
      <c r="G46" s="19">
        <v>6.0</v>
      </c>
      <c r="H46" s="19">
        <v>20.0</v>
      </c>
      <c r="I46" s="19">
        <f>MAX(1,ROUND(H46^Guida!$B$18*Guida!$F$12,0))</f>
        <v>8</v>
      </c>
      <c r="J46" s="19">
        <f t="shared" si="2"/>
        <v>10</v>
      </c>
      <c r="K46" s="11" t="str">
        <f t="shared" si="3"/>
        <v>3a fascia</v>
      </c>
      <c r="L46" s="11" t="s">
        <v>226</v>
      </c>
      <c r="M46" s="36" t="s">
        <v>314</v>
      </c>
      <c r="N46" s="11" t="s">
        <v>71</v>
      </c>
      <c r="O46" s="11" t="s">
        <v>71</v>
      </c>
      <c r="P46" s="19">
        <v>33.0</v>
      </c>
      <c r="Q46" s="22">
        <v>5.86</v>
      </c>
      <c r="R46" s="22">
        <v>5.97</v>
      </c>
      <c r="S46" s="19">
        <v>1.0</v>
      </c>
      <c r="T46" s="19">
        <v>2.0</v>
      </c>
      <c r="U46" s="11" t="s">
        <v>72</v>
      </c>
      <c r="V46" s="19">
        <v>1.0</v>
      </c>
      <c r="W46" s="19">
        <v>1.0</v>
      </c>
      <c r="X46" s="19">
        <v>1.0</v>
      </c>
      <c r="Y46" s="22">
        <v>6.0</v>
      </c>
      <c r="Z46" s="22">
        <v>6.0</v>
      </c>
      <c r="AA46" s="19">
        <v>0.0</v>
      </c>
      <c r="AB46" s="19">
        <v>0.0</v>
      </c>
      <c r="AC46" s="11" t="s">
        <v>195</v>
      </c>
      <c r="AD46" s="11" t="s">
        <v>73</v>
      </c>
      <c r="AE46" s="22">
        <f t="shared" si="4"/>
        <v>5.97</v>
      </c>
      <c r="AF46" s="18" t="s">
        <v>432</v>
      </c>
      <c r="AG46" s="19">
        <v>0.0</v>
      </c>
      <c r="AH46" s="19">
        <f t="shared" si="5"/>
        <v>33</v>
      </c>
      <c r="AI46" s="18" t="s">
        <v>433</v>
      </c>
    </row>
    <row r="47" ht="15.75" customHeight="1">
      <c r="A47" s="25">
        <f t="shared" si="1"/>
        <v>43</v>
      </c>
      <c r="B47" s="27">
        <f>ROUND(Guida!$B$22*H47/Guida!$B$29+Guida!$B$23*MAX(0,MIN(1,(AE47-5.4)/1.6))+Guida!$B$24*0+Guida!$B$25*0,1)</f>
        <v>13.9</v>
      </c>
      <c r="C47" s="28" t="s">
        <v>436</v>
      </c>
      <c r="D47" s="25" t="s">
        <v>253</v>
      </c>
      <c r="E47" s="29" t="s">
        <v>259</v>
      </c>
      <c r="F47" s="30">
        <v>6.0</v>
      </c>
      <c r="G47" s="30">
        <v>6.0</v>
      </c>
      <c r="H47" s="30">
        <v>13.0</v>
      </c>
      <c r="I47" s="30">
        <f>MAX(1,ROUND(H47^Guida!$B$18*Guida!$F$12,0))</f>
        <v>6</v>
      </c>
      <c r="J47" s="30">
        <f t="shared" si="2"/>
        <v>7</v>
      </c>
      <c r="K47" s="25" t="str">
        <f t="shared" si="3"/>
        <v>4a fascia</v>
      </c>
      <c r="L47" s="25" t="s">
        <v>68</v>
      </c>
      <c r="M47" s="29" t="s">
        <v>294</v>
      </c>
      <c r="N47" s="25" t="s">
        <v>71</v>
      </c>
      <c r="O47" s="25" t="s">
        <v>71</v>
      </c>
      <c r="P47" s="30">
        <v>16.0</v>
      </c>
      <c r="Q47" s="32">
        <v>6.06</v>
      </c>
      <c r="R47" s="32">
        <v>6.41</v>
      </c>
      <c r="S47" s="30">
        <v>1.0</v>
      </c>
      <c r="T47" s="30">
        <v>3.0</v>
      </c>
      <c r="U47" s="25" t="s">
        <v>72</v>
      </c>
      <c r="V47" s="30">
        <v>1.0</v>
      </c>
      <c r="W47" s="30">
        <v>0.0</v>
      </c>
      <c r="X47" s="30">
        <v>1.0</v>
      </c>
      <c r="Y47" s="32">
        <v>6.0</v>
      </c>
      <c r="Z47" s="32">
        <v>6.0</v>
      </c>
      <c r="AA47" s="30">
        <v>0.0</v>
      </c>
      <c r="AB47" s="30">
        <v>0.0</v>
      </c>
      <c r="AC47" s="25" t="s">
        <v>212</v>
      </c>
      <c r="AD47" s="25" t="s">
        <v>103</v>
      </c>
      <c r="AE47" s="32">
        <f t="shared" si="4"/>
        <v>6.08</v>
      </c>
      <c r="AF47" s="29" t="s">
        <v>438</v>
      </c>
      <c r="AG47" s="30">
        <v>4.0</v>
      </c>
      <c r="AH47" s="30">
        <f t="shared" si="5"/>
        <v>76</v>
      </c>
      <c r="AI47" s="29"/>
    </row>
    <row r="48" ht="15.75" customHeight="1">
      <c r="A48" s="11">
        <f t="shared" si="1"/>
        <v>45</v>
      </c>
      <c r="B48" s="16">
        <f>ROUND(Guida!$B$22*H48/Guida!$B$29+Guida!$B$23*MAX(0,MIN(1,(AE48-5.4)/1.6))+Guida!$B$24*0+Guida!$B$25*0,1)</f>
        <v>13.7</v>
      </c>
      <c r="C48" s="17" t="s">
        <v>442</v>
      </c>
      <c r="D48" s="11" t="s">
        <v>93</v>
      </c>
      <c r="E48" s="18" t="s">
        <v>428</v>
      </c>
      <c r="F48" s="19">
        <v>9.0</v>
      </c>
      <c r="G48" s="19">
        <v>8.0</v>
      </c>
      <c r="H48" s="19">
        <v>18.0</v>
      </c>
      <c r="I48" s="19">
        <f>MAX(1,ROUND(H48^Guida!$B$18*Guida!$F$12,0))</f>
        <v>7</v>
      </c>
      <c r="J48" s="19">
        <f t="shared" si="2"/>
        <v>8</v>
      </c>
      <c r="K48" s="11" t="str">
        <f t="shared" si="3"/>
        <v>3a fascia</v>
      </c>
      <c r="L48" s="11" t="s">
        <v>68</v>
      </c>
      <c r="M48" s="18" t="s">
        <v>148</v>
      </c>
      <c r="N48" s="11" t="s">
        <v>71</v>
      </c>
      <c r="O48" s="11" t="s">
        <v>71</v>
      </c>
      <c r="P48" s="19">
        <v>36.0</v>
      </c>
      <c r="Q48" s="22">
        <v>5.81</v>
      </c>
      <c r="R48" s="22">
        <v>5.99</v>
      </c>
      <c r="S48" s="19">
        <v>3.0</v>
      </c>
      <c r="T48" s="19">
        <v>4.0</v>
      </c>
      <c r="U48" s="11" t="s">
        <v>72</v>
      </c>
      <c r="V48" s="19">
        <v>3.0</v>
      </c>
      <c r="W48" s="19">
        <v>1.0</v>
      </c>
      <c r="X48" s="19">
        <v>1.0</v>
      </c>
      <c r="Y48" s="22">
        <v>6.0</v>
      </c>
      <c r="Z48" s="22">
        <v>5.5</v>
      </c>
      <c r="AA48" s="19">
        <v>0.0</v>
      </c>
      <c r="AB48" s="19">
        <v>0.0</v>
      </c>
      <c r="AC48" s="11" t="s">
        <v>93</v>
      </c>
      <c r="AD48" s="11" t="s">
        <v>73</v>
      </c>
      <c r="AE48" s="22">
        <f t="shared" si="4"/>
        <v>5.99</v>
      </c>
      <c r="AF48" s="18" t="s">
        <v>230</v>
      </c>
      <c r="AG48" s="19">
        <v>0.0</v>
      </c>
      <c r="AH48" s="19">
        <f t="shared" si="5"/>
        <v>49</v>
      </c>
      <c r="AI48" s="18"/>
    </row>
    <row r="49" ht="15.75" customHeight="1">
      <c r="A49" s="25">
        <f t="shared" si="1"/>
        <v>46</v>
      </c>
      <c r="B49" s="27">
        <f>ROUND(Guida!$B$22*H49/Guida!$B$29+Guida!$B$23*MAX(0,MIN(1,(AE49-5.4)/1.6))+Guida!$B$24*0+Guida!$B$25*0,1)</f>
        <v>13.6</v>
      </c>
      <c r="C49" s="28" t="s">
        <v>445</v>
      </c>
      <c r="D49" s="25" t="s">
        <v>191</v>
      </c>
      <c r="E49" s="29" t="s">
        <v>137</v>
      </c>
      <c r="F49" s="30">
        <v>6.0</v>
      </c>
      <c r="G49" s="30">
        <v>6.0</v>
      </c>
      <c r="H49" s="30">
        <v>12.0</v>
      </c>
      <c r="I49" s="30">
        <f>MAX(1,ROUND(H49^Guida!$B$18*Guida!$F$12,0))</f>
        <v>6</v>
      </c>
      <c r="J49" s="30">
        <f t="shared" si="2"/>
        <v>7</v>
      </c>
      <c r="K49" s="25" t="str">
        <f t="shared" si="3"/>
        <v>4a fascia</v>
      </c>
      <c r="L49" s="25" t="s">
        <v>226</v>
      </c>
      <c r="M49" s="29" t="s">
        <v>281</v>
      </c>
      <c r="N49" s="25" t="s">
        <v>71</v>
      </c>
      <c r="O49" s="25" t="s">
        <v>71</v>
      </c>
      <c r="P49" s="30">
        <v>22.0</v>
      </c>
      <c r="Q49" s="32">
        <v>5.93</v>
      </c>
      <c r="R49" s="32">
        <v>6.16</v>
      </c>
      <c r="S49" s="30">
        <v>2.0</v>
      </c>
      <c r="T49" s="30">
        <v>0.0</v>
      </c>
      <c r="U49" s="25" t="s">
        <v>72</v>
      </c>
      <c r="V49" s="30">
        <v>2.0</v>
      </c>
      <c r="W49" s="30">
        <v>0.0</v>
      </c>
      <c r="X49" s="30">
        <v>0.0</v>
      </c>
      <c r="Y49" s="32"/>
      <c r="Z49" s="32"/>
      <c r="AA49" s="30"/>
      <c r="AB49" s="30"/>
      <c r="AC49" s="25" t="s">
        <v>191</v>
      </c>
      <c r="AD49" s="25" t="s">
        <v>73</v>
      </c>
      <c r="AE49" s="32">
        <f t="shared" si="4"/>
        <v>6.08</v>
      </c>
      <c r="AF49" s="29" t="s">
        <v>432</v>
      </c>
      <c r="AG49" s="30">
        <v>3.0</v>
      </c>
      <c r="AH49" s="30">
        <f t="shared" si="5"/>
        <v>89</v>
      </c>
      <c r="AI49" s="29"/>
    </row>
    <row r="50" ht="15.75" customHeight="1">
      <c r="A50" s="11">
        <f t="shared" si="1"/>
        <v>47</v>
      </c>
      <c r="B50" s="16">
        <f>ROUND(Guida!$B$22*H50/Guida!$B$29+Guida!$B$23*MAX(0,MIN(1,(AE50-5.4)/1.6))+Guida!$B$24*0+Guida!$B$25*0,1)</f>
        <v>13.5</v>
      </c>
      <c r="C50" s="17" t="s">
        <v>449</v>
      </c>
      <c r="D50" s="11" t="s">
        <v>93</v>
      </c>
      <c r="E50" s="18" t="s">
        <v>324</v>
      </c>
      <c r="F50" s="19">
        <v>5.0</v>
      </c>
      <c r="G50" s="19">
        <v>5.0</v>
      </c>
      <c r="H50" s="19">
        <v>12.0</v>
      </c>
      <c r="I50" s="19">
        <f>MAX(1,ROUND(H50^Guida!$B$18*Guida!$F$12,0))</f>
        <v>6</v>
      </c>
      <c r="J50" s="19">
        <f t="shared" si="2"/>
        <v>7</v>
      </c>
      <c r="K50" s="11" t="str">
        <f t="shared" si="3"/>
        <v>4a fascia</v>
      </c>
      <c r="L50" s="11" t="s">
        <v>226</v>
      </c>
      <c r="M50" s="18" t="s">
        <v>277</v>
      </c>
      <c r="N50" s="11" t="s">
        <v>71</v>
      </c>
      <c r="O50" s="11" t="s">
        <v>71</v>
      </c>
      <c r="P50" s="19">
        <v>35.0</v>
      </c>
      <c r="Q50" s="22">
        <v>6.01</v>
      </c>
      <c r="R50" s="22">
        <v>6.07</v>
      </c>
      <c r="S50" s="19">
        <v>1.0</v>
      </c>
      <c r="T50" s="19">
        <v>1.0</v>
      </c>
      <c r="U50" s="11" t="s">
        <v>72</v>
      </c>
      <c r="V50" s="19">
        <v>4.0</v>
      </c>
      <c r="W50" s="19">
        <v>0.0</v>
      </c>
      <c r="X50" s="19">
        <v>2.0</v>
      </c>
      <c r="Y50" s="22">
        <v>5.75</v>
      </c>
      <c r="Z50" s="22">
        <v>5.75</v>
      </c>
      <c r="AA50" s="19">
        <v>0.0</v>
      </c>
      <c r="AB50" s="19">
        <v>0.0</v>
      </c>
      <c r="AC50" s="11" t="s">
        <v>93</v>
      </c>
      <c r="AD50" s="11" t="s">
        <v>73</v>
      </c>
      <c r="AE50" s="22">
        <f t="shared" si="4"/>
        <v>6.07</v>
      </c>
      <c r="AF50" s="18" t="s">
        <v>230</v>
      </c>
      <c r="AG50" s="19">
        <v>0.0</v>
      </c>
      <c r="AH50" s="19">
        <f t="shared" si="5"/>
        <v>89</v>
      </c>
      <c r="AI50" s="18"/>
    </row>
    <row r="51" ht="15.75" customHeight="1">
      <c r="A51" s="25">
        <f t="shared" si="1"/>
        <v>48</v>
      </c>
      <c r="B51" s="27">
        <f>ROUND(Guida!$B$22*H51/Guida!$B$29+Guida!$B$23*MAX(0,MIN(1,(AE51-5.4)/1.6))+Guida!$B$24*0+Guida!$B$25*0,1)</f>
        <v>13.4</v>
      </c>
      <c r="C51" s="28" t="s">
        <v>454</v>
      </c>
      <c r="D51" s="25" t="s">
        <v>185</v>
      </c>
      <c r="E51" s="29" t="s">
        <v>249</v>
      </c>
      <c r="F51" s="30">
        <v>4.0</v>
      </c>
      <c r="G51" s="30">
        <v>4.0</v>
      </c>
      <c r="H51" s="30">
        <v>10.0</v>
      </c>
      <c r="I51" s="30">
        <f>MAX(1,ROUND(H51^Guida!$B$18*Guida!$F$12,0))</f>
        <v>5</v>
      </c>
      <c r="J51" s="30">
        <f t="shared" si="2"/>
        <v>6</v>
      </c>
      <c r="K51" s="25" t="str">
        <f t="shared" si="3"/>
        <v>4a fascia</v>
      </c>
      <c r="L51" s="25" t="s">
        <v>226</v>
      </c>
      <c r="M51" s="36" t="s">
        <v>457</v>
      </c>
      <c r="N51" s="25" t="s">
        <v>71</v>
      </c>
      <c r="O51" s="25" t="s">
        <v>71</v>
      </c>
      <c r="P51" s="30">
        <v>19.0</v>
      </c>
      <c r="Q51" s="32">
        <v>6.05</v>
      </c>
      <c r="R51" s="32">
        <v>6.29</v>
      </c>
      <c r="S51" s="30">
        <v>1.0</v>
      </c>
      <c r="T51" s="30">
        <v>2.0</v>
      </c>
      <c r="U51" s="25" t="s">
        <v>72</v>
      </c>
      <c r="V51" s="30">
        <v>1.0</v>
      </c>
      <c r="W51" s="30">
        <v>0.0</v>
      </c>
      <c r="X51" s="30">
        <v>0.0</v>
      </c>
      <c r="Y51" s="32"/>
      <c r="Z51" s="32"/>
      <c r="AA51" s="30"/>
      <c r="AB51" s="30"/>
      <c r="AC51" s="25" t="s">
        <v>185</v>
      </c>
      <c r="AD51" s="25" t="s">
        <v>73</v>
      </c>
      <c r="AE51" s="32">
        <f t="shared" si="4"/>
        <v>6.1</v>
      </c>
      <c r="AF51" s="29" t="s">
        <v>458</v>
      </c>
      <c r="AG51" s="30">
        <v>7.0</v>
      </c>
      <c r="AH51" s="30">
        <f t="shared" si="5"/>
        <v>114</v>
      </c>
      <c r="AI51" s="29" t="s">
        <v>459</v>
      </c>
    </row>
    <row r="52" ht="15.75" customHeight="1">
      <c r="A52" s="11">
        <f t="shared" si="1"/>
        <v>49</v>
      </c>
      <c r="B52" s="16">
        <f>ROUND(Guida!$B$22*H52/Guida!$B$29+Guida!$B$23*MAX(0,MIN(1,(AE52-5.4)/1.6))+Guida!$B$24*0+Guida!$B$25*0,1)</f>
        <v>13.1</v>
      </c>
      <c r="C52" s="17" t="s">
        <v>461</v>
      </c>
      <c r="D52" s="11" t="s">
        <v>195</v>
      </c>
      <c r="E52" s="18" t="s">
        <v>137</v>
      </c>
      <c r="F52" s="19">
        <v>7.0</v>
      </c>
      <c r="G52" s="19">
        <v>6.0</v>
      </c>
      <c r="H52" s="19">
        <v>20.0</v>
      </c>
      <c r="I52" s="19">
        <f>MAX(1,ROUND(H52^Guida!$B$18*Guida!$F$12,0))</f>
        <v>8</v>
      </c>
      <c r="J52" s="19">
        <f t="shared" si="2"/>
        <v>10</v>
      </c>
      <c r="K52" s="11" t="str">
        <f t="shared" si="3"/>
        <v>3a fascia</v>
      </c>
      <c r="L52" s="11" t="s">
        <v>68</v>
      </c>
      <c r="M52" s="37" t="s">
        <v>146</v>
      </c>
      <c r="N52" s="11" t="s">
        <v>71</v>
      </c>
      <c r="O52" s="11" t="s">
        <v>71</v>
      </c>
      <c r="P52" s="19">
        <v>32.0</v>
      </c>
      <c r="Q52" s="22">
        <v>6.03</v>
      </c>
      <c r="R52" s="22">
        <v>5.92</v>
      </c>
      <c r="S52" s="19">
        <v>0.0</v>
      </c>
      <c r="T52" s="19">
        <v>0.0</v>
      </c>
      <c r="U52" s="11" t="s">
        <v>72</v>
      </c>
      <c r="V52" s="19">
        <v>5.0</v>
      </c>
      <c r="W52" s="19">
        <v>1.0</v>
      </c>
      <c r="X52" s="19">
        <v>0.0</v>
      </c>
      <c r="Y52" s="22"/>
      <c r="Z52" s="22"/>
      <c r="AA52" s="19"/>
      <c r="AB52" s="19"/>
      <c r="AC52" s="11" t="s">
        <v>195</v>
      </c>
      <c r="AD52" s="11" t="s">
        <v>73</v>
      </c>
      <c r="AE52" s="22">
        <f t="shared" si="4"/>
        <v>5.92</v>
      </c>
      <c r="AF52" s="18" t="s">
        <v>463</v>
      </c>
      <c r="AG52" s="19">
        <v>0.0</v>
      </c>
      <c r="AH52" s="19">
        <f t="shared" si="5"/>
        <v>33</v>
      </c>
      <c r="AI52" s="18"/>
    </row>
    <row r="53" ht="15.75" customHeight="1">
      <c r="A53" s="25">
        <f t="shared" si="1"/>
        <v>50</v>
      </c>
      <c r="B53" s="27">
        <f>ROUND(Guida!$B$22*H53/Guida!$B$29+Guida!$B$23*MAX(0,MIN(1,(AE53-5.4)/1.6))+Guida!$B$24*0+Guida!$B$25*0,1)</f>
        <v>12.6</v>
      </c>
      <c r="C53" s="28" t="s">
        <v>467</v>
      </c>
      <c r="D53" s="25" t="s">
        <v>253</v>
      </c>
      <c r="E53" s="29" t="s">
        <v>137</v>
      </c>
      <c r="F53" s="30">
        <v>7.0</v>
      </c>
      <c r="G53" s="30">
        <v>7.0</v>
      </c>
      <c r="H53" s="30">
        <v>19.0</v>
      </c>
      <c r="I53" s="30">
        <f>MAX(1,ROUND(H53^Guida!$B$18*Guida!$F$12,0))</f>
        <v>7</v>
      </c>
      <c r="J53" s="30">
        <f t="shared" si="2"/>
        <v>8</v>
      </c>
      <c r="K53" s="25" t="str">
        <f t="shared" si="3"/>
        <v>3a fascia</v>
      </c>
      <c r="L53" s="25" t="s">
        <v>68</v>
      </c>
      <c r="M53" s="29" t="s">
        <v>148</v>
      </c>
      <c r="N53" s="25" t="s">
        <v>71</v>
      </c>
      <c r="O53" s="25" t="s">
        <v>71</v>
      </c>
      <c r="P53" s="30">
        <v>35.0</v>
      </c>
      <c r="Q53" s="32">
        <v>5.94</v>
      </c>
      <c r="R53" s="32">
        <v>5.9</v>
      </c>
      <c r="S53" s="30">
        <v>0.0</v>
      </c>
      <c r="T53" s="30">
        <v>0.0</v>
      </c>
      <c r="U53" s="25" t="s">
        <v>72</v>
      </c>
      <c r="V53" s="30">
        <v>3.0</v>
      </c>
      <c r="W53" s="30">
        <v>0.0</v>
      </c>
      <c r="X53" s="30">
        <v>1.0</v>
      </c>
      <c r="Y53" s="32">
        <v>6.0</v>
      </c>
      <c r="Z53" s="32">
        <v>6.0</v>
      </c>
      <c r="AA53" s="30">
        <v>0.0</v>
      </c>
      <c r="AB53" s="30">
        <v>0.0</v>
      </c>
      <c r="AC53" s="25" t="s">
        <v>253</v>
      </c>
      <c r="AD53" s="25" t="s">
        <v>73</v>
      </c>
      <c r="AE53" s="32">
        <f t="shared" si="4"/>
        <v>5.9</v>
      </c>
      <c r="AF53" s="29" t="s">
        <v>469</v>
      </c>
      <c r="AG53" s="30">
        <v>4.0</v>
      </c>
      <c r="AH53" s="30">
        <f t="shared" si="5"/>
        <v>44</v>
      </c>
      <c r="AI53" s="29"/>
    </row>
    <row r="54" ht="15.75" customHeight="1">
      <c r="A54" s="11">
        <f t="shared" si="1"/>
        <v>51</v>
      </c>
      <c r="B54" s="16">
        <f>ROUND(Guida!$B$22*H54/Guida!$B$29+Guida!$B$23*MAX(0,MIN(1,(AE54-5.4)/1.6))+Guida!$B$24*0+Guida!$B$25*0,1)</f>
        <v>12.5</v>
      </c>
      <c r="C54" s="17" t="s">
        <v>472</v>
      </c>
      <c r="D54" s="11" t="s">
        <v>175</v>
      </c>
      <c r="E54" s="18" t="s">
        <v>229</v>
      </c>
      <c r="F54" s="19">
        <v>3.0</v>
      </c>
      <c r="G54" s="19">
        <v>5.0</v>
      </c>
      <c r="H54" s="19">
        <v>20.0</v>
      </c>
      <c r="I54" s="19">
        <f>MAX(1,ROUND(H54^Guida!$B$18*Guida!$F$12,0))</f>
        <v>8</v>
      </c>
      <c r="J54" s="19">
        <f t="shared" si="2"/>
        <v>10</v>
      </c>
      <c r="K54" s="11" t="str">
        <f t="shared" si="3"/>
        <v>3a fascia</v>
      </c>
      <c r="L54" s="11" t="s">
        <v>226</v>
      </c>
      <c r="M54" s="18" t="s">
        <v>277</v>
      </c>
      <c r="N54" s="11" t="s">
        <v>71</v>
      </c>
      <c r="O54" s="11" t="s">
        <v>71</v>
      </c>
      <c r="P54" s="19">
        <v>24.0</v>
      </c>
      <c r="Q54" s="22">
        <v>5.75</v>
      </c>
      <c r="R54" s="22">
        <v>5.9</v>
      </c>
      <c r="S54" s="19">
        <v>1.0</v>
      </c>
      <c r="T54" s="19">
        <v>1.0</v>
      </c>
      <c r="U54" s="11" t="s">
        <v>72</v>
      </c>
      <c r="V54" s="19">
        <v>1.0</v>
      </c>
      <c r="W54" s="19">
        <v>0.0</v>
      </c>
      <c r="X54" s="19">
        <v>2.0</v>
      </c>
      <c r="Y54" s="22">
        <v>6.75</v>
      </c>
      <c r="Z54" s="22">
        <v>6.75</v>
      </c>
      <c r="AA54" s="19">
        <v>0.0</v>
      </c>
      <c r="AB54" s="19">
        <v>0.0</v>
      </c>
      <c r="AC54" s="11" t="s">
        <v>175</v>
      </c>
      <c r="AD54" s="11" t="s">
        <v>73</v>
      </c>
      <c r="AE54" s="22">
        <f t="shared" si="4"/>
        <v>5.88</v>
      </c>
      <c r="AF54" s="18" t="s">
        <v>469</v>
      </c>
      <c r="AG54" s="19">
        <v>0.0</v>
      </c>
      <c r="AH54" s="19">
        <f t="shared" si="5"/>
        <v>33</v>
      </c>
      <c r="AI54" s="18"/>
    </row>
    <row r="55" ht="15.75" customHeight="1">
      <c r="A55" s="25">
        <f t="shared" si="1"/>
        <v>52</v>
      </c>
      <c r="B55" s="27">
        <f>ROUND(Guida!$B$22*H55/Guida!$B$29+Guida!$B$23*MAX(0,MIN(1,(AE55-5.4)/1.6))+Guida!$B$24*0+Guida!$B$25*0,1)</f>
        <v>12.4</v>
      </c>
      <c r="C55" s="28" t="s">
        <v>478</v>
      </c>
      <c r="D55" s="25" t="s">
        <v>182</v>
      </c>
      <c r="E55" s="29" t="s">
        <v>249</v>
      </c>
      <c r="F55" s="30">
        <v>6.0</v>
      </c>
      <c r="G55" s="30">
        <v>7.0</v>
      </c>
      <c r="H55" s="30">
        <v>19.0</v>
      </c>
      <c r="I55" s="30">
        <f>MAX(1,ROUND(H55^Guida!$B$18*Guida!$F$12,0))</f>
        <v>7</v>
      </c>
      <c r="J55" s="30">
        <f t="shared" si="2"/>
        <v>8</v>
      </c>
      <c r="K55" s="25" t="str">
        <f t="shared" si="3"/>
        <v>3a fascia</v>
      </c>
      <c r="L55" s="25" t="s">
        <v>68</v>
      </c>
      <c r="M55" s="21" t="s">
        <v>70</v>
      </c>
      <c r="N55" s="25" t="s">
        <v>71</v>
      </c>
      <c r="O55" s="25" t="s">
        <v>71</v>
      </c>
      <c r="P55" s="30">
        <v>28.0</v>
      </c>
      <c r="Q55" s="32">
        <v>5.86</v>
      </c>
      <c r="R55" s="32">
        <v>5.89</v>
      </c>
      <c r="S55" s="30">
        <v>0.0</v>
      </c>
      <c r="T55" s="30">
        <v>2.0</v>
      </c>
      <c r="U55" s="25" t="s">
        <v>72</v>
      </c>
      <c r="V55" s="30">
        <v>2.0</v>
      </c>
      <c r="W55" s="30">
        <v>0.0</v>
      </c>
      <c r="X55" s="30">
        <v>2.0</v>
      </c>
      <c r="Y55" s="32">
        <v>6.0</v>
      </c>
      <c r="Z55" s="32">
        <v>6.0</v>
      </c>
      <c r="AA55" s="30">
        <v>0.0</v>
      </c>
      <c r="AB55" s="30">
        <v>0.0</v>
      </c>
      <c r="AC55" s="25" t="s">
        <v>182</v>
      </c>
      <c r="AD55" s="25" t="s">
        <v>73</v>
      </c>
      <c r="AE55" s="32">
        <f t="shared" si="4"/>
        <v>5.89</v>
      </c>
      <c r="AF55" s="29" t="s">
        <v>481</v>
      </c>
      <c r="AG55" s="30">
        <v>6.0</v>
      </c>
      <c r="AH55" s="30">
        <f t="shared" si="5"/>
        <v>44</v>
      </c>
      <c r="AI55" s="29"/>
    </row>
    <row r="56" ht="15.75" customHeight="1">
      <c r="A56" s="11">
        <f t="shared" si="1"/>
        <v>53</v>
      </c>
      <c r="B56" s="16">
        <f>ROUND(Guida!$B$22*H56/Guida!$B$29+Guida!$B$23*MAX(0,MIN(1,(AE56-5.4)/1.6))+Guida!$B$24*0+Guida!$B$25*0,1)</f>
        <v>12.2</v>
      </c>
      <c r="C56" s="17" t="s">
        <v>485</v>
      </c>
      <c r="D56" s="11" t="s">
        <v>232</v>
      </c>
      <c r="E56" s="18" t="s">
        <v>259</v>
      </c>
      <c r="F56" s="19">
        <v>6.0</v>
      </c>
      <c r="G56" s="19">
        <v>6.0</v>
      </c>
      <c r="H56" s="19">
        <v>12.0</v>
      </c>
      <c r="I56" s="19">
        <f>MAX(1,ROUND(H56^Guida!$B$18*Guida!$F$12,0))</f>
        <v>6</v>
      </c>
      <c r="J56" s="19">
        <f t="shared" si="2"/>
        <v>7</v>
      </c>
      <c r="K56" s="11" t="str">
        <f t="shared" si="3"/>
        <v>4a fascia</v>
      </c>
      <c r="L56" s="11" t="s">
        <v>68</v>
      </c>
      <c r="M56" s="18" t="s">
        <v>148</v>
      </c>
      <c r="N56" s="11" t="s">
        <v>71</v>
      </c>
      <c r="O56" s="11" t="s">
        <v>71</v>
      </c>
      <c r="P56" s="19">
        <v>37.0</v>
      </c>
      <c r="Q56" s="22">
        <v>5.95</v>
      </c>
      <c r="R56" s="22">
        <v>5.99</v>
      </c>
      <c r="S56" s="19">
        <v>0.0</v>
      </c>
      <c r="T56" s="19">
        <v>3.0</v>
      </c>
      <c r="U56" s="11" t="s">
        <v>72</v>
      </c>
      <c r="V56" s="19">
        <v>3.0</v>
      </c>
      <c r="W56" s="19">
        <v>0.0</v>
      </c>
      <c r="X56" s="19">
        <v>1.0</v>
      </c>
      <c r="Y56" s="22">
        <v>5.5</v>
      </c>
      <c r="Z56" s="22">
        <v>5.5</v>
      </c>
      <c r="AA56" s="19">
        <v>0.0</v>
      </c>
      <c r="AB56" s="19">
        <v>0.0</v>
      </c>
      <c r="AC56" s="11" t="s">
        <v>232</v>
      </c>
      <c r="AD56" s="11" t="s">
        <v>73</v>
      </c>
      <c r="AE56" s="22">
        <f t="shared" si="4"/>
        <v>5.99</v>
      </c>
      <c r="AF56" s="18" t="s">
        <v>417</v>
      </c>
      <c r="AG56" s="19">
        <v>4.0</v>
      </c>
      <c r="AH56" s="19">
        <f t="shared" si="5"/>
        <v>89</v>
      </c>
      <c r="AI56" s="18"/>
    </row>
    <row r="57" ht="15.75" customHeight="1">
      <c r="A57" s="25">
        <f t="shared" si="1"/>
        <v>54</v>
      </c>
      <c r="B57" s="27">
        <f>ROUND(Guida!$B$22*H57/Guida!$B$29+Guida!$B$23*MAX(0,MIN(1,(AE57-5.4)/1.6))+Guida!$B$24*0+Guida!$B$25*0,1)</f>
        <v>11.9</v>
      </c>
      <c r="C57" s="28" t="s">
        <v>488</v>
      </c>
      <c r="D57" s="25" t="s">
        <v>195</v>
      </c>
      <c r="E57" s="29" t="s">
        <v>259</v>
      </c>
      <c r="F57" s="30">
        <v>6.0</v>
      </c>
      <c r="G57" s="30">
        <v>7.0</v>
      </c>
      <c r="H57" s="30">
        <v>25.0</v>
      </c>
      <c r="I57" s="30">
        <f>MAX(1,ROUND(H57^Guida!$B$18*Guida!$F$12,0))</f>
        <v>9</v>
      </c>
      <c r="J57" s="30">
        <f t="shared" si="2"/>
        <v>11</v>
      </c>
      <c r="K57" s="25" t="str">
        <f t="shared" si="3"/>
        <v>3a fascia</v>
      </c>
      <c r="L57" s="25" t="s">
        <v>68</v>
      </c>
      <c r="M57" s="29" t="s">
        <v>148</v>
      </c>
      <c r="N57" s="25" t="s">
        <v>71</v>
      </c>
      <c r="O57" s="25" t="s">
        <v>71</v>
      </c>
      <c r="P57" s="30">
        <v>22.0</v>
      </c>
      <c r="Q57" s="32">
        <v>5.91</v>
      </c>
      <c r="R57" s="32">
        <v>5.8</v>
      </c>
      <c r="S57" s="30">
        <v>0.0</v>
      </c>
      <c r="T57" s="30">
        <v>0.0</v>
      </c>
      <c r="U57" s="25" t="s">
        <v>72</v>
      </c>
      <c r="V57" s="30">
        <v>5.0</v>
      </c>
      <c r="W57" s="30">
        <v>0.0</v>
      </c>
      <c r="X57" s="30">
        <v>1.0</v>
      </c>
      <c r="Y57" s="32">
        <v>6.5</v>
      </c>
      <c r="Z57" s="32">
        <v>7.5</v>
      </c>
      <c r="AA57" s="30">
        <v>0.0</v>
      </c>
      <c r="AB57" s="30">
        <v>1.0</v>
      </c>
      <c r="AC57" s="25" t="s">
        <v>195</v>
      </c>
      <c r="AD57" s="25" t="s">
        <v>73</v>
      </c>
      <c r="AE57" s="32">
        <f t="shared" si="4"/>
        <v>5.76</v>
      </c>
      <c r="AF57" s="29" t="s">
        <v>491</v>
      </c>
      <c r="AG57" s="30">
        <v>0.0</v>
      </c>
      <c r="AH57" s="30">
        <f t="shared" si="5"/>
        <v>24</v>
      </c>
      <c r="AI57" s="29"/>
    </row>
    <row r="58" ht="15.75" customHeight="1">
      <c r="A58" s="11">
        <f t="shared" si="1"/>
        <v>54</v>
      </c>
      <c r="B58" s="16">
        <f>ROUND(Guida!$B$22*H58/Guida!$B$29+Guida!$B$23*MAX(0,MIN(1,(AE58-5.4)/1.6))+Guida!$B$24*0+Guida!$B$25*0,1)</f>
        <v>11.9</v>
      </c>
      <c r="C58" s="17" t="s">
        <v>494</v>
      </c>
      <c r="D58" s="11" t="s">
        <v>93</v>
      </c>
      <c r="E58" s="18" t="s">
        <v>137</v>
      </c>
      <c r="F58" s="19">
        <v>8.0</v>
      </c>
      <c r="G58" s="19">
        <v>7.0</v>
      </c>
      <c r="H58" s="19">
        <v>17.0</v>
      </c>
      <c r="I58" s="19">
        <f>MAX(1,ROUND(H58^Guida!$B$18*Guida!$F$12,0))</f>
        <v>7</v>
      </c>
      <c r="J58" s="19">
        <f t="shared" si="2"/>
        <v>8</v>
      </c>
      <c r="K58" s="11" t="str">
        <f t="shared" si="3"/>
        <v>3a fascia</v>
      </c>
      <c r="L58" s="11" t="s">
        <v>226</v>
      </c>
      <c r="M58" s="18" t="s">
        <v>495</v>
      </c>
      <c r="N58" s="11" t="s">
        <v>71</v>
      </c>
      <c r="O58" s="11" t="s">
        <v>71</v>
      </c>
      <c r="P58" s="19">
        <v>28.0</v>
      </c>
      <c r="Q58" s="22">
        <v>5.88</v>
      </c>
      <c r="R58" s="22">
        <v>5.89</v>
      </c>
      <c r="S58" s="19">
        <v>1.0</v>
      </c>
      <c r="T58" s="19">
        <v>0.0</v>
      </c>
      <c r="U58" s="11" t="s">
        <v>72</v>
      </c>
      <c r="V58" s="19">
        <v>5.0</v>
      </c>
      <c r="W58" s="19">
        <v>0.0</v>
      </c>
      <c r="X58" s="19">
        <v>1.0</v>
      </c>
      <c r="Y58" s="22">
        <v>5.5</v>
      </c>
      <c r="Z58" s="22">
        <v>5.0</v>
      </c>
      <c r="AA58" s="19">
        <v>0.0</v>
      </c>
      <c r="AB58" s="19">
        <v>0.0</v>
      </c>
      <c r="AC58" s="11" t="s">
        <v>182</v>
      </c>
      <c r="AD58" s="11" t="s">
        <v>103</v>
      </c>
      <c r="AE58" s="22">
        <f t="shared" si="4"/>
        <v>5.89</v>
      </c>
      <c r="AF58" s="18" t="s">
        <v>230</v>
      </c>
      <c r="AG58" s="19">
        <v>0.0</v>
      </c>
      <c r="AH58" s="19">
        <f t="shared" si="5"/>
        <v>53</v>
      </c>
      <c r="AI58" s="18"/>
    </row>
    <row r="59" ht="15.75" customHeight="1">
      <c r="A59" s="25">
        <f t="shared" si="1"/>
        <v>56</v>
      </c>
      <c r="B59" s="27">
        <f>ROUND(Guida!$B$22*H59/Guida!$B$29+Guida!$B$23*MAX(0,MIN(1,(AE59-5.4)/1.6))+Guida!$B$24*0+Guida!$B$25*0,1)</f>
        <v>11.5</v>
      </c>
      <c r="C59" s="28" t="s">
        <v>499</v>
      </c>
      <c r="D59" s="25" t="s">
        <v>212</v>
      </c>
      <c r="E59" s="29" t="s">
        <v>137</v>
      </c>
      <c r="F59" s="30">
        <v>7.0</v>
      </c>
      <c r="G59" s="30">
        <v>7.0</v>
      </c>
      <c r="H59" s="30">
        <v>14.0</v>
      </c>
      <c r="I59" s="30">
        <f>MAX(1,ROUND(H59^Guida!$B$18*Guida!$F$12,0))</f>
        <v>6</v>
      </c>
      <c r="J59" s="30">
        <f t="shared" si="2"/>
        <v>7</v>
      </c>
      <c r="K59" s="25" t="str">
        <f t="shared" si="3"/>
        <v>4a fascia</v>
      </c>
      <c r="L59" s="25" t="s">
        <v>68</v>
      </c>
      <c r="M59" s="21" t="s">
        <v>70</v>
      </c>
      <c r="N59" s="25" t="s">
        <v>71</v>
      </c>
      <c r="O59" s="25" t="s">
        <v>71</v>
      </c>
      <c r="P59" s="30">
        <v>35.0</v>
      </c>
      <c r="Q59" s="32">
        <v>5.84</v>
      </c>
      <c r="R59" s="32">
        <v>5.91</v>
      </c>
      <c r="S59" s="30">
        <v>1.0</v>
      </c>
      <c r="T59" s="30">
        <v>1.0</v>
      </c>
      <c r="U59" s="25" t="s">
        <v>72</v>
      </c>
      <c r="V59" s="30">
        <v>3.0</v>
      </c>
      <c r="W59" s="30">
        <v>0.0</v>
      </c>
      <c r="X59" s="30">
        <v>2.0</v>
      </c>
      <c r="Y59" s="32">
        <v>5.75</v>
      </c>
      <c r="Z59" s="32">
        <v>5.75</v>
      </c>
      <c r="AA59" s="30">
        <v>0.0</v>
      </c>
      <c r="AB59" s="30">
        <v>0.0</v>
      </c>
      <c r="AC59" s="25" t="s">
        <v>212</v>
      </c>
      <c r="AD59" s="25" t="s">
        <v>73</v>
      </c>
      <c r="AE59" s="32">
        <f t="shared" si="4"/>
        <v>5.91</v>
      </c>
      <c r="AF59" s="29" t="s">
        <v>501</v>
      </c>
      <c r="AG59" s="30">
        <v>0.0</v>
      </c>
      <c r="AH59" s="30">
        <f t="shared" si="5"/>
        <v>68</v>
      </c>
      <c r="AI59" s="29"/>
    </row>
    <row r="60" ht="15.75" customHeight="1">
      <c r="A60" s="11">
        <f t="shared" si="1"/>
        <v>57</v>
      </c>
      <c r="B60" s="16">
        <f>ROUND(Guida!$B$22*H60/Guida!$B$29+Guida!$B$23*MAX(0,MIN(1,(AE60-5.4)/1.6))+Guida!$B$24*0+Guida!$B$25*0,1)</f>
        <v>11.3</v>
      </c>
      <c r="C60" s="17" t="s">
        <v>503</v>
      </c>
      <c r="D60" s="11" t="s">
        <v>191</v>
      </c>
      <c r="E60" s="18" t="s">
        <v>137</v>
      </c>
      <c r="F60" s="19">
        <v>7.0</v>
      </c>
      <c r="G60" s="19">
        <v>6.0</v>
      </c>
      <c r="H60" s="19">
        <v>15.0</v>
      </c>
      <c r="I60" s="19">
        <f>MAX(1,ROUND(H60^Guida!$B$18*Guida!$F$12,0))</f>
        <v>6</v>
      </c>
      <c r="J60" s="19">
        <f t="shared" si="2"/>
        <v>7</v>
      </c>
      <c r="K60" s="11" t="str">
        <f t="shared" si="3"/>
        <v>4a fascia</v>
      </c>
      <c r="L60" s="11" t="s">
        <v>226</v>
      </c>
      <c r="M60" s="36" t="s">
        <v>457</v>
      </c>
      <c r="N60" s="11" t="s">
        <v>71</v>
      </c>
      <c r="O60" s="11" t="s">
        <v>71</v>
      </c>
      <c r="P60" s="19">
        <v>32.0</v>
      </c>
      <c r="Q60" s="22">
        <v>5.89</v>
      </c>
      <c r="R60" s="22">
        <v>5.88</v>
      </c>
      <c r="S60" s="19">
        <v>0.0</v>
      </c>
      <c r="T60" s="19">
        <v>1.0</v>
      </c>
      <c r="U60" s="11" t="s">
        <v>72</v>
      </c>
      <c r="V60" s="19">
        <v>3.0</v>
      </c>
      <c r="W60" s="19">
        <v>0.0</v>
      </c>
      <c r="X60" s="19">
        <v>0.0</v>
      </c>
      <c r="Y60" s="22"/>
      <c r="Z60" s="22"/>
      <c r="AA60" s="19"/>
      <c r="AB60" s="19"/>
      <c r="AC60" s="11" t="s">
        <v>191</v>
      </c>
      <c r="AD60" s="11" t="s">
        <v>73</v>
      </c>
      <c r="AE60" s="22">
        <f t="shared" si="4"/>
        <v>5.88</v>
      </c>
      <c r="AF60" s="18" t="s">
        <v>491</v>
      </c>
      <c r="AG60" s="19">
        <v>3.0</v>
      </c>
      <c r="AH60" s="19">
        <f t="shared" si="5"/>
        <v>58</v>
      </c>
      <c r="AI60" s="18" t="s">
        <v>506</v>
      </c>
    </row>
    <row r="61" ht="15.75" customHeight="1">
      <c r="A61" s="25">
        <f t="shared" si="1"/>
        <v>57</v>
      </c>
      <c r="B61" s="27">
        <f>ROUND(Guida!$B$22*H61/Guida!$B$29+Guida!$B$23*MAX(0,MIN(1,(AE61-5.4)/1.6))+Guida!$B$24*0+Guida!$B$25*0,1)</f>
        <v>11.3</v>
      </c>
      <c r="C61" s="28" t="s">
        <v>508</v>
      </c>
      <c r="D61" s="25" t="s">
        <v>93</v>
      </c>
      <c r="E61" s="29" t="s">
        <v>137</v>
      </c>
      <c r="F61" s="30">
        <v>4.0</v>
      </c>
      <c r="G61" s="30">
        <v>4.0</v>
      </c>
      <c r="H61" s="30">
        <v>10.0</v>
      </c>
      <c r="I61" s="30">
        <f>MAX(1,ROUND(H61^Guida!$B$18*Guida!$F$12,0))</f>
        <v>5</v>
      </c>
      <c r="J61" s="30">
        <f t="shared" si="2"/>
        <v>6</v>
      </c>
      <c r="K61" s="25" t="str">
        <f t="shared" si="3"/>
        <v>4a fascia</v>
      </c>
      <c r="L61" s="25" t="s">
        <v>332</v>
      </c>
      <c r="M61" s="29" t="s">
        <v>333</v>
      </c>
      <c r="N61" s="25" t="s">
        <v>71</v>
      </c>
      <c r="O61" s="25" t="s">
        <v>71</v>
      </c>
      <c r="P61" s="30">
        <v>16.0</v>
      </c>
      <c r="Q61" s="32">
        <v>5.94</v>
      </c>
      <c r="R61" s="32">
        <v>6.22</v>
      </c>
      <c r="S61" s="30">
        <v>2.0</v>
      </c>
      <c r="T61" s="30">
        <v>0.0</v>
      </c>
      <c r="U61" s="25" t="s">
        <v>72</v>
      </c>
      <c r="V61" s="30">
        <v>3.0</v>
      </c>
      <c r="W61" s="30">
        <v>0.0</v>
      </c>
      <c r="X61" s="30">
        <v>0.0</v>
      </c>
      <c r="Y61" s="32"/>
      <c r="Z61" s="32"/>
      <c r="AA61" s="30"/>
      <c r="AB61" s="30"/>
      <c r="AC61" s="25" t="s">
        <v>93</v>
      </c>
      <c r="AD61" s="25" t="s">
        <v>73</v>
      </c>
      <c r="AE61" s="32">
        <f t="shared" si="4"/>
        <v>5.96</v>
      </c>
      <c r="AF61" s="29" t="s">
        <v>230</v>
      </c>
      <c r="AG61" s="30">
        <v>0.0</v>
      </c>
      <c r="AH61" s="30">
        <f t="shared" si="5"/>
        <v>114</v>
      </c>
      <c r="AI61" s="29"/>
    </row>
    <row r="62" ht="15.75" customHeight="1">
      <c r="A62" s="11">
        <f t="shared" si="1"/>
        <v>59</v>
      </c>
      <c r="B62" s="16">
        <f>ROUND(Guida!$B$22*H62/Guida!$B$29+Guida!$B$23*MAX(0,MIN(1,(AE62-5.4)/1.6))+Guida!$B$24*0+Guida!$B$25*0,1)</f>
        <v>10.9</v>
      </c>
      <c r="C62" s="17" t="s">
        <v>513</v>
      </c>
      <c r="D62" s="11" t="s">
        <v>208</v>
      </c>
      <c r="E62" s="18" t="s">
        <v>259</v>
      </c>
      <c r="F62" s="19">
        <v>5.0</v>
      </c>
      <c r="G62" s="19">
        <v>4.0</v>
      </c>
      <c r="H62" s="19">
        <v>10.0</v>
      </c>
      <c r="I62" s="19">
        <f>MAX(1,ROUND(H62^Guida!$B$18*Guida!$F$12,0))</f>
        <v>5</v>
      </c>
      <c r="J62" s="19">
        <f t="shared" si="2"/>
        <v>6</v>
      </c>
      <c r="K62" s="11" t="str">
        <f t="shared" si="3"/>
        <v>4a fascia</v>
      </c>
      <c r="L62" s="11" t="s">
        <v>226</v>
      </c>
      <c r="M62" s="36" t="s">
        <v>457</v>
      </c>
      <c r="N62" s="11" t="s">
        <v>71</v>
      </c>
      <c r="O62" s="11" t="s">
        <v>71</v>
      </c>
      <c r="P62" s="19">
        <v>23.0</v>
      </c>
      <c r="Q62" s="22">
        <v>6.02</v>
      </c>
      <c r="R62" s="22">
        <v>5.98</v>
      </c>
      <c r="S62" s="19">
        <v>1.0</v>
      </c>
      <c r="T62" s="19">
        <v>1.0</v>
      </c>
      <c r="U62" s="11" t="s">
        <v>72</v>
      </c>
      <c r="V62" s="19">
        <v>6.0</v>
      </c>
      <c r="W62" s="19">
        <v>0.0</v>
      </c>
      <c r="X62" s="19">
        <v>0.0</v>
      </c>
      <c r="Y62" s="22"/>
      <c r="Z62" s="22"/>
      <c r="AA62" s="19"/>
      <c r="AB62" s="19"/>
      <c r="AC62" s="11" t="s">
        <v>208</v>
      </c>
      <c r="AD62" s="11" t="s">
        <v>73</v>
      </c>
      <c r="AE62" s="22">
        <f t="shared" si="4"/>
        <v>5.94</v>
      </c>
      <c r="AF62" s="18" t="s">
        <v>412</v>
      </c>
      <c r="AG62" s="19">
        <v>6.0</v>
      </c>
      <c r="AH62" s="19">
        <f t="shared" si="5"/>
        <v>114</v>
      </c>
      <c r="AI62" s="18" t="s">
        <v>515</v>
      </c>
    </row>
    <row r="63" ht="15.75" customHeight="1">
      <c r="A63" s="25">
        <f t="shared" si="1"/>
        <v>60</v>
      </c>
      <c r="B63" s="27">
        <f>ROUND(Guida!$B$22*H63/Guida!$B$29+Guida!$B$23*MAX(0,MIN(1,(AE63-5.4)/1.6))+Guida!$B$24*0+Guida!$B$25*0,1)</f>
        <v>10.8</v>
      </c>
      <c r="C63" s="28" t="s">
        <v>518</v>
      </c>
      <c r="D63" s="25" t="s">
        <v>64</v>
      </c>
      <c r="E63" s="29" t="s">
        <v>104</v>
      </c>
      <c r="F63" s="30">
        <v>12.0</v>
      </c>
      <c r="G63" s="30">
        <v>11.0</v>
      </c>
      <c r="H63" s="30">
        <v>37.0</v>
      </c>
      <c r="I63" s="30">
        <f>MAX(1,ROUND(H63^Guida!$B$18*Guida!$F$12,0))</f>
        <v>11</v>
      </c>
      <c r="J63" s="30">
        <f t="shared" si="2"/>
        <v>13</v>
      </c>
      <c r="K63" s="25" t="str">
        <f t="shared" si="3"/>
        <v>3a fascia</v>
      </c>
      <c r="L63" s="25" t="s">
        <v>226</v>
      </c>
      <c r="M63" s="29" t="s">
        <v>227</v>
      </c>
      <c r="N63" s="25" t="s">
        <v>71</v>
      </c>
      <c r="O63" s="25" t="s">
        <v>71</v>
      </c>
      <c r="P63" s="30"/>
      <c r="Q63" s="32"/>
      <c r="R63" s="32"/>
      <c r="S63" s="30"/>
      <c r="T63" s="30"/>
      <c r="U63" s="25"/>
      <c r="V63" s="30"/>
      <c r="W63" s="30"/>
      <c r="X63" s="30">
        <v>0.0</v>
      </c>
      <c r="Y63" s="32"/>
      <c r="Z63" s="32"/>
      <c r="AA63" s="30"/>
      <c r="AB63" s="30"/>
      <c r="AC63" s="25" t="s">
        <v>71</v>
      </c>
      <c r="AD63" s="25" t="s">
        <v>103</v>
      </c>
      <c r="AE63" s="32">
        <f t="shared" si="4"/>
        <v>5.5</v>
      </c>
      <c r="AF63" s="29" t="s">
        <v>520</v>
      </c>
      <c r="AG63" s="30">
        <v>0.0</v>
      </c>
      <c r="AH63" s="30">
        <f t="shared" si="5"/>
        <v>15</v>
      </c>
      <c r="AI63" s="29"/>
    </row>
    <row r="64" ht="15.75" customHeight="1">
      <c r="A64" s="11">
        <f t="shared" si="1"/>
        <v>60</v>
      </c>
      <c r="B64" s="16">
        <f>ROUND(Guida!$B$22*H64/Guida!$B$29+Guida!$B$23*MAX(0,MIN(1,(AE64-5.4)/1.6))+Guida!$B$24*0+Guida!$B$25*0,1)</f>
        <v>10.8</v>
      </c>
      <c r="C64" s="17" t="s">
        <v>523</v>
      </c>
      <c r="D64" s="11" t="s">
        <v>212</v>
      </c>
      <c r="E64" s="18" t="s">
        <v>137</v>
      </c>
      <c r="F64" s="19">
        <v>7.0</v>
      </c>
      <c r="G64" s="19">
        <v>7.0</v>
      </c>
      <c r="H64" s="19">
        <v>13.0</v>
      </c>
      <c r="I64" s="19">
        <f>MAX(1,ROUND(H64^Guida!$B$18*Guida!$F$12,0))</f>
        <v>6</v>
      </c>
      <c r="J64" s="19">
        <f t="shared" si="2"/>
        <v>7</v>
      </c>
      <c r="K64" s="11" t="str">
        <f t="shared" si="3"/>
        <v>4a fascia</v>
      </c>
      <c r="L64" s="11" t="s">
        <v>68</v>
      </c>
      <c r="M64" s="21" t="s">
        <v>70</v>
      </c>
      <c r="N64" s="11" t="s">
        <v>71</v>
      </c>
      <c r="O64" s="11" t="s">
        <v>71</v>
      </c>
      <c r="P64" s="19">
        <v>24.0</v>
      </c>
      <c r="Q64" s="22">
        <v>5.92</v>
      </c>
      <c r="R64" s="22">
        <v>5.9</v>
      </c>
      <c r="S64" s="19">
        <v>0.0</v>
      </c>
      <c r="T64" s="19">
        <v>2.0</v>
      </c>
      <c r="U64" s="11" t="s">
        <v>72</v>
      </c>
      <c r="V64" s="19">
        <v>5.0</v>
      </c>
      <c r="W64" s="19">
        <v>0.0</v>
      </c>
      <c r="X64" s="19">
        <v>2.0</v>
      </c>
      <c r="Y64" s="22">
        <v>6.0</v>
      </c>
      <c r="Z64" s="22">
        <v>6.0</v>
      </c>
      <c r="AA64" s="19">
        <v>0.0</v>
      </c>
      <c r="AB64" s="19">
        <v>0.0</v>
      </c>
      <c r="AC64" s="11" t="s">
        <v>212</v>
      </c>
      <c r="AD64" s="11" t="s">
        <v>73</v>
      </c>
      <c r="AE64" s="22">
        <f t="shared" si="4"/>
        <v>5.88</v>
      </c>
      <c r="AF64" s="18" t="s">
        <v>501</v>
      </c>
      <c r="AG64" s="19">
        <v>0.0</v>
      </c>
      <c r="AH64" s="19">
        <f t="shared" si="5"/>
        <v>76</v>
      </c>
      <c r="AI64" s="18"/>
    </row>
    <row r="65" ht="15.75" customHeight="1">
      <c r="A65" s="25">
        <f t="shared" si="1"/>
        <v>62</v>
      </c>
      <c r="B65" s="27">
        <f>ROUND(Guida!$B$22*H65/Guida!$B$29+Guida!$B$23*MAX(0,MIN(1,(AE65-5.4)/1.6))+Guida!$B$24*0+Guida!$B$25*0,1)</f>
        <v>10.6</v>
      </c>
      <c r="C65" s="28" t="s">
        <v>526</v>
      </c>
      <c r="D65" s="25" t="s">
        <v>175</v>
      </c>
      <c r="E65" s="29" t="s">
        <v>137</v>
      </c>
      <c r="F65" s="30">
        <v>7.0</v>
      </c>
      <c r="G65" s="30">
        <v>7.0</v>
      </c>
      <c r="H65" s="30">
        <v>15.0</v>
      </c>
      <c r="I65" s="30">
        <f>MAX(1,ROUND(H65^Guida!$B$18*Guida!$F$12,0))</f>
        <v>6</v>
      </c>
      <c r="J65" s="30">
        <f t="shared" si="2"/>
        <v>7</v>
      </c>
      <c r="K65" s="25" t="str">
        <f t="shared" si="3"/>
        <v>4a fascia</v>
      </c>
      <c r="L65" s="25" t="s">
        <v>68</v>
      </c>
      <c r="M65" s="29" t="s">
        <v>148</v>
      </c>
      <c r="N65" s="25" t="s">
        <v>71</v>
      </c>
      <c r="O65" s="25" t="s">
        <v>71</v>
      </c>
      <c r="P65" s="30">
        <v>29.0</v>
      </c>
      <c r="Q65" s="32">
        <v>5.91</v>
      </c>
      <c r="R65" s="32">
        <v>5.84</v>
      </c>
      <c r="S65" s="30">
        <v>0.0</v>
      </c>
      <c r="T65" s="30">
        <v>0.0</v>
      </c>
      <c r="U65" s="25" t="s">
        <v>72</v>
      </c>
      <c r="V65" s="30">
        <v>4.0</v>
      </c>
      <c r="W65" s="30">
        <v>0.0</v>
      </c>
      <c r="X65" s="30">
        <v>1.0</v>
      </c>
      <c r="Y65" s="32">
        <v>6.0</v>
      </c>
      <c r="Z65" s="32">
        <v>6.0</v>
      </c>
      <c r="AA65" s="30">
        <v>0.0</v>
      </c>
      <c r="AB65" s="30">
        <v>0.0</v>
      </c>
      <c r="AC65" s="25" t="s">
        <v>175</v>
      </c>
      <c r="AD65" s="25" t="s">
        <v>73</v>
      </c>
      <c r="AE65" s="32">
        <f t="shared" si="4"/>
        <v>5.84</v>
      </c>
      <c r="AF65" s="29" t="s">
        <v>528</v>
      </c>
      <c r="AG65" s="30">
        <v>0.0</v>
      </c>
      <c r="AH65" s="30">
        <f t="shared" si="5"/>
        <v>58</v>
      </c>
      <c r="AI65" s="29"/>
    </row>
    <row r="66" ht="15.75" customHeight="1">
      <c r="A66" s="11">
        <f t="shared" si="1"/>
        <v>63</v>
      </c>
      <c r="B66" s="16">
        <f>ROUND(Guida!$B$22*H66/Guida!$B$29+Guida!$B$23*MAX(0,MIN(1,(AE66-5.4)/1.6))+Guida!$B$24*0+Guida!$B$25*0,1)</f>
        <v>10.5</v>
      </c>
      <c r="C66" s="17" t="s">
        <v>532</v>
      </c>
      <c r="D66" s="11" t="s">
        <v>143</v>
      </c>
      <c r="E66" s="18" t="s">
        <v>229</v>
      </c>
      <c r="F66" s="19">
        <v>3.0</v>
      </c>
      <c r="G66" s="19">
        <v>4.0</v>
      </c>
      <c r="H66" s="19">
        <v>12.0</v>
      </c>
      <c r="I66" s="19">
        <f>MAX(1,ROUND(H66^Guida!$B$18*Guida!$F$12,0))</f>
        <v>6</v>
      </c>
      <c r="J66" s="19">
        <f t="shared" si="2"/>
        <v>7</v>
      </c>
      <c r="K66" s="11" t="str">
        <f t="shared" si="3"/>
        <v>4a fascia</v>
      </c>
      <c r="L66" s="11" t="s">
        <v>332</v>
      </c>
      <c r="M66" s="18" t="s">
        <v>392</v>
      </c>
      <c r="N66" s="11" t="s">
        <v>71</v>
      </c>
      <c r="O66" s="11" t="s">
        <v>71</v>
      </c>
      <c r="P66" s="19">
        <v>16.0</v>
      </c>
      <c r="Q66" s="22">
        <v>5.94</v>
      </c>
      <c r="R66" s="22">
        <v>6.09</v>
      </c>
      <c r="S66" s="19">
        <v>1.0</v>
      </c>
      <c r="T66" s="19">
        <v>0.0</v>
      </c>
      <c r="U66" s="11" t="s">
        <v>72</v>
      </c>
      <c r="V66" s="19">
        <v>1.0</v>
      </c>
      <c r="W66" s="19">
        <v>0.0</v>
      </c>
      <c r="X66" s="19">
        <v>2.0</v>
      </c>
      <c r="Y66" s="22">
        <v>5.75</v>
      </c>
      <c r="Z66" s="22">
        <v>5.75</v>
      </c>
      <c r="AA66" s="19">
        <v>0.0</v>
      </c>
      <c r="AB66" s="19">
        <v>0.0</v>
      </c>
      <c r="AC66" s="11" t="s">
        <v>143</v>
      </c>
      <c r="AD66" s="11" t="s">
        <v>73</v>
      </c>
      <c r="AE66" s="22">
        <f t="shared" si="4"/>
        <v>5.88</v>
      </c>
      <c r="AF66" s="18" t="s">
        <v>534</v>
      </c>
      <c r="AG66" s="19">
        <v>6.0</v>
      </c>
      <c r="AH66" s="19">
        <f t="shared" si="5"/>
        <v>89</v>
      </c>
      <c r="AI66" s="18"/>
    </row>
    <row r="67" ht="15.75" customHeight="1">
      <c r="A67" s="25">
        <f t="shared" si="1"/>
        <v>64</v>
      </c>
      <c r="B67" s="27">
        <f>ROUND(Guida!$B$22*H67/Guida!$B$29+Guida!$B$23*MAX(0,MIN(1,(AE67-5.4)/1.6))+Guida!$B$24*0+Guida!$B$25*0,1)</f>
        <v>10.4</v>
      </c>
      <c r="C67" s="28" t="s">
        <v>536</v>
      </c>
      <c r="D67" s="25" t="s">
        <v>177</v>
      </c>
      <c r="E67" s="29" t="s">
        <v>137</v>
      </c>
      <c r="F67" s="30">
        <v>6.0</v>
      </c>
      <c r="G67" s="30">
        <v>6.0</v>
      </c>
      <c r="H67" s="30">
        <v>14.0</v>
      </c>
      <c r="I67" s="30">
        <f>MAX(1,ROUND(H67^Guida!$B$18*Guida!$F$12,0))</f>
        <v>6</v>
      </c>
      <c r="J67" s="30">
        <f t="shared" si="2"/>
        <v>7</v>
      </c>
      <c r="K67" s="25" t="str">
        <f t="shared" si="3"/>
        <v>4a fascia</v>
      </c>
      <c r="L67" s="25" t="s">
        <v>68</v>
      </c>
      <c r="M67" s="21" t="s">
        <v>70</v>
      </c>
      <c r="N67" s="25" t="s">
        <v>71</v>
      </c>
      <c r="O67" s="25" t="s">
        <v>71</v>
      </c>
      <c r="P67" s="30">
        <v>31.0</v>
      </c>
      <c r="Q67" s="32">
        <v>5.87</v>
      </c>
      <c r="R67" s="32">
        <v>5.84</v>
      </c>
      <c r="S67" s="30">
        <v>0.0</v>
      </c>
      <c r="T67" s="30">
        <v>1.0</v>
      </c>
      <c r="U67" s="25" t="s">
        <v>72</v>
      </c>
      <c r="V67" s="30">
        <v>4.0</v>
      </c>
      <c r="W67" s="30">
        <v>0.0</v>
      </c>
      <c r="X67" s="30">
        <v>2.0</v>
      </c>
      <c r="Y67" s="32">
        <v>5.75</v>
      </c>
      <c r="Z67" s="32">
        <v>5.75</v>
      </c>
      <c r="AA67" s="30">
        <v>0.0</v>
      </c>
      <c r="AB67" s="30">
        <v>0.0</v>
      </c>
      <c r="AC67" s="25" t="s">
        <v>177</v>
      </c>
      <c r="AD67" s="25" t="s">
        <v>73</v>
      </c>
      <c r="AE67" s="32">
        <f t="shared" si="4"/>
        <v>5.84</v>
      </c>
      <c r="AF67" s="29" t="s">
        <v>501</v>
      </c>
      <c r="AG67" s="30">
        <v>5.0</v>
      </c>
      <c r="AH67" s="30">
        <f t="shared" si="5"/>
        <v>68</v>
      </c>
      <c r="AI67" s="29"/>
    </row>
    <row r="68" ht="15.75" customHeight="1">
      <c r="A68" s="11">
        <f t="shared" si="1"/>
        <v>65</v>
      </c>
      <c r="B68" s="16">
        <f>ROUND(Guida!$B$22*H68/Guida!$B$29+Guida!$B$23*MAX(0,MIN(1,(AE68-5.4)/1.6))+Guida!$B$24*0+Guida!$B$25*0,1)</f>
        <v>10.3</v>
      </c>
      <c r="C68" s="17" t="s">
        <v>540</v>
      </c>
      <c r="D68" s="11" t="s">
        <v>239</v>
      </c>
      <c r="E68" s="18" t="s">
        <v>377</v>
      </c>
      <c r="F68" s="19">
        <v>7.0</v>
      </c>
      <c r="G68" s="19">
        <v>7.0</v>
      </c>
      <c r="H68" s="19">
        <v>15.0</v>
      </c>
      <c r="I68" s="19">
        <f>MAX(1,ROUND(H68^Guida!$B$18*Guida!$F$12,0))</f>
        <v>6</v>
      </c>
      <c r="J68" s="19">
        <f t="shared" si="2"/>
        <v>7</v>
      </c>
      <c r="K68" s="11" t="str">
        <f t="shared" si="3"/>
        <v>4a fascia</v>
      </c>
      <c r="L68" s="11" t="s">
        <v>68</v>
      </c>
      <c r="M68" s="21" t="s">
        <v>70</v>
      </c>
      <c r="N68" s="11" t="s">
        <v>71</v>
      </c>
      <c r="O68" s="11" t="s">
        <v>71</v>
      </c>
      <c r="P68" s="19">
        <v>34.0</v>
      </c>
      <c r="Q68" s="22">
        <v>5.88</v>
      </c>
      <c r="R68" s="22">
        <v>5.82</v>
      </c>
      <c r="S68" s="19">
        <v>0.0</v>
      </c>
      <c r="T68" s="19">
        <v>3.0</v>
      </c>
      <c r="U68" s="11" t="s">
        <v>72</v>
      </c>
      <c r="V68" s="19">
        <v>8.0</v>
      </c>
      <c r="W68" s="19">
        <v>1.0</v>
      </c>
      <c r="X68" s="19">
        <v>2.0</v>
      </c>
      <c r="Y68" s="22">
        <v>5.75</v>
      </c>
      <c r="Z68" s="22">
        <v>5.75</v>
      </c>
      <c r="AA68" s="19">
        <v>0.0</v>
      </c>
      <c r="AB68" s="19">
        <v>0.0</v>
      </c>
      <c r="AC68" s="11" t="s">
        <v>239</v>
      </c>
      <c r="AD68" s="11" t="s">
        <v>73</v>
      </c>
      <c r="AE68" s="22">
        <f t="shared" si="4"/>
        <v>5.82</v>
      </c>
      <c r="AF68" s="18" t="s">
        <v>542</v>
      </c>
      <c r="AG68" s="19">
        <v>6.0</v>
      </c>
      <c r="AH68" s="19">
        <f t="shared" si="5"/>
        <v>58</v>
      </c>
      <c r="AI68" s="18"/>
    </row>
    <row r="69" ht="15.75" customHeight="1">
      <c r="A69" s="25">
        <f t="shared" si="1"/>
        <v>65</v>
      </c>
      <c r="B69" s="27">
        <f>ROUND(Guida!$B$22*H69/Guida!$B$29+Guida!$B$23*MAX(0,MIN(1,(AE69-5.4)/1.6))+Guida!$B$24*0+Guida!$B$25*0,1)</f>
        <v>10.3</v>
      </c>
      <c r="C69" s="28" t="s">
        <v>544</v>
      </c>
      <c r="D69" s="25" t="s">
        <v>185</v>
      </c>
      <c r="E69" s="29" t="s">
        <v>259</v>
      </c>
      <c r="F69" s="30">
        <v>6.0</v>
      </c>
      <c r="G69" s="30">
        <v>9.0</v>
      </c>
      <c r="H69" s="30">
        <v>12.0</v>
      </c>
      <c r="I69" s="30">
        <f>MAX(1,ROUND(H69^Guida!$B$18*Guida!$F$12,0))</f>
        <v>6</v>
      </c>
      <c r="J69" s="30">
        <f t="shared" si="2"/>
        <v>7</v>
      </c>
      <c r="K69" s="25" t="str">
        <f t="shared" si="3"/>
        <v>4a fascia</v>
      </c>
      <c r="L69" s="25" t="s">
        <v>68</v>
      </c>
      <c r="M69" s="21" t="s">
        <v>70</v>
      </c>
      <c r="N69" s="25" t="s">
        <v>71</v>
      </c>
      <c r="O69" s="25" t="s">
        <v>71</v>
      </c>
      <c r="P69" s="30">
        <v>26.0</v>
      </c>
      <c r="Q69" s="32">
        <v>5.88</v>
      </c>
      <c r="R69" s="32">
        <v>5.87</v>
      </c>
      <c r="S69" s="30">
        <v>0.0</v>
      </c>
      <c r="T69" s="30">
        <v>2.0</v>
      </c>
      <c r="U69" s="25" t="s">
        <v>72</v>
      </c>
      <c r="V69" s="30">
        <v>5.0</v>
      </c>
      <c r="W69" s="30">
        <v>0.0</v>
      </c>
      <c r="X69" s="30">
        <v>2.0</v>
      </c>
      <c r="Y69" s="32">
        <v>7.0</v>
      </c>
      <c r="Z69" s="32">
        <v>10.0</v>
      </c>
      <c r="AA69" s="30">
        <v>2.0</v>
      </c>
      <c r="AB69" s="30">
        <v>0.0</v>
      </c>
      <c r="AC69" s="25" t="s">
        <v>185</v>
      </c>
      <c r="AD69" s="25" t="s">
        <v>73</v>
      </c>
      <c r="AE69" s="32">
        <f t="shared" si="4"/>
        <v>5.87</v>
      </c>
      <c r="AF69" s="29" t="s">
        <v>520</v>
      </c>
      <c r="AG69" s="30">
        <v>7.0</v>
      </c>
      <c r="AH69" s="30">
        <f t="shared" si="5"/>
        <v>89</v>
      </c>
      <c r="AI69" s="29"/>
    </row>
    <row r="70" ht="15.75" customHeight="1">
      <c r="A70" s="11">
        <f t="shared" si="1"/>
        <v>67</v>
      </c>
      <c r="B70" s="16">
        <f>ROUND(Guida!$B$22*H70/Guida!$B$29+Guida!$B$23*MAX(0,MIN(1,(AE70-5.4)/1.6))+Guida!$B$24*0+Guida!$B$25*0,1)</f>
        <v>10.2</v>
      </c>
      <c r="C70" s="17" t="s">
        <v>548</v>
      </c>
      <c r="D70" s="11" t="s">
        <v>143</v>
      </c>
      <c r="E70" s="18" t="s">
        <v>249</v>
      </c>
      <c r="F70" s="19">
        <v>6.0</v>
      </c>
      <c r="G70" s="19">
        <v>6.0</v>
      </c>
      <c r="H70" s="19">
        <v>17.0</v>
      </c>
      <c r="I70" s="19">
        <f>MAX(1,ROUND(H70^Guida!$B$18*Guida!$F$12,0))</f>
        <v>7</v>
      </c>
      <c r="J70" s="19">
        <f t="shared" si="2"/>
        <v>8</v>
      </c>
      <c r="K70" s="11" t="str">
        <f t="shared" si="3"/>
        <v>3a fascia</v>
      </c>
      <c r="L70" s="11" t="s">
        <v>226</v>
      </c>
      <c r="M70" s="18" t="s">
        <v>281</v>
      </c>
      <c r="N70" s="11" t="s">
        <v>71</v>
      </c>
      <c r="O70" s="11" t="s">
        <v>71</v>
      </c>
      <c r="P70" s="19">
        <v>22.0</v>
      </c>
      <c r="Q70" s="22">
        <v>5.82</v>
      </c>
      <c r="R70" s="22">
        <v>5.82</v>
      </c>
      <c r="S70" s="19">
        <v>0.0</v>
      </c>
      <c r="T70" s="19">
        <v>1.0</v>
      </c>
      <c r="U70" s="11" t="s">
        <v>72</v>
      </c>
      <c r="V70" s="19">
        <v>2.0</v>
      </c>
      <c r="W70" s="19">
        <v>0.0</v>
      </c>
      <c r="X70" s="19">
        <v>0.0</v>
      </c>
      <c r="Y70" s="22"/>
      <c r="Z70" s="22"/>
      <c r="AA70" s="19"/>
      <c r="AB70" s="19"/>
      <c r="AC70" s="11" t="s">
        <v>143</v>
      </c>
      <c r="AD70" s="11" t="s">
        <v>73</v>
      </c>
      <c r="AE70" s="22">
        <f t="shared" si="4"/>
        <v>5.78</v>
      </c>
      <c r="AF70" s="18" t="s">
        <v>549</v>
      </c>
      <c r="AG70" s="19">
        <v>6.0</v>
      </c>
      <c r="AH70" s="19">
        <f t="shared" si="5"/>
        <v>53</v>
      </c>
      <c r="AI70" s="18"/>
    </row>
    <row r="71" ht="15.75" customHeight="1">
      <c r="A71" s="25">
        <f t="shared" si="1"/>
        <v>68</v>
      </c>
      <c r="B71" s="27">
        <f>ROUND(Guida!$B$22*H71/Guida!$B$29+Guida!$B$23*MAX(0,MIN(1,(AE71-5.4)/1.6))+Guida!$B$24*0+Guida!$B$25*0,1)</f>
        <v>10</v>
      </c>
      <c r="C71" s="28" t="s">
        <v>552</v>
      </c>
      <c r="D71" s="25" t="s">
        <v>182</v>
      </c>
      <c r="E71" s="29" t="s">
        <v>324</v>
      </c>
      <c r="F71" s="30">
        <v>6.0</v>
      </c>
      <c r="G71" s="30">
        <v>6.0</v>
      </c>
      <c r="H71" s="30">
        <v>15.0</v>
      </c>
      <c r="I71" s="30">
        <f>MAX(1,ROUND(H71^Guida!$B$18*Guida!$F$12,0))</f>
        <v>6</v>
      </c>
      <c r="J71" s="30">
        <f t="shared" si="2"/>
        <v>7</v>
      </c>
      <c r="K71" s="25" t="str">
        <f t="shared" si="3"/>
        <v>4a fascia</v>
      </c>
      <c r="L71" s="25" t="s">
        <v>68</v>
      </c>
      <c r="M71" s="21" t="s">
        <v>70</v>
      </c>
      <c r="N71" s="25" t="s">
        <v>71</v>
      </c>
      <c r="O71" s="25" t="s">
        <v>71</v>
      </c>
      <c r="P71" s="30">
        <v>25.0</v>
      </c>
      <c r="Q71" s="32">
        <v>5.84</v>
      </c>
      <c r="R71" s="32">
        <v>5.8</v>
      </c>
      <c r="S71" s="30">
        <v>0.0</v>
      </c>
      <c r="T71" s="30">
        <v>0.0</v>
      </c>
      <c r="U71" s="25" t="s">
        <v>72</v>
      </c>
      <c r="V71" s="30">
        <v>0.0</v>
      </c>
      <c r="W71" s="30">
        <v>1.0</v>
      </c>
      <c r="X71" s="30">
        <v>2.0</v>
      </c>
      <c r="Y71" s="32">
        <v>5.5</v>
      </c>
      <c r="Z71" s="32">
        <v>5.25</v>
      </c>
      <c r="AA71" s="30">
        <v>0.0</v>
      </c>
      <c r="AB71" s="30">
        <v>0.0</v>
      </c>
      <c r="AC71" s="25" t="s">
        <v>182</v>
      </c>
      <c r="AD71" s="25" t="s">
        <v>73</v>
      </c>
      <c r="AE71" s="32">
        <f t="shared" si="4"/>
        <v>5.8</v>
      </c>
      <c r="AF71" s="29" t="s">
        <v>557</v>
      </c>
      <c r="AG71" s="30">
        <v>6.0</v>
      </c>
      <c r="AH71" s="30">
        <f t="shared" si="5"/>
        <v>58</v>
      </c>
      <c r="AI71" s="29"/>
    </row>
    <row r="72" ht="15.75" customHeight="1">
      <c r="A72" s="11">
        <f t="shared" si="1"/>
        <v>68</v>
      </c>
      <c r="B72" s="16">
        <f>ROUND(Guida!$B$22*H72/Guida!$B$29+Guida!$B$23*MAX(0,MIN(1,(AE72-5.4)/1.6))+Guida!$B$24*0+Guida!$B$25*0,1)</f>
        <v>10</v>
      </c>
      <c r="C72" s="17" t="s">
        <v>559</v>
      </c>
      <c r="D72" s="11" t="s">
        <v>60</v>
      </c>
      <c r="E72" s="18" t="s">
        <v>137</v>
      </c>
      <c r="F72" s="19">
        <v>4.0</v>
      </c>
      <c r="G72" s="19">
        <v>5.0</v>
      </c>
      <c r="H72" s="19">
        <v>10.0</v>
      </c>
      <c r="I72" s="19">
        <f>MAX(1,ROUND(H72^Guida!$B$18*Guida!$F$12,0))</f>
        <v>5</v>
      </c>
      <c r="J72" s="19">
        <f t="shared" si="2"/>
        <v>6</v>
      </c>
      <c r="K72" s="11" t="str">
        <f t="shared" si="3"/>
        <v>4a fascia</v>
      </c>
      <c r="L72" s="11" t="s">
        <v>332</v>
      </c>
      <c r="M72" s="18" t="s">
        <v>408</v>
      </c>
      <c r="N72" s="11" t="s">
        <v>71</v>
      </c>
      <c r="O72" s="11" t="s">
        <v>71</v>
      </c>
      <c r="P72" s="19">
        <v>21.0</v>
      </c>
      <c r="Q72" s="22">
        <v>5.98</v>
      </c>
      <c r="R72" s="22">
        <v>5.95</v>
      </c>
      <c r="S72" s="19">
        <v>0.0</v>
      </c>
      <c r="T72" s="19">
        <v>0.0</v>
      </c>
      <c r="U72" s="11" t="s">
        <v>72</v>
      </c>
      <c r="V72" s="19">
        <v>1.0</v>
      </c>
      <c r="W72" s="19">
        <v>0.0</v>
      </c>
      <c r="X72" s="19">
        <v>1.0</v>
      </c>
      <c r="Y72" s="22">
        <v>7.0</v>
      </c>
      <c r="Z72" s="22">
        <v>7.0</v>
      </c>
      <c r="AA72" s="19">
        <v>0.0</v>
      </c>
      <c r="AB72" s="19">
        <v>0.0</v>
      </c>
      <c r="AC72" s="11" t="s">
        <v>60</v>
      </c>
      <c r="AD72" s="11" t="s">
        <v>73</v>
      </c>
      <c r="AE72" s="22">
        <f t="shared" si="4"/>
        <v>5.88</v>
      </c>
      <c r="AF72" s="18" t="s">
        <v>245</v>
      </c>
      <c r="AG72" s="19">
        <v>0.0</v>
      </c>
      <c r="AH72" s="19">
        <f t="shared" si="5"/>
        <v>114</v>
      </c>
      <c r="AI72" s="18"/>
    </row>
    <row r="73" ht="15.75" customHeight="1">
      <c r="A73" s="25">
        <f t="shared" si="1"/>
        <v>70</v>
      </c>
      <c r="B73" s="27">
        <f>ROUND(Guida!$B$22*H73/Guida!$B$29+Guida!$B$23*MAX(0,MIN(1,(AE73-5.4)/1.6))+Guida!$B$24*0+Guida!$B$25*0,1)</f>
        <v>9.9</v>
      </c>
      <c r="C73" s="28" t="s">
        <v>562</v>
      </c>
      <c r="D73" s="25" t="s">
        <v>143</v>
      </c>
      <c r="E73" s="29" t="s">
        <v>137</v>
      </c>
      <c r="F73" s="30">
        <v>8.0</v>
      </c>
      <c r="G73" s="30">
        <v>7.0</v>
      </c>
      <c r="H73" s="30">
        <v>11.0</v>
      </c>
      <c r="I73" s="30">
        <f>MAX(1,ROUND(H73^Guida!$B$18*Guida!$F$12,0))</f>
        <v>5</v>
      </c>
      <c r="J73" s="30">
        <f t="shared" si="2"/>
        <v>6</v>
      </c>
      <c r="K73" s="25" t="str">
        <f t="shared" si="3"/>
        <v>4a fascia</v>
      </c>
      <c r="L73" s="25" t="s">
        <v>68</v>
      </c>
      <c r="M73" s="36" t="s">
        <v>457</v>
      </c>
      <c r="N73" s="25" t="s">
        <v>71</v>
      </c>
      <c r="O73" s="25" t="s">
        <v>71</v>
      </c>
      <c r="P73" s="30">
        <v>28.0</v>
      </c>
      <c r="Q73" s="32">
        <v>5.91</v>
      </c>
      <c r="R73" s="32">
        <v>5.86</v>
      </c>
      <c r="S73" s="30">
        <v>1.0</v>
      </c>
      <c r="T73" s="30">
        <v>0.0</v>
      </c>
      <c r="U73" s="25" t="s">
        <v>72</v>
      </c>
      <c r="V73" s="30">
        <v>5.0</v>
      </c>
      <c r="W73" s="30">
        <v>0.0</v>
      </c>
      <c r="X73" s="30">
        <v>0.0</v>
      </c>
      <c r="Y73" s="32"/>
      <c r="Z73" s="32"/>
      <c r="AA73" s="30"/>
      <c r="AB73" s="30"/>
      <c r="AC73" s="25" t="s">
        <v>143</v>
      </c>
      <c r="AD73" s="25" t="s">
        <v>73</v>
      </c>
      <c r="AE73" s="32">
        <f t="shared" si="4"/>
        <v>5.86</v>
      </c>
      <c r="AF73" s="29" t="s">
        <v>549</v>
      </c>
      <c r="AG73" s="30">
        <v>6.0</v>
      </c>
      <c r="AH73" s="30">
        <f t="shared" si="5"/>
        <v>108</v>
      </c>
      <c r="AI73" s="29" t="s">
        <v>565</v>
      </c>
    </row>
    <row r="74" ht="15.75" customHeight="1">
      <c r="A74" s="11">
        <f t="shared" si="1"/>
        <v>71</v>
      </c>
      <c r="B74" s="16">
        <f>ROUND(Guida!$B$22*H74/Guida!$B$29+Guida!$B$23*MAX(0,MIN(1,(AE74-5.4)/1.6))+Guida!$B$24*0+Guida!$B$25*0,1)</f>
        <v>9.8</v>
      </c>
      <c r="C74" s="17" t="s">
        <v>567</v>
      </c>
      <c r="D74" s="11" t="s">
        <v>195</v>
      </c>
      <c r="E74" s="18" t="s">
        <v>137</v>
      </c>
      <c r="F74" s="19">
        <v>3.0</v>
      </c>
      <c r="G74" s="19">
        <v>4.0</v>
      </c>
      <c r="H74" s="19">
        <v>13.0</v>
      </c>
      <c r="I74" s="19">
        <f>MAX(1,ROUND(H74^Guida!$B$18*Guida!$F$12,0))</f>
        <v>6</v>
      </c>
      <c r="J74" s="19">
        <f t="shared" si="2"/>
        <v>7</v>
      </c>
      <c r="K74" s="11" t="str">
        <f t="shared" si="3"/>
        <v>4a fascia</v>
      </c>
      <c r="L74" s="11" t="s">
        <v>332</v>
      </c>
      <c r="M74" s="18" t="s">
        <v>392</v>
      </c>
      <c r="N74" s="11" t="s">
        <v>71</v>
      </c>
      <c r="O74" s="11" t="s">
        <v>71</v>
      </c>
      <c r="P74" s="19">
        <v>23.0</v>
      </c>
      <c r="Q74" s="22">
        <v>5.91</v>
      </c>
      <c r="R74" s="22">
        <v>5.85</v>
      </c>
      <c r="S74" s="19">
        <v>0.0</v>
      </c>
      <c r="T74" s="19">
        <v>0.0</v>
      </c>
      <c r="U74" s="11" t="s">
        <v>72</v>
      </c>
      <c r="V74" s="19">
        <v>3.0</v>
      </c>
      <c r="W74" s="19">
        <v>0.0</v>
      </c>
      <c r="X74" s="19">
        <v>2.0</v>
      </c>
      <c r="Y74" s="22">
        <v>6.0</v>
      </c>
      <c r="Z74" s="22">
        <v>5.75</v>
      </c>
      <c r="AA74" s="19">
        <v>0.0</v>
      </c>
      <c r="AB74" s="19">
        <v>0.0</v>
      </c>
      <c r="AC74" s="11" t="s">
        <v>195</v>
      </c>
      <c r="AD74" s="11" t="s">
        <v>73</v>
      </c>
      <c r="AE74" s="22">
        <f t="shared" si="4"/>
        <v>5.82</v>
      </c>
      <c r="AF74" s="18" t="s">
        <v>568</v>
      </c>
      <c r="AG74" s="19">
        <v>0.0</v>
      </c>
      <c r="AH74" s="19">
        <f t="shared" si="5"/>
        <v>76</v>
      </c>
      <c r="AI74" s="18"/>
    </row>
    <row r="75" ht="15.75" customHeight="1">
      <c r="A75" s="25">
        <f t="shared" si="1"/>
        <v>72</v>
      </c>
      <c r="B75" s="27">
        <f>ROUND(Guida!$B$22*H75/Guida!$B$29+Guida!$B$23*MAX(0,MIN(1,(AE75-5.4)/1.6))+Guida!$B$24*0+Guida!$B$25*0,1)</f>
        <v>9.6</v>
      </c>
      <c r="C75" s="28" t="s">
        <v>571</v>
      </c>
      <c r="D75" s="25" t="s">
        <v>133</v>
      </c>
      <c r="E75" s="29" t="s">
        <v>229</v>
      </c>
      <c r="F75" s="30">
        <v>9.0</v>
      </c>
      <c r="G75" s="30">
        <v>10.0</v>
      </c>
      <c r="H75" s="30">
        <v>32.0</v>
      </c>
      <c r="I75" s="30">
        <f>MAX(1,ROUND(H75^Guida!$B$18*Guida!$F$12,0))</f>
        <v>10</v>
      </c>
      <c r="J75" s="30">
        <f t="shared" si="2"/>
        <v>12</v>
      </c>
      <c r="K75" s="25" t="str">
        <f t="shared" si="3"/>
        <v>3a fascia</v>
      </c>
      <c r="L75" s="25" t="s">
        <v>68</v>
      </c>
      <c r="M75" s="21" t="s">
        <v>100</v>
      </c>
      <c r="N75" s="25" t="s">
        <v>71</v>
      </c>
      <c r="O75" s="25" t="s">
        <v>71</v>
      </c>
      <c r="P75" s="30"/>
      <c r="Q75" s="32"/>
      <c r="R75" s="32"/>
      <c r="S75" s="30"/>
      <c r="T75" s="30"/>
      <c r="U75" s="25"/>
      <c r="V75" s="30"/>
      <c r="W75" s="30"/>
      <c r="X75" s="30">
        <v>2.0</v>
      </c>
      <c r="Y75" s="32">
        <v>6.5</v>
      </c>
      <c r="Z75" s="32">
        <v>6.5</v>
      </c>
      <c r="AA75" s="30">
        <v>0.0</v>
      </c>
      <c r="AB75" s="30">
        <v>0.0</v>
      </c>
      <c r="AC75" s="25" t="s">
        <v>71</v>
      </c>
      <c r="AD75" s="25" t="s">
        <v>103</v>
      </c>
      <c r="AE75" s="32">
        <f t="shared" si="4"/>
        <v>5.5</v>
      </c>
      <c r="AF75" s="29" t="s">
        <v>304</v>
      </c>
      <c r="AG75" s="30">
        <v>6.0</v>
      </c>
      <c r="AH75" s="30">
        <f t="shared" si="5"/>
        <v>17</v>
      </c>
      <c r="AI75" s="29"/>
    </row>
    <row r="76" ht="15.75" customHeight="1">
      <c r="A76" s="11">
        <f t="shared" si="1"/>
        <v>73</v>
      </c>
      <c r="B76" s="16">
        <f>ROUND(Guida!$B$22*H76/Guida!$B$29+Guida!$B$23*MAX(0,MIN(1,(AE76-5.4)/1.6))+Guida!$B$24*0+Guida!$B$25*0,1)</f>
        <v>9.5</v>
      </c>
      <c r="C76" s="17" t="s">
        <v>579</v>
      </c>
      <c r="D76" s="11" t="s">
        <v>175</v>
      </c>
      <c r="E76" s="18" t="s">
        <v>137</v>
      </c>
      <c r="F76" s="19">
        <v>7.0</v>
      </c>
      <c r="G76" s="19">
        <v>6.0</v>
      </c>
      <c r="H76" s="19">
        <v>8.0</v>
      </c>
      <c r="I76" s="19">
        <f>MAX(1,ROUND(H76^Guida!$B$18*Guida!$F$12,0))</f>
        <v>4</v>
      </c>
      <c r="J76" s="19">
        <f t="shared" si="2"/>
        <v>5</v>
      </c>
      <c r="K76" s="11" t="str">
        <f t="shared" si="3"/>
        <v>4a fascia</v>
      </c>
      <c r="L76" s="11" t="s">
        <v>226</v>
      </c>
      <c r="M76" s="18" t="s">
        <v>281</v>
      </c>
      <c r="N76" s="11" t="s">
        <v>71</v>
      </c>
      <c r="O76" s="11" t="s">
        <v>71</v>
      </c>
      <c r="P76" s="19">
        <v>32.0</v>
      </c>
      <c r="Q76" s="22">
        <v>5.97</v>
      </c>
      <c r="R76" s="22">
        <v>5.88</v>
      </c>
      <c r="S76" s="19">
        <v>0.0</v>
      </c>
      <c r="T76" s="19">
        <v>1.0</v>
      </c>
      <c r="U76" s="11" t="s">
        <v>72</v>
      </c>
      <c r="V76" s="19">
        <v>6.0</v>
      </c>
      <c r="W76" s="19">
        <v>1.0</v>
      </c>
      <c r="X76" s="19">
        <v>0.0</v>
      </c>
      <c r="Y76" s="22"/>
      <c r="Z76" s="22"/>
      <c r="AA76" s="19"/>
      <c r="AB76" s="19"/>
      <c r="AC76" s="11" t="s">
        <v>175</v>
      </c>
      <c r="AD76" s="11" t="s">
        <v>73</v>
      </c>
      <c r="AE76" s="22">
        <f t="shared" si="4"/>
        <v>5.88</v>
      </c>
      <c r="AF76" s="18" t="s">
        <v>583</v>
      </c>
      <c r="AG76" s="19">
        <v>0.0</v>
      </c>
      <c r="AH76" s="19">
        <f t="shared" si="5"/>
        <v>138</v>
      </c>
      <c r="AI76" s="18"/>
    </row>
    <row r="77" ht="15.75" customHeight="1">
      <c r="A77" s="25">
        <f t="shared" si="1"/>
        <v>74</v>
      </c>
      <c r="B77" s="27">
        <f>ROUND(Guida!$B$22*H77/Guida!$B$29+Guida!$B$23*MAX(0,MIN(1,(AE77-5.4)/1.6))+Guida!$B$24*0+Guida!$B$25*0,1)</f>
        <v>9.4</v>
      </c>
      <c r="C77" s="28" t="s">
        <v>586</v>
      </c>
      <c r="D77" s="25" t="s">
        <v>185</v>
      </c>
      <c r="E77" s="29" t="s">
        <v>587</v>
      </c>
      <c r="F77" s="30">
        <v>4.0</v>
      </c>
      <c r="G77" s="30">
        <v>4.0</v>
      </c>
      <c r="H77" s="30">
        <v>10.0</v>
      </c>
      <c r="I77" s="30">
        <f>MAX(1,ROUND(H77^Guida!$B$18*Guida!$F$12,0))</f>
        <v>5</v>
      </c>
      <c r="J77" s="30">
        <f t="shared" si="2"/>
        <v>6</v>
      </c>
      <c r="K77" s="25" t="str">
        <f t="shared" si="3"/>
        <v>4a fascia</v>
      </c>
      <c r="L77" s="25" t="s">
        <v>226</v>
      </c>
      <c r="M77" s="29" t="s">
        <v>301</v>
      </c>
      <c r="N77" s="25" t="s">
        <v>71</v>
      </c>
      <c r="O77" s="25" t="s">
        <v>71</v>
      </c>
      <c r="P77" s="30">
        <v>25.0</v>
      </c>
      <c r="Q77" s="32">
        <v>5.86</v>
      </c>
      <c r="R77" s="32">
        <v>5.84</v>
      </c>
      <c r="S77" s="30">
        <v>0.0</v>
      </c>
      <c r="T77" s="30">
        <v>1.0</v>
      </c>
      <c r="U77" s="25" t="s">
        <v>72</v>
      </c>
      <c r="V77" s="30">
        <v>3.0</v>
      </c>
      <c r="W77" s="30">
        <v>0.0</v>
      </c>
      <c r="X77" s="30">
        <v>1.0</v>
      </c>
      <c r="Y77" s="32">
        <v>6.0</v>
      </c>
      <c r="Z77" s="32">
        <v>6.0</v>
      </c>
      <c r="AA77" s="30">
        <v>0.0</v>
      </c>
      <c r="AB77" s="30">
        <v>0.0</v>
      </c>
      <c r="AC77" s="25" t="s">
        <v>185</v>
      </c>
      <c r="AD77" s="25" t="s">
        <v>73</v>
      </c>
      <c r="AE77" s="32">
        <f t="shared" si="4"/>
        <v>5.84</v>
      </c>
      <c r="AF77" s="29" t="s">
        <v>520</v>
      </c>
      <c r="AG77" s="30">
        <v>7.0</v>
      </c>
      <c r="AH77" s="30">
        <f t="shared" si="5"/>
        <v>114</v>
      </c>
      <c r="AI77" s="29"/>
    </row>
    <row r="78" ht="15.75" customHeight="1">
      <c r="A78" s="11">
        <f t="shared" si="1"/>
        <v>74</v>
      </c>
      <c r="B78" s="16">
        <f>ROUND(Guida!$B$22*H78/Guida!$B$29+Guida!$B$23*MAX(0,MIN(1,(AE78-5.4)/1.6))+Guida!$B$24*0+Guida!$B$25*0,1)</f>
        <v>9.4</v>
      </c>
      <c r="C78" s="17" t="s">
        <v>593</v>
      </c>
      <c r="D78" s="11" t="s">
        <v>133</v>
      </c>
      <c r="E78" s="18" t="s">
        <v>249</v>
      </c>
      <c r="F78" s="19">
        <v>4.0</v>
      </c>
      <c r="G78" s="19">
        <v>4.0</v>
      </c>
      <c r="H78" s="19">
        <v>10.0</v>
      </c>
      <c r="I78" s="19">
        <f>MAX(1,ROUND(H78^Guida!$B$18*Guida!$F$12,0))</f>
        <v>5</v>
      </c>
      <c r="J78" s="19">
        <f t="shared" si="2"/>
        <v>6</v>
      </c>
      <c r="K78" s="11" t="str">
        <f t="shared" si="3"/>
        <v>4a fascia</v>
      </c>
      <c r="L78" s="11" t="s">
        <v>332</v>
      </c>
      <c r="M78" s="18" t="s">
        <v>408</v>
      </c>
      <c r="N78" s="11" t="s">
        <v>71</v>
      </c>
      <c r="O78" s="11" t="s">
        <v>71</v>
      </c>
      <c r="P78" s="19">
        <v>25.0</v>
      </c>
      <c r="Q78" s="22">
        <v>5.96</v>
      </c>
      <c r="R78" s="22">
        <v>5.84</v>
      </c>
      <c r="S78" s="19">
        <v>0.0</v>
      </c>
      <c r="T78" s="19">
        <v>1.0</v>
      </c>
      <c r="U78" s="11" t="s">
        <v>72</v>
      </c>
      <c r="V78" s="19">
        <v>8.0</v>
      </c>
      <c r="W78" s="19">
        <v>0.0</v>
      </c>
      <c r="X78" s="19">
        <v>1.0</v>
      </c>
      <c r="Y78" s="22">
        <v>5.5</v>
      </c>
      <c r="Z78" s="22">
        <v>5.5</v>
      </c>
      <c r="AA78" s="19">
        <v>0.0</v>
      </c>
      <c r="AB78" s="19">
        <v>0.0</v>
      </c>
      <c r="AC78" s="11" t="s">
        <v>133</v>
      </c>
      <c r="AD78" s="11" t="s">
        <v>73</v>
      </c>
      <c r="AE78" s="22">
        <f t="shared" si="4"/>
        <v>5.84</v>
      </c>
      <c r="AF78" s="18" t="s">
        <v>304</v>
      </c>
      <c r="AG78" s="19">
        <v>6.0</v>
      </c>
      <c r="AH78" s="19">
        <f t="shared" si="5"/>
        <v>114</v>
      </c>
      <c r="AI78" s="18"/>
    </row>
    <row r="79" ht="15.75" customHeight="1">
      <c r="A79" s="25">
        <f t="shared" si="1"/>
        <v>76</v>
      </c>
      <c r="B79" s="27">
        <f>ROUND(Guida!$B$22*H79/Guida!$B$29+Guida!$B$23*MAX(0,MIN(1,(AE79-5.4)/1.6))+Guida!$B$24*0+Guida!$B$25*0,1)</f>
        <v>9.2</v>
      </c>
      <c r="C79" s="28" t="s">
        <v>608</v>
      </c>
      <c r="D79" s="25" t="s">
        <v>283</v>
      </c>
      <c r="E79" s="29" t="s">
        <v>137</v>
      </c>
      <c r="F79" s="30">
        <v>4.0</v>
      </c>
      <c r="G79" s="30">
        <v>4.0</v>
      </c>
      <c r="H79" s="30">
        <v>10.0</v>
      </c>
      <c r="I79" s="30">
        <f>MAX(1,ROUND(H79^Guida!$B$18*Guida!$F$12,0))</f>
        <v>5</v>
      </c>
      <c r="J79" s="30">
        <f t="shared" si="2"/>
        <v>6</v>
      </c>
      <c r="K79" s="25" t="str">
        <f t="shared" si="3"/>
        <v>4a fascia</v>
      </c>
      <c r="L79" s="25" t="s">
        <v>68</v>
      </c>
      <c r="M79" s="37" t="s">
        <v>146</v>
      </c>
      <c r="N79" s="25" t="s">
        <v>71</v>
      </c>
      <c r="O79" s="25" t="s">
        <v>71</v>
      </c>
      <c r="P79" s="30">
        <v>27.0</v>
      </c>
      <c r="Q79" s="32">
        <v>5.96</v>
      </c>
      <c r="R79" s="32">
        <v>5.83</v>
      </c>
      <c r="S79" s="30">
        <v>0.0</v>
      </c>
      <c r="T79" s="30">
        <v>0.0</v>
      </c>
      <c r="U79" s="25" t="s">
        <v>72</v>
      </c>
      <c r="V79" s="30">
        <v>7.0</v>
      </c>
      <c r="W79" s="30">
        <v>0.0</v>
      </c>
      <c r="X79" s="30">
        <v>0.0</v>
      </c>
      <c r="Y79" s="32"/>
      <c r="Z79" s="32"/>
      <c r="AA79" s="30"/>
      <c r="AB79" s="30"/>
      <c r="AC79" s="25" t="s">
        <v>283</v>
      </c>
      <c r="AD79" s="25" t="s">
        <v>73</v>
      </c>
      <c r="AE79" s="32">
        <f t="shared" si="4"/>
        <v>5.83</v>
      </c>
      <c r="AF79" s="29" t="s">
        <v>288</v>
      </c>
      <c r="AG79" s="30">
        <v>4.0</v>
      </c>
      <c r="AH79" s="30">
        <f t="shared" si="5"/>
        <v>114</v>
      </c>
      <c r="AI79" s="29"/>
    </row>
    <row r="80" ht="15.75" customHeight="1">
      <c r="A80" s="11">
        <f t="shared" si="1"/>
        <v>77</v>
      </c>
      <c r="B80" s="16">
        <f>ROUND(Guida!$B$22*H80/Guida!$B$29+Guida!$B$23*MAX(0,MIN(1,(AE80-5.4)/1.6))+Guida!$B$24*0+Guida!$B$25*0,1)</f>
        <v>8.9</v>
      </c>
      <c r="C80" s="17" t="s">
        <v>613</v>
      </c>
      <c r="D80" s="11" t="s">
        <v>208</v>
      </c>
      <c r="E80" s="18" t="s">
        <v>249</v>
      </c>
      <c r="F80" s="19">
        <v>3.0</v>
      </c>
      <c r="G80" s="19">
        <v>3.0</v>
      </c>
      <c r="H80" s="19">
        <v>12.0</v>
      </c>
      <c r="I80" s="19">
        <f>MAX(1,ROUND(H80^Guida!$B$18*Guida!$F$12,0))</f>
        <v>6</v>
      </c>
      <c r="J80" s="19">
        <f t="shared" si="2"/>
        <v>7</v>
      </c>
      <c r="K80" s="11" t="str">
        <f t="shared" si="3"/>
        <v>4a fascia</v>
      </c>
      <c r="L80" s="11" t="s">
        <v>332</v>
      </c>
      <c r="M80" s="18" t="s">
        <v>615</v>
      </c>
      <c r="N80" s="11" t="s">
        <v>71</v>
      </c>
      <c r="O80" s="11" t="s">
        <v>71</v>
      </c>
      <c r="P80" s="19">
        <v>14.0</v>
      </c>
      <c r="Q80" s="22">
        <v>5.79</v>
      </c>
      <c r="R80" s="22">
        <v>6.0</v>
      </c>
      <c r="S80" s="19">
        <v>1.0</v>
      </c>
      <c r="T80" s="19">
        <v>1.0</v>
      </c>
      <c r="U80" s="11" t="s">
        <v>72</v>
      </c>
      <c r="V80" s="19">
        <v>2.0</v>
      </c>
      <c r="W80" s="19">
        <v>0.0</v>
      </c>
      <c r="X80" s="19">
        <v>1.0</v>
      </c>
      <c r="Y80" s="22">
        <v>5.0</v>
      </c>
      <c r="Z80" s="22">
        <v>5.0</v>
      </c>
      <c r="AA80" s="19">
        <v>0.0</v>
      </c>
      <c r="AB80" s="19">
        <v>0.0</v>
      </c>
      <c r="AC80" s="11" t="s">
        <v>182</v>
      </c>
      <c r="AD80" s="11" t="s">
        <v>103</v>
      </c>
      <c r="AE80" s="22">
        <f t="shared" si="4"/>
        <v>5.78</v>
      </c>
      <c r="AF80" s="18" t="s">
        <v>288</v>
      </c>
      <c r="AG80" s="19">
        <v>6.0</v>
      </c>
      <c r="AH80" s="19">
        <f t="shared" si="5"/>
        <v>89</v>
      </c>
      <c r="AI80" s="18"/>
    </row>
    <row r="81" ht="15.75" customHeight="1">
      <c r="A81" s="25">
        <f t="shared" si="1"/>
        <v>78</v>
      </c>
      <c r="B81" s="27">
        <f>ROUND(Guida!$B$22*H81/Guida!$B$29+Guida!$B$23*MAX(0,MIN(1,(AE81-5.4)/1.6))+Guida!$B$24*0+Guida!$B$25*0,1)</f>
        <v>8.6</v>
      </c>
      <c r="C81" s="28" t="s">
        <v>618</v>
      </c>
      <c r="D81" s="25" t="s">
        <v>212</v>
      </c>
      <c r="E81" s="29" t="s">
        <v>137</v>
      </c>
      <c r="F81" s="30">
        <v>6.0</v>
      </c>
      <c r="G81" s="30">
        <v>8.0</v>
      </c>
      <c r="H81" s="30">
        <v>13.0</v>
      </c>
      <c r="I81" s="30">
        <f>MAX(1,ROUND(H81^Guida!$B$18*Guida!$F$12,0))</f>
        <v>6</v>
      </c>
      <c r="J81" s="30">
        <f t="shared" si="2"/>
        <v>7</v>
      </c>
      <c r="K81" s="25" t="str">
        <f t="shared" si="3"/>
        <v>4a fascia</v>
      </c>
      <c r="L81" s="25" t="s">
        <v>68</v>
      </c>
      <c r="M81" s="21" t="s">
        <v>100</v>
      </c>
      <c r="N81" s="25" t="s">
        <v>71</v>
      </c>
      <c r="O81" s="25" t="s">
        <v>71</v>
      </c>
      <c r="P81" s="30">
        <v>24.0</v>
      </c>
      <c r="Q81" s="32">
        <v>5.75</v>
      </c>
      <c r="R81" s="32">
        <v>5.75</v>
      </c>
      <c r="S81" s="30">
        <v>1.0</v>
      </c>
      <c r="T81" s="30">
        <v>0.0</v>
      </c>
      <c r="U81" s="25" t="s">
        <v>72</v>
      </c>
      <c r="V81" s="30">
        <v>2.0</v>
      </c>
      <c r="W81" s="30">
        <v>0.0</v>
      </c>
      <c r="X81" s="30">
        <v>2.0</v>
      </c>
      <c r="Y81" s="32">
        <v>6.25</v>
      </c>
      <c r="Z81" s="32">
        <v>7.75</v>
      </c>
      <c r="AA81" s="30">
        <v>1.0</v>
      </c>
      <c r="AB81" s="30">
        <v>0.0</v>
      </c>
      <c r="AC81" s="25" t="s">
        <v>208</v>
      </c>
      <c r="AD81" s="25" t="s">
        <v>103</v>
      </c>
      <c r="AE81" s="32">
        <f t="shared" si="4"/>
        <v>5.74</v>
      </c>
      <c r="AF81" s="29" t="s">
        <v>621</v>
      </c>
      <c r="AG81" s="30">
        <v>0.0</v>
      </c>
      <c r="AH81" s="30">
        <f t="shared" si="5"/>
        <v>76</v>
      </c>
      <c r="AI81" s="29"/>
    </row>
    <row r="82" ht="15.75" customHeight="1">
      <c r="A82" s="11">
        <f t="shared" si="1"/>
        <v>78</v>
      </c>
      <c r="B82" s="16">
        <f>ROUND(Guida!$B$22*H82/Guida!$B$29+Guida!$B$23*MAX(0,MIN(1,(AE82-5.4)/1.6))+Guida!$B$24*0+Guida!$B$25*0,1)</f>
        <v>8.6</v>
      </c>
      <c r="C82" s="17" t="s">
        <v>624</v>
      </c>
      <c r="D82" s="11" t="s">
        <v>208</v>
      </c>
      <c r="E82" s="18" t="s">
        <v>324</v>
      </c>
      <c r="F82" s="19">
        <v>3.0</v>
      </c>
      <c r="G82" s="19">
        <v>3.0</v>
      </c>
      <c r="H82" s="19">
        <v>10.0</v>
      </c>
      <c r="I82" s="19">
        <f>MAX(1,ROUND(H82^Guida!$B$18*Guida!$F$12,0))</f>
        <v>5</v>
      </c>
      <c r="J82" s="19">
        <f t="shared" si="2"/>
        <v>6</v>
      </c>
      <c r="K82" s="11" t="str">
        <f t="shared" si="3"/>
        <v>4a fascia</v>
      </c>
      <c r="L82" s="11" t="s">
        <v>332</v>
      </c>
      <c r="M82" s="18" t="s">
        <v>408</v>
      </c>
      <c r="N82" s="11" t="s">
        <v>71</v>
      </c>
      <c r="O82" s="11" t="s">
        <v>71</v>
      </c>
      <c r="P82" s="19">
        <v>31.0</v>
      </c>
      <c r="Q82" s="22">
        <v>5.85</v>
      </c>
      <c r="R82" s="22">
        <v>5.79</v>
      </c>
      <c r="S82" s="19">
        <v>1.0</v>
      </c>
      <c r="T82" s="19">
        <v>0.0</v>
      </c>
      <c r="U82" s="11" t="s">
        <v>72</v>
      </c>
      <c r="V82" s="19">
        <v>8.0</v>
      </c>
      <c r="W82" s="19">
        <v>1.0</v>
      </c>
      <c r="X82" s="19">
        <v>1.0</v>
      </c>
      <c r="Y82" s="22">
        <v>5.0</v>
      </c>
      <c r="Z82" s="22">
        <v>5.0</v>
      </c>
      <c r="AA82" s="19">
        <v>0.0</v>
      </c>
      <c r="AB82" s="19">
        <v>0.0</v>
      </c>
      <c r="AC82" s="11" t="s">
        <v>208</v>
      </c>
      <c r="AD82" s="11" t="s">
        <v>73</v>
      </c>
      <c r="AE82" s="22">
        <f t="shared" si="4"/>
        <v>5.79</v>
      </c>
      <c r="AF82" s="18" t="s">
        <v>288</v>
      </c>
      <c r="AG82" s="19">
        <v>6.0</v>
      </c>
      <c r="AH82" s="19">
        <f t="shared" si="5"/>
        <v>114</v>
      </c>
      <c r="AI82" s="18"/>
    </row>
    <row r="83" ht="15.75" customHeight="1">
      <c r="A83" s="25">
        <f t="shared" si="1"/>
        <v>78</v>
      </c>
      <c r="B83" s="27">
        <f>ROUND(Guida!$B$22*H83/Guida!$B$29+Guida!$B$23*MAX(0,MIN(1,(AE83-5.4)/1.6))+Guida!$B$24*0+Guida!$B$25*0,1)</f>
        <v>8.6</v>
      </c>
      <c r="C83" s="28" t="s">
        <v>628</v>
      </c>
      <c r="D83" s="25" t="s">
        <v>239</v>
      </c>
      <c r="E83" s="29" t="s">
        <v>259</v>
      </c>
      <c r="F83" s="30">
        <v>3.0</v>
      </c>
      <c r="G83" s="30">
        <v>3.0</v>
      </c>
      <c r="H83" s="30">
        <v>3.0</v>
      </c>
      <c r="I83" s="30">
        <f>MAX(1,ROUND(H83^Guida!$B$18*Guida!$F$12,0))</f>
        <v>2</v>
      </c>
      <c r="J83" s="30">
        <f t="shared" si="2"/>
        <v>2</v>
      </c>
      <c r="K83" s="25" t="str">
        <f t="shared" si="3"/>
        <v>Scommessa</v>
      </c>
      <c r="L83" s="25" t="s">
        <v>332</v>
      </c>
      <c r="M83" s="36" t="s">
        <v>457</v>
      </c>
      <c r="N83" s="25" t="s">
        <v>71</v>
      </c>
      <c r="O83" s="25" t="s">
        <v>71</v>
      </c>
      <c r="P83" s="30">
        <v>17.0</v>
      </c>
      <c r="Q83" s="32">
        <v>5.82</v>
      </c>
      <c r="R83" s="32">
        <v>6.09</v>
      </c>
      <c r="S83" s="30">
        <v>2.0</v>
      </c>
      <c r="T83" s="30">
        <v>0.0</v>
      </c>
      <c r="U83" s="25" t="s">
        <v>72</v>
      </c>
      <c r="V83" s="30">
        <v>3.0</v>
      </c>
      <c r="W83" s="30">
        <v>0.0</v>
      </c>
      <c r="X83" s="30">
        <v>0.0</v>
      </c>
      <c r="Y83" s="32"/>
      <c r="Z83" s="32"/>
      <c r="AA83" s="30"/>
      <c r="AB83" s="30"/>
      <c r="AC83" s="25" t="s">
        <v>239</v>
      </c>
      <c r="AD83" s="25" t="s">
        <v>73</v>
      </c>
      <c r="AE83" s="32">
        <f t="shared" si="4"/>
        <v>5.9</v>
      </c>
      <c r="AF83" s="29" t="s">
        <v>630</v>
      </c>
      <c r="AG83" s="30">
        <v>6.0</v>
      </c>
      <c r="AH83" s="30">
        <f t="shared" si="5"/>
        <v>175</v>
      </c>
      <c r="AI83" s="29" t="s">
        <v>631</v>
      </c>
    </row>
    <row r="84" ht="15.75" customHeight="1">
      <c r="A84" s="11">
        <f t="shared" si="1"/>
        <v>81</v>
      </c>
      <c r="B84" s="16">
        <f>ROUND(Guida!$B$22*H84/Guida!$B$29+Guida!$B$23*MAX(0,MIN(1,(AE84-5.4)/1.6))+Guida!$B$24*0+Guida!$B$25*0,1)</f>
        <v>8.5</v>
      </c>
      <c r="C84" s="17" t="s">
        <v>632</v>
      </c>
      <c r="D84" s="11" t="s">
        <v>93</v>
      </c>
      <c r="E84" s="18" t="s">
        <v>377</v>
      </c>
      <c r="F84" s="19">
        <v>1.0</v>
      </c>
      <c r="G84" s="19">
        <v>1.0</v>
      </c>
      <c r="H84" s="19">
        <v>4.0</v>
      </c>
      <c r="I84" s="19">
        <f>MAX(1,ROUND(H84^Guida!$B$18*Guida!$F$12,0))</f>
        <v>3</v>
      </c>
      <c r="J84" s="19">
        <f t="shared" si="2"/>
        <v>4</v>
      </c>
      <c r="K84" s="11" t="str">
        <f t="shared" si="3"/>
        <v>4a fascia</v>
      </c>
      <c r="L84" s="11" t="s">
        <v>332</v>
      </c>
      <c r="M84" s="18" t="s">
        <v>333</v>
      </c>
      <c r="N84" s="11" t="s">
        <v>71</v>
      </c>
      <c r="O84" s="11" t="s">
        <v>71</v>
      </c>
      <c r="P84" s="19">
        <v>9.0</v>
      </c>
      <c r="Q84" s="22">
        <v>5.94</v>
      </c>
      <c r="R84" s="22">
        <v>6.56</v>
      </c>
      <c r="S84" s="19">
        <v>2.0</v>
      </c>
      <c r="T84" s="19">
        <v>0.0</v>
      </c>
      <c r="U84" s="11" t="s">
        <v>72</v>
      </c>
      <c r="V84" s="19">
        <v>1.0</v>
      </c>
      <c r="W84" s="19">
        <v>0.0</v>
      </c>
      <c r="X84" s="19">
        <v>0.0</v>
      </c>
      <c r="Y84" s="22"/>
      <c r="Z84" s="22"/>
      <c r="AA84" s="19"/>
      <c r="AB84" s="19"/>
      <c r="AC84" s="11" t="s">
        <v>93</v>
      </c>
      <c r="AD84" s="11" t="s">
        <v>73</v>
      </c>
      <c r="AE84" s="22">
        <f t="shared" si="4"/>
        <v>5.88</v>
      </c>
      <c r="AF84" s="18" t="s">
        <v>636</v>
      </c>
      <c r="AG84" s="19">
        <v>0.0</v>
      </c>
      <c r="AH84" s="19">
        <f t="shared" si="5"/>
        <v>167</v>
      </c>
      <c r="AI84" s="18"/>
    </row>
    <row r="85" ht="15.75" customHeight="1">
      <c r="A85" s="25">
        <f t="shared" si="1"/>
        <v>82</v>
      </c>
      <c r="B85" s="27">
        <f>ROUND(Guida!$B$22*H85/Guida!$B$29+Guida!$B$23*MAX(0,MIN(1,(AE85-5.4)/1.6))+Guida!$B$24*0+Guida!$B$25*0,1)</f>
        <v>8.4</v>
      </c>
      <c r="C85" s="28" t="s">
        <v>639</v>
      </c>
      <c r="D85" s="25" t="s">
        <v>253</v>
      </c>
      <c r="E85" s="29" t="s">
        <v>249</v>
      </c>
      <c r="F85" s="30">
        <v>2.0</v>
      </c>
      <c r="G85" s="30">
        <v>2.0</v>
      </c>
      <c r="H85" s="30">
        <v>11.0</v>
      </c>
      <c r="I85" s="30">
        <f>MAX(1,ROUND(H85^Guida!$B$18*Guida!$F$12,0))</f>
        <v>5</v>
      </c>
      <c r="J85" s="30">
        <f t="shared" si="2"/>
        <v>6</v>
      </c>
      <c r="K85" s="25" t="str">
        <f t="shared" si="3"/>
        <v>4a fascia</v>
      </c>
      <c r="L85" s="25" t="s">
        <v>332</v>
      </c>
      <c r="M85" s="29" t="s">
        <v>338</v>
      </c>
      <c r="N85" s="25" t="s">
        <v>71</v>
      </c>
      <c r="O85" s="25" t="s">
        <v>71</v>
      </c>
      <c r="P85" s="30">
        <v>14.0</v>
      </c>
      <c r="Q85" s="32">
        <v>5.96</v>
      </c>
      <c r="R85" s="32">
        <v>5.96</v>
      </c>
      <c r="S85" s="30">
        <v>0.0</v>
      </c>
      <c r="T85" s="30">
        <v>1.0</v>
      </c>
      <c r="U85" s="25" t="s">
        <v>72</v>
      </c>
      <c r="V85" s="30">
        <v>2.0</v>
      </c>
      <c r="W85" s="30">
        <v>0.0</v>
      </c>
      <c r="X85" s="30">
        <v>0.0</v>
      </c>
      <c r="Y85" s="32"/>
      <c r="Z85" s="32"/>
      <c r="AA85" s="30"/>
      <c r="AB85" s="30"/>
      <c r="AC85" s="25" t="s">
        <v>133</v>
      </c>
      <c r="AD85" s="25" t="s">
        <v>103</v>
      </c>
      <c r="AE85" s="32">
        <f t="shared" si="4"/>
        <v>5.76</v>
      </c>
      <c r="AF85" s="29" t="s">
        <v>583</v>
      </c>
      <c r="AG85" s="30">
        <v>4.0</v>
      </c>
      <c r="AH85" s="30">
        <f t="shared" si="5"/>
        <v>108</v>
      </c>
      <c r="AI85" s="29"/>
    </row>
    <row r="86" ht="15.75" customHeight="1">
      <c r="A86" s="11">
        <f t="shared" si="1"/>
        <v>83</v>
      </c>
      <c r="B86" s="16">
        <f>ROUND(Guida!$B$22*H86/Guida!$B$29+Guida!$B$23*MAX(0,MIN(1,(AE86-5.4)/1.6))+Guida!$B$24*0+Guida!$B$25*0,1)</f>
        <v>8.2</v>
      </c>
      <c r="C86" s="17" t="s">
        <v>642</v>
      </c>
      <c r="D86" s="11" t="s">
        <v>143</v>
      </c>
      <c r="E86" s="18" t="s">
        <v>324</v>
      </c>
      <c r="F86" s="19">
        <v>5.0</v>
      </c>
      <c r="G86" s="19">
        <v>6.0</v>
      </c>
      <c r="H86" s="19">
        <v>8.0</v>
      </c>
      <c r="I86" s="19">
        <f>MAX(1,ROUND(H86^Guida!$B$18*Guida!$F$12,0))</f>
        <v>4</v>
      </c>
      <c r="J86" s="19">
        <f t="shared" si="2"/>
        <v>5</v>
      </c>
      <c r="K86" s="11" t="str">
        <f t="shared" si="3"/>
        <v>4a fascia</v>
      </c>
      <c r="L86" s="11" t="s">
        <v>332</v>
      </c>
      <c r="M86" s="18" t="s">
        <v>392</v>
      </c>
      <c r="N86" s="11" t="s">
        <v>71</v>
      </c>
      <c r="O86" s="11" t="s">
        <v>71</v>
      </c>
      <c r="P86" s="19">
        <v>17.0</v>
      </c>
      <c r="Q86" s="22">
        <v>6.03</v>
      </c>
      <c r="R86" s="22">
        <v>5.94</v>
      </c>
      <c r="S86" s="19">
        <v>0.0</v>
      </c>
      <c r="T86" s="19">
        <v>0.0</v>
      </c>
      <c r="U86" s="11" t="s">
        <v>72</v>
      </c>
      <c r="V86" s="19">
        <v>3.0</v>
      </c>
      <c r="W86" s="19">
        <v>0.0</v>
      </c>
      <c r="X86" s="19">
        <v>2.0</v>
      </c>
      <c r="Y86" s="22">
        <v>6.0</v>
      </c>
      <c r="Z86" s="22">
        <v>6.0</v>
      </c>
      <c r="AA86" s="19">
        <v>0.0</v>
      </c>
      <c r="AB86" s="19">
        <v>0.0</v>
      </c>
      <c r="AC86" s="11" t="s">
        <v>143</v>
      </c>
      <c r="AD86" s="11" t="s">
        <v>73</v>
      </c>
      <c r="AE86" s="22">
        <f t="shared" si="4"/>
        <v>5.8</v>
      </c>
      <c r="AF86" s="18" t="s">
        <v>646</v>
      </c>
      <c r="AG86" s="19">
        <v>6.0</v>
      </c>
      <c r="AH86" s="19">
        <f t="shared" si="5"/>
        <v>138</v>
      </c>
      <c r="AI86" s="18"/>
    </row>
    <row r="87" ht="15.75" customHeight="1">
      <c r="A87" s="25">
        <f t="shared" si="1"/>
        <v>84</v>
      </c>
      <c r="B87" s="27">
        <f>ROUND(Guida!$B$22*H87/Guida!$B$29+Guida!$B$23*MAX(0,MIN(1,(AE87-5.4)/1.6))+Guida!$B$24*0+Guida!$B$25*0,1)</f>
        <v>8.1</v>
      </c>
      <c r="C87" s="28" t="s">
        <v>649</v>
      </c>
      <c r="D87" s="25" t="s">
        <v>253</v>
      </c>
      <c r="E87" s="29" t="s">
        <v>259</v>
      </c>
      <c r="F87" s="30">
        <v>4.0</v>
      </c>
      <c r="G87" s="30">
        <v>5.0</v>
      </c>
      <c r="H87" s="30">
        <v>10.0</v>
      </c>
      <c r="I87" s="30">
        <f>MAX(1,ROUND(H87^Guida!$B$18*Guida!$F$12,0))</f>
        <v>5</v>
      </c>
      <c r="J87" s="30">
        <f t="shared" si="2"/>
        <v>6</v>
      </c>
      <c r="K87" s="25" t="str">
        <f t="shared" si="3"/>
        <v>4a fascia</v>
      </c>
      <c r="L87" s="25" t="s">
        <v>226</v>
      </c>
      <c r="M87" s="29" t="s">
        <v>277</v>
      </c>
      <c r="N87" s="25" t="s">
        <v>71</v>
      </c>
      <c r="O87" s="25" t="s">
        <v>71</v>
      </c>
      <c r="P87" s="30">
        <v>27.0</v>
      </c>
      <c r="Q87" s="32">
        <v>5.85</v>
      </c>
      <c r="R87" s="32">
        <v>5.76</v>
      </c>
      <c r="S87" s="30">
        <v>0.0</v>
      </c>
      <c r="T87" s="30">
        <v>0.0</v>
      </c>
      <c r="U87" s="25" t="s">
        <v>72</v>
      </c>
      <c r="V87" s="30">
        <v>5.0</v>
      </c>
      <c r="W87" s="30">
        <v>0.0</v>
      </c>
      <c r="X87" s="30">
        <v>2.0</v>
      </c>
      <c r="Y87" s="32">
        <v>6.0</v>
      </c>
      <c r="Z87" s="32">
        <v>6.0</v>
      </c>
      <c r="AA87" s="30">
        <v>0.0</v>
      </c>
      <c r="AB87" s="30">
        <v>0.0</v>
      </c>
      <c r="AC87" s="25" t="s">
        <v>253</v>
      </c>
      <c r="AD87" s="25" t="s">
        <v>73</v>
      </c>
      <c r="AE87" s="32">
        <f t="shared" si="4"/>
        <v>5.76</v>
      </c>
      <c r="AF87" s="29" t="s">
        <v>583</v>
      </c>
      <c r="AG87" s="30">
        <v>4.0</v>
      </c>
      <c r="AH87" s="30">
        <f t="shared" si="5"/>
        <v>114</v>
      </c>
      <c r="AI87" s="29"/>
    </row>
    <row r="88" ht="15.75" customHeight="1">
      <c r="A88" s="11">
        <f t="shared" si="1"/>
        <v>84</v>
      </c>
      <c r="B88" s="16">
        <f>ROUND(Guida!$B$22*H88/Guida!$B$29+Guida!$B$23*MAX(0,MIN(1,(AE88-5.4)/1.6))+Guida!$B$24*0+Guida!$B$25*0,1)</f>
        <v>8.1</v>
      </c>
      <c r="C88" s="17" t="s">
        <v>651</v>
      </c>
      <c r="D88" s="11" t="s">
        <v>182</v>
      </c>
      <c r="E88" s="18" t="s">
        <v>137</v>
      </c>
      <c r="F88" s="19">
        <v>5.0</v>
      </c>
      <c r="G88" s="19">
        <v>4.0</v>
      </c>
      <c r="H88" s="19">
        <v>10.0</v>
      </c>
      <c r="I88" s="19">
        <f>MAX(1,ROUND(H88^Guida!$B$18*Guida!$F$12,0))</f>
        <v>5</v>
      </c>
      <c r="J88" s="19">
        <f t="shared" si="2"/>
        <v>6</v>
      </c>
      <c r="K88" s="11" t="str">
        <f t="shared" si="3"/>
        <v>4a fascia</v>
      </c>
      <c r="L88" s="11" t="s">
        <v>226</v>
      </c>
      <c r="M88" s="18" t="s">
        <v>281</v>
      </c>
      <c r="N88" s="11" t="s">
        <v>71</v>
      </c>
      <c r="O88" s="11" t="s">
        <v>71</v>
      </c>
      <c r="P88" s="19">
        <v>18.0</v>
      </c>
      <c r="Q88" s="22">
        <v>5.94</v>
      </c>
      <c r="R88" s="22">
        <v>5.86</v>
      </c>
      <c r="S88" s="19">
        <v>0.0</v>
      </c>
      <c r="T88" s="19">
        <v>0.0</v>
      </c>
      <c r="U88" s="11" t="s">
        <v>72</v>
      </c>
      <c r="V88" s="19">
        <v>3.0</v>
      </c>
      <c r="W88" s="19">
        <v>0.0</v>
      </c>
      <c r="X88" s="19">
        <v>0.0</v>
      </c>
      <c r="Y88" s="22"/>
      <c r="Z88" s="22"/>
      <c r="AA88" s="19"/>
      <c r="AB88" s="19"/>
      <c r="AC88" s="11" t="s">
        <v>182</v>
      </c>
      <c r="AD88" s="11" t="s">
        <v>73</v>
      </c>
      <c r="AE88" s="22">
        <f t="shared" si="4"/>
        <v>5.76</v>
      </c>
      <c r="AF88" s="18" t="s">
        <v>654</v>
      </c>
      <c r="AG88" s="19">
        <v>6.0</v>
      </c>
      <c r="AH88" s="19">
        <f t="shared" si="5"/>
        <v>114</v>
      </c>
      <c r="AI88" s="18"/>
    </row>
    <row r="89" ht="15.75" customHeight="1">
      <c r="A89" s="25">
        <f t="shared" si="1"/>
        <v>86</v>
      </c>
      <c r="B89" s="27">
        <f>ROUND(Guida!$B$22*H89/Guida!$B$29+Guida!$B$23*MAX(0,MIN(1,(AE89-5.4)/1.6))+Guida!$B$24*0+Guida!$B$25*0,1)</f>
        <v>8</v>
      </c>
      <c r="C89" s="28" t="s">
        <v>656</v>
      </c>
      <c r="D89" s="25" t="s">
        <v>212</v>
      </c>
      <c r="E89" s="29" t="s">
        <v>104</v>
      </c>
      <c r="F89" s="30">
        <v>5.0</v>
      </c>
      <c r="G89" s="30">
        <v>6.0</v>
      </c>
      <c r="H89" s="30">
        <v>12.0</v>
      </c>
      <c r="I89" s="30">
        <f>MAX(1,ROUND(H89^Guida!$B$18*Guida!$F$12,0))</f>
        <v>6</v>
      </c>
      <c r="J89" s="30">
        <f t="shared" si="2"/>
        <v>7</v>
      </c>
      <c r="K89" s="25" t="str">
        <f t="shared" si="3"/>
        <v>4a fascia</v>
      </c>
      <c r="L89" s="25" t="s">
        <v>226</v>
      </c>
      <c r="M89" s="29" t="s">
        <v>300</v>
      </c>
      <c r="N89" s="25" t="s">
        <v>71</v>
      </c>
      <c r="O89" s="25" t="s">
        <v>71</v>
      </c>
      <c r="P89" s="30">
        <v>12.0</v>
      </c>
      <c r="Q89" s="32">
        <v>5.96</v>
      </c>
      <c r="R89" s="32">
        <v>5.96</v>
      </c>
      <c r="S89" s="30">
        <v>0.0</v>
      </c>
      <c r="T89" s="30">
        <v>0.0</v>
      </c>
      <c r="U89" s="25" t="s">
        <v>72</v>
      </c>
      <c r="V89" s="30">
        <v>0.0</v>
      </c>
      <c r="W89" s="30">
        <v>0.0</v>
      </c>
      <c r="X89" s="30">
        <v>2.0</v>
      </c>
      <c r="Y89" s="32">
        <v>6.0</v>
      </c>
      <c r="Z89" s="32">
        <v>6.0</v>
      </c>
      <c r="AA89" s="30">
        <v>0.0</v>
      </c>
      <c r="AB89" s="30">
        <v>0.0</v>
      </c>
      <c r="AC89" s="25" t="s">
        <v>208</v>
      </c>
      <c r="AD89" s="25" t="s">
        <v>103</v>
      </c>
      <c r="AE89" s="32">
        <f t="shared" si="4"/>
        <v>5.72</v>
      </c>
      <c r="AF89" s="29" t="s">
        <v>665</v>
      </c>
      <c r="AG89" s="30">
        <v>0.0</v>
      </c>
      <c r="AH89" s="30">
        <f t="shared" si="5"/>
        <v>89</v>
      </c>
      <c r="AI89" s="29"/>
    </row>
    <row r="90" ht="15.75" customHeight="1">
      <c r="A90" s="11">
        <f t="shared" si="1"/>
        <v>86</v>
      </c>
      <c r="B90" s="16">
        <f>ROUND(Guida!$B$22*H90/Guida!$B$29+Guida!$B$23*MAX(0,MIN(1,(AE90-5.4)/1.6))+Guida!$B$24*0+Guida!$B$25*0,1)</f>
        <v>8</v>
      </c>
      <c r="C90" s="17" t="s">
        <v>668</v>
      </c>
      <c r="D90" s="11" t="s">
        <v>195</v>
      </c>
      <c r="E90" s="18" t="s">
        <v>259</v>
      </c>
      <c r="F90" s="19">
        <v>2.0</v>
      </c>
      <c r="G90" s="19">
        <v>2.0</v>
      </c>
      <c r="H90" s="19">
        <v>7.0</v>
      </c>
      <c r="I90" s="19">
        <f>MAX(1,ROUND(H90^Guida!$B$18*Guida!$F$12,0))</f>
        <v>4</v>
      </c>
      <c r="J90" s="19">
        <f t="shared" si="2"/>
        <v>5</v>
      </c>
      <c r="K90" s="11" t="str">
        <f t="shared" si="3"/>
        <v>4a fascia</v>
      </c>
      <c r="L90" s="11" t="s">
        <v>332</v>
      </c>
      <c r="M90" s="18" t="s">
        <v>333</v>
      </c>
      <c r="N90" s="11" t="s">
        <v>71</v>
      </c>
      <c r="O90" s="11" t="s">
        <v>71</v>
      </c>
      <c r="P90" s="19">
        <v>24.0</v>
      </c>
      <c r="Q90" s="22">
        <v>5.85</v>
      </c>
      <c r="R90" s="22">
        <v>5.81</v>
      </c>
      <c r="S90" s="19">
        <v>1.0</v>
      </c>
      <c r="T90" s="19">
        <v>0.0</v>
      </c>
      <c r="U90" s="11" t="s">
        <v>72</v>
      </c>
      <c r="V90" s="19">
        <v>8.0</v>
      </c>
      <c r="W90" s="19">
        <v>0.0</v>
      </c>
      <c r="X90" s="19">
        <v>0.0</v>
      </c>
      <c r="Y90" s="22"/>
      <c r="Z90" s="22"/>
      <c r="AA90" s="19"/>
      <c r="AB90" s="19"/>
      <c r="AC90" s="11" t="s">
        <v>195</v>
      </c>
      <c r="AD90" s="11" t="s">
        <v>73</v>
      </c>
      <c r="AE90" s="22">
        <f t="shared" si="4"/>
        <v>5.8</v>
      </c>
      <c r="AF90" s="18" t="s">
        <v>636</v>
      </c>
      <c r="AG90" s="19">
        <v>6.0</v>
      </c>
      <c r="AH90" s="19">
        <f t="shared" si="5"/>
        <v>151</v>
      </c>
      <c r="AI90" s="18"/>
    </row>
    <row r="91" ht="15.75" customHeight="1">
      <c r="A91" s="25">
        <f t="shared" si="1"/>
        <v>88</v>
      </c>
      <c r="B91" s="27">
        <f>ROUND(Guida!$B$22*H91/Guida!$B$29+Guida!$B$23*MAX(0,MIN(1,(AE91-5.4)/1.6))+Guida!$B$24*0+Guida!$B$25*0,1)</f>
        <v>7.9</v>
      </c>
      <c r="C91" s="28" t="s">
        <v>682</v>
      </c>
      <c r="D91" s="25" t="s">
        <v>283</v>
      </c>
      <c r="E91" s="29" t="s">
        <v>137</v>
      </c>
      <c r="F91" s="30">
        <v>3.0</v>
      </c>
      <c r="G91" s="30">
        <v>3.0</v>
      </c>
      <c r="H91" s="30">
        <v>14.0</v>
      </c>
      <c r="I91" s="30">
        <f>MAX(1,ROUND(H91^Guida!$B$18*Guida!$F$12,0))</f>
        <v>6</v>
      </c>
      <c r="J91" s="30">
        <f t="shared" si="2"/>
        <v>7</v>
      </c>
      <c r="K91" s="25" t="str">
        <f t="shared" si="3"/>
        <v>4a fascia</v>
      </c>
      <c r="L91" s="25" t="s">
        <v>226</v>
      </c>
      <c r="M91" s="29" t="s">
        <v>277</v>
      </c>
      <c r="N91" s="25" t="s">
        <v>71</v>
      </c>
      <c r="O91" s="25" t="s">
        <v>71</v>
      </c>
      <c r="P91" s="30">
        <v>21.0</v>
      </c>
      <c r="Q91" s="32">
        <v>5.79</v>
      </c>
      <c r="R91" s="32">
        <v>5.71</v>
      </c>
      <c r="S91" s="30">
        <v>1.0</v>
      </c>
      <c r="T91" s="30">
        <v>0.0</v>
      </c>
      <c r="U91" s="25" t="s">
        <v>72</v>
      </c>
      <c r="V91" s="30">
        <v>5.0</v>
      </c>
      <c r="W91" s="30">
        <v>2.0</v>
      </c>
      <c r="X91" s="30">
        <v>2.0</v>
      </c>
      <c r="Y91" s="32">
        <v>5.5</v>
      </c>
      <c r="Z91" s="32">
        <v>5.25</v>
      </c>
      <c r="AA91" s="30">
        <v>0.0</v>
      </c>
      <c r="AB91" s="30">
        <v>0.0</v>
      </c>
      <c r="AC91" s="25" t="s">
        <v>283</v>
      </c>
      <c r="AD91" s="25" t="s">
        <v>73</v>
      </c>
      <c r="AE91" s="32">
        <f t="shared" si="4"/>
        <v>5.68</v>
      </c>
      <c r="AF91" s="29" t="s">
        <v>696</v>
      </c>
      <c r="AG91" s="30">
        <v>4.0</v>
      </c>
      <c r="AH91" s="30">
        <f t="shared" si="5"/>
        <v>68</v>
      </c>
      <c r="AI91" s="29"/>
    </row>
    <row r="92" ht="15.75" customHeight="1">
      <c r="A92" s="11">
        <f t="shared" si="1"/>
        <v>89</v>
      </c>
      <c r="B92" s="16">
        <f>ROUND(Guida!$B$22*H92/Guida!$B$29+Guida!$B$23*MAX(0,MIN(1,(AE92-5.4)/1.6))+Guida!$B$24*0+Guida!$B$25*0,1)</f>
        <v>7.8</v>
      </c>
      <c r="C92" s="17" t="s">
        <v>710</v>
      </c>
      <c r="D92" s="11" t="s">
        <v>133</v>
      </c>
      <c r="E92" s="18" t="s">
        <v>249</v>
      </c>
      <c r="F92" s="19">
        <v>8.0</v>
      </c>
      <c r="G92" s="19">
        <v>8.0</v>
      </c>
      <c r="H92" s="19">
        <v>25.0</v>
      </c>
      <c r="I92" s="19">
        <f>MAX(1,ROUND(H92^Guida!$B$18*Guida!$F$12,0))</f>
        <v>9</v>
      </c>
      <c r="J92" s="19">
        <f t="shared" si="2"/>
        <v>11</v>
      </c>
      <c r="K92" s="11" t="str">
        <f t="shared" si="3"/>
        <v>3a fascia</v>
      </c>
      <c r="L92" s="11" t="s">
        <v>68</v>
      </c>
      <c r="M92" s="21" t="s">
        <v>100</v>
      </c>
      <c r="N92" s="11" t="s">
        <v>71</v>
      </c>
      <c r="O92" s="11" t="s">
        <v>71</v>
      </c>
      <c r="P92" s="19"/>
      <c r="Q92" s="22"/>
      <c r="R92" s="22"/>
      <c r="S92" s="19"/>
      <c r="T92" s="19"/>
      <c r="U92" s="11"/>
      <c r="V92" s="19"/>
      <c r="W92" s="19"/>
      <c r="X92" s="19">
        <v>2.0</v>
      </c>
      <c r="Y92" s="22">
        <v>5.5</v>
      </c>
      <c r="Z92" s="22">
        <v>5.5</v>
      </c>
      <c r="AA92" s="19">
        <v>0.0</v>
      </c>
      <c r="AB92" s="19">
        <v>0.0</v>
      </c>
      <c r="AC92" s="11" t="s">
        <v>71</v>
      </c>
      <c r="AD92" s="11" t="s">
        <v>103</v>
      </c>
      <c r="AE92" s="22">
        <f t="shared" si="4"/>
        <v>5.5</v>
      </c>
      <c r="AF92" s="18" t="s">
        <v>630</v>
      </c>
      <c r="AG92" s="19">
        <v>6.0</v>
      </c>
      <c r="AH92" s="19">
        <f t="shared" si="5"/>
        <v>24</v>
      </c>
      <c r="AI92" s="18"/>
    </row>
    <row r="93" ht="15.75" customHeight="1">
      <c r="A93" s="25">
        <f t="shared" si="1"/>
        <v>89</v>
      </c>
      <c r="B93" s="27">
        <f>ROUND(Guida!$B$22*H93/Guida!$B$29+Guida!$B$23*MAX(0,MIN(1,(AE93-5.4)/1.6))+Guida!$B$24*0+Guida!$B$25*0,1)</f>
        <v>7.8</v>
      </c>
      <c r="C93" s="28" t="s">
        <v>720</v>
      </c>
      <c r="D93" s="25" t="s">
        <v>64</v>
      </c>
      <c r="E93" s="29" t="s">
        <v>137</v>
      </c>
      <c r="F93" s="30">
        <v>12.0</v>
      </c>
      <c r="G93" s="30">
        <v>12.0</v>
      </c>
      <c r="H93" s="30">
        <v>25.0</v>
      </c>
      <c r="I93" s="30">
        <f>MAX(1,ROUND(H93^Guida!$B$18*Guida!$F$12,0))</f>
        <v>9</v>
      </c>
      <c r="J93" s="30">
        <f t="shared" si="2"/>
        <v>11</v>
      </c>
      <c r="K93" s="25" t="str">
        <f t="shared" si="3"/>
        <v>3a fascia</v>
      </c>
      <c r="L93" s="25" t="s">
        <v>226</v>
      </c>
      <c r="M93" s="29" t="s">
        <v>300</v>
      </c>
      <c r="N93" s="25" t="s">
        <v>71</v>
      </c>
      <c r="O93" s="25" t="s">
        <v>71</v>
      </c>
      <c r="P93" s="30"/>
      <c r="Q93" s="32"/>
      <c r="R93" s="32"/>
      <c r="S93" s="30"/>
      <c r="T93" s="30"/>
      <c r="U93" s="25"/>
      <c r="V93" s="30"/>
      <c r="W93" s="30"/>
      <c r="X93" s="30">
        <v>2.0</v>
      </c>
      <c r="Y93" s="32">
        <v>6.0</v>
      </c>
      <c r="Z93" s="32">
        <v>6.0</v>
      </c>
      <c r="AA93" s="30">
        <v>0.0</v>
      </c>
      <c r="AB93" s="30">
        <v>0.0</v>
      </c>
      <c r="AC93" s="25" t="s">
        <v>71</v>
      </c>
      <c r="AD93" s="25" t="s">
        <v>103</v>
      </c>
      <c r="AE93" s="32">
        <f t="shared" si="4"/>
        <v>5.5</v>
      </c>
      <c r="AF93" s="29" t="s">
        <v>723</v>
      </c>
      <c r="AG93" s="30">
        <v>0.0</v>
      </c>
      <c r="AH93" s="30">
        <f t="shared" si="5"/>
        <v>24</v>
      </c>
      <c r="AI93" s="29"/>
    </row>
    <row r="94" ht="15.75" customHeight="1">
      <c r="A94" s="11">
        <f t="shared" si="1"/>
        <v>89</v>
      </c>
      <c r="B94" s="16">
        <f>ROUND(Guida!$B$22*H94/Guida!$B$29+Guida!$B$23*MAX(0,MIN(1,(AE94-5.4)/1.6))+Guida!$B$24*0+Guida!$B$25*0,1)</f>
        <v>7.8</v>
      </c>
      <c r="C94" s="17" t="s">
        <v>697</v>
      </c>
      <c r="D94" s="11" t="s">
        <v>253</v>
      </c>
      <c r="E94" s="18" t="s">
        <v>229</v>
      </c>
      <c r="F94" s="19">
        <v>4.0</v>
      </c>
      <c r="G94" s="19">
        <v>4.0</v>
      </c>
      <c r="H94" s="19">
        <v>10.0</v>
      </c>
      <c r="I94" s="19">
        <f>MAX(1,ROUND(H94^Guida!$B$18*Guida!$F$12,0))</f>
        <v>5</v>
      </c>
      <c r="J94" s="19">
        <f t="shared" si="2"/>
        <v>6</v>
      </c>
      <c r="K94" s="11" t="str">
        <f t="shared" si="3"/>
        <v>4a fascia</v>
      </c>
      <c r="L94" s="11" t="s">
        <v>226</v>
      </c>
      <c r="M94" s="36" t="s">
        <v>477</v>
      </c>
      <c r="N94" s="11" t="s">
        <v>71</v>
      </c>
      <c r="O94" s="11" t="s">
        <v>71</v>
      </c>
      <c r="P94" s="19">
        <v>34.0</v>
      </c>
      <c r="Q94" s="22">
        <v>5.81</v>
      </c>
      <c r="R94" s="22">
        <v>5.74</v>
      </c>
      <c r="S94" s="19">
        <v>0.0</v>
      </c>
      <c r="T94" s="19">
        <v>1.0</v>
      </c>
      <c r="U94" s="11" t="s">
        <v>72</v>
      </c>
      <c r="V94" s="19">
        <v>7.0</v>
      </c>
      <c r="W94" s="19">
        <v>0.0</v>
      </c>
      <c r="X94" s="19">
        <v>0.0</v>
      </c>
      <c r="Y94" s="22"/>
      <c r="Z94" s="22"/>
      <c r="AA94" s="19"/>
      <c r="AB94" s="19"/>
      <c r="AC94" s="11" t="s">
        <v>253</v>
      </c>
      <c r="AD94" s="11" t="s">
        <v>73</v>
      </c>
      <c r="AE94" s="22">
        <f t="shared" si="4"/>
        <v>5.74</v>
      </c>
      <c r="AF94" s="18" t="s">
        <v>583</v>
      </c>
      <c r="AG94" s="19">
        <v>4.0</v>
      </c>
      <c r="AH94" s="19">
        <f t="shared" si="5"/>
        <v>114</v>
      </c>
      <c r="AI94" s="18" t="s">
        <v>698</v>
      </c>
    </row>
    <row r="95" ht="15.75" customHeight="1">
      <c r="A95" s="25">
        <f t="shared" si="1"/>
        <v>92</v>
      </c>
      <c r="B95" s="27">
        <f>ROUND(Guida!$B$22*H95/Guida!$B$29+Guida!$B$23*MAX(0,MIN(1,(AE95-5.4)/1.6))+Guida!$B$24*0+Guida!$B$25*0,1)</f>
        <v>7.7</v>
      </c>
      <c r="C95" s="28" t="s">
        <v>727</v>
      </c>
      <c r="D95" s="25" t="s">
        <v>232</v>
      </c>
      <c r="E95" s="29" t="s">
        <v>137</v>
      </c>
      <c r="F95" s="30">
        <v>4.0</v>
      </c>
      <c r="G95" s="30">
        <v>4.0</v>
      </c>
      <c r="H95" s="30">
        <v>12.0</v>
      </c>
      <c r="I95" s="30">
        <f>MAX(1,ROUND(H95^Guida!$B$18*Guida!$F$12,0))</f>
        <v>6</v>
      </c>
      <c r="J95" s="30">
        <f t="shared" si="2"/>
        <v>7</v>
      </c>
      <c r="K95" s="25" t="str">
        <f t="shared" si="3"/>
        <v>4a fascia</v>
      </c>
      <c r="L95" s="25" t="s">
        <v>226</v>
      </c>
      <c r="M95" s="29" t="s">
        <v>277</v>
      </c>
      <c r="N95" s="25" t="s">
        <v>71</v>
      </c>
      <c r="O95" s="25" t="s">
        <v>71</v>
      </c>
      <c r="P95" s="30">
        <v>19.0</v>
      </c>
      <c r="Q95" s="32">
        <v>5.68</v>
      </c>
      <c r="R95" s="32">
        <v>5.76</v>
      </c>
      <c r="S95" s="30">
        <v>1.0</v>
      </c>
      <c r="T95" s="30">
        <v>0.0</v>
      </c>
      <c r="U95" s="25" t="s">
        <v>72</v>
      </c>
      <c r="V95" s="30">
        <v>3.0</v>
      </c>
      <c r="W95" s="30">
        <v>0.0</v>
      </c>
      <c r="X95" s="30">
        <v>2.0</v>
      </c>
      <c r="Y95" s="32">
        <v>5.5</v>
      </c>
      <c r="Z95" s="32">
        <v>5.5</v>
      </c>
      <c r="AA95" s="30">
        <v>0.0</v>
      </c>
      <c r="AB95" s="30">
        <v>0.0</v>
      </c>
      <c r="AC95" s="25" t="s">
        <v>232</v>
      </c>
      <c r="AD95" s="25" t="s">
        <v>73</v>
      </c>
      <c r="AE95" s="32">
        <f t="shared" si="4"/>
        <v>5.7</v>
      </c>
      <c r="AF95" s="29" t="s">
        <v>646</v>
      </c>
      <c r="AG95" s="30">
        <v>6.0</v>
      </c>
      <c r="AH95" s="30">
        <f t="shared" si="5"/>
        <v>89</v>
      </c>
      <c r="AI95" s="29"/>
    </row>
    <row r="96" ht="15.75" customHeight="1">
      <c r="A96" s="11">
        <f t="shared" si="1"/>
        <v>92</v>
      </c>
      <c r="B96" s="16">
        <f>ROUND(Guida!$B$22*H96/Guida!$B$29+Guida!$B$23*MAX(0,MIN(1,(AE96-5.4)/1.6))+Guida!$B$24*0+Guida!$B$25*0,1)</f>
        <v>7.7</v>
      </c>
      <c r="C96" s="17" t="s">
        <v>730</v>
      </c>
      <c r="D96" s="11" t="s">
        <v>175</v>
      </c>
      <c r="E96" s="18" t="s">
        <v>732</v>
      </c>
      <c r="F96" s="19">
        <v>2.0</v>
      </c>
      <c r="G96" s="19">
        <v>2.0</v>
      </c>
      <c r="H96" s="19">
        <v>4.0</v>
      </c>
      <c r="I96" s="19">
        <f>MAX(1,ROUND(H96^Guida!$B$18*Guida!$F$12,0))</f>
        <v>3</v>
      </c>
      <c r="J96" s="19">
        <f t="shared" si="2"/>
        <v>4</v>
      </c>
      <c r="K96" s="11" t="str">
        <f t="shared" si="3"/>
        <v>4a fascia</v>
      </c>
      <c r="L96" s="11" t="s">
        <v>332</v>
      </c>
      <c r="M96" s="18" t="s">
        <v>338</v>
      </c>
      <c r="N96" s="11" t="s">
        <v>71</v>
      </c>
      <c r="O96" s="11" t="s">
        <v>71</v>
      </c>
      <c r="P96" s="19">
        <v>35.0</v>
      </c>
      <c r="Q96" s="22">
        <v>5.86</v>
      </c>
      <c r="R96" s="22">
        <v>5.83</v>
      </c>
      <c r="S96" s="19">
        <v>2.0</v>
      </c>
      <c r="T96" s="19">
        <v>0.0</v>
      </c>
      <c r="U96" s="11" t="s">
        <v>72</v>
      </c>
      <c r="V96" s="19">
        <v>6.0</v>
      </c>
      <c r="W96" s="19">
        <v>0.0</v>
      </c>
      <c r="X96" s="19">
        <v>0.0</v>
      </c>
      <c r="Y96" s="22"/>
      <c r="Z96" s="22"/>
      <c r="AA96" s="19"/>
      <c r="AB96" s="19"/>
      <c r="AC96" s="11" t="s">
        <v>734</v>
      </c>
      <c r="AD96" s="11" t="s">
        <v>103</v>
      </c>
      <c r="AE96" s="22">
        <f t="shared" si="4"/>
        <v>5.83</v>
      </c>
      <c r="AF96" s="18" t="s">
        <v>583</v>
      </c>
      <c r="AG96" s="19">
        <v>0.0</v>
      </c>
      <c r="AH96" s="19">
        <f t="shared" si="5"/>
        <v>167</v>
      </c>
      <c r="AI96" s="18"/>
    </row>
    <row r="97" ht="15.75" customHeight="1">
      <c r="A97" s="25">
        <f t="shared" si="1"/>
        <v>94</v>
      </c>
      <c r="B97" s="27">
        <f>ROUND(Guida!$B$22*H97/Guida!$B$29+Guida!$B$23*MAX(0,MIN(1,(AE97-5.4)/1.6))+Guida!$B$24*0+Guida!$B$25*0,1)</f>
        <v>7.6</v>
      </c>
      <c r="C97" s="28" t="s">
        <v>737</v>
      </c>
      <c r="D97" s="25" t="s">
        <v>264</v>
      </c>
      <c r="E97" s="29" t="s">
        <v>137</v>
      </c>
      <c r="F97" s="30">
        <v>6.0</v>
      </c>
      <c r="G97" s="30">
        <v>5.0</v>
      </c>
      <c r="H97" s="30">
        <v>13.0</v>
      </c>
      <c r="I97" s="30">
        <f>MAX(1,ROUND(H97^Guida!$B$18*Guida!$F$12,0))</f>
        <v>6</v>
      </c>
      <c r="J97" s="30">
        <f t="shared" si="2"/>
        <v>7</v>
      </c>
      <c r="K97" s="25" t="str">
        <f t="shared" si="3"/>
        <v>4a fascia</v>
      </c>
      <c r="L97" s="25" t="s">
        <v>68</v>
      </c>
      <c r="M97" s="21" t="s">
        <v>100</v>
      </c>
      <c r="N97" s="25" t="s">
        <v>71</v>
      </c>
      <c r="O97" s="25" t="s">
        <v>71</v>
      </c>
      <c r="P97" s="30">
        <v>18.0</v>
      </c>
      <c r="Q97" s="32">
        <v>5.83</v>
      </c>
      <c r="R97" s="32">
        <v>5.75</v>
      </c>
      <c r="S97" s="30">
        <v>0.0</v>
      </c>
      <c r="T97" s="30">
        <v>0.0</v>
      </c>
      <c r="U97" s="25" t="s">
        <v>72</v>
      </c>
      <c r="V97" s="30">
        <v>3.0</v>
      </c>
      <c r="W97" s="30">
        <v>0.0</v>
      </c>
      <c r="X97" s="30">
        <v>2.0</v>
      </c>
      <c r="Y97" s="32">
        <v>5.0</v>
      </c>
      <c r="Z97" s="32">
        <v>5.0</v>
      </c>
      <c r="AA97" s="30">
        <v>0.0</v>
      </c>
      <c r="AB97" s="30">
        <v>0.0</v>
      </c>
      <c r="AC97" s="25" t="s">
        <v>361</v>
      </c>
      <c r="AD97" s="25" t="s">
        <v>103</v>
      </c>
      <c r="AE97" s="32">
        <f t="shared" si="4"/>
        <v>5.68</v>
      </c>
      <c r="AF97" s="29" t="s">
        <v>739</v>
      </c>
      <c r="AG97" s="30">
        <v>7.0</v>
      </c>
      <c r="AH97" s="30">
        <f t="shared" si="5"/>
        <v>76</v>
      </c>
      <c r="AI97" s="29"/>
    </row>
    <row r="98" ht="15.75" customHeight="1">
      <c r="A98" s="11">
        <f t="shared" si="1"/>
        <v>95</v>
      </c>
      <c r="B98" s="16">
        <f>ROUND(Guida!$B$22*H98/Guida!$B$29+Guida!$B$23*MAX(0,MIN(1,(AE98-5.4)/1.6))+Guida!$B$24*0+Guida!$B$25*0,1)</f>
        <v>7.5</v>
      </c>
      <c r="C98" s="17" t="s">
        <v>746</v>
      </c>
      <c r="D98" s="11" t="s">
        <v>232</v>
      </c>
      <c r="E98" s="18" t="s">
        <v>249</v>
      </c>
      <c r="F98" s="19">
        <v>5.0</v>
      </c>
      <c r="G98" s="19">
        <v>6.0</v>
      </c>
      <c r="H98" s="19">
        <v>12.0</v>
      </c>
      <c r="I98" s="19">
        <f>MAX(1,ROUND(H98^Guida!$B$18*Guida!$F$12,0))</f>
        <v>6</v>
      </c>
      <c r="J98" s="19">
        <f t="shared" si="2"/>
        <v>7</v>
      </c>
      <c r="K98" s="11" t="str">
        <f t="shared" si="3"/>
        <v>4a fascia</v>
      </c>
      <c r="L98" s="11" t="s">
        <v>68</v>
      </c>
      <c r="M98" s="21" t="s">
        <v>70</v>
      </c>
      <c r="N98" s="11" t="s">
        <v>71</v>
      </c>
      <c r="O98" s="11" t="s">
        <v>71</v>
      </c>
      <c r="P98" s="19">
        <v>36.0</v>
      </c>
      <c r="Q98" s="22">
        <v>5.82</v>
      </c>
      <c r="R98" s="22">
        <v>5.69</v>
      </c>
      <c r="S98" s="19">
        <v>0.0</v>
      </c>
      <c r="T98" s="19">
        <v>0.0</v>
      </c>
      <c r="U98" s="11" t="s">
        <v>72</v>
      </c>
      <c r="V98" s="19">
        <v>9.0</v>
      </c>
      <c r="W98" s="19">
        <v>0.0</v>
      </c>
      <c r="X98" s="19">
        <v>2.0</v>
      </c>
      <c r="Y98" s="22">
        <v>5.75</v>
      </c>
      <c r="Z98" s="22">
        <v>6.0</v>
      </c>
      <c r="AA98" s="19">
        <v>0.0</v>
      </c>
      <c r="AB98" s="19">
        <v>1.0</v>
      </c>
      <c r="AC98" s="11" t="s">
        <v>232</v>
      </c>
      <c r="AD98" s="11" t="s">
        <v>73</v>
      </c>
      <c r="AE98" s="22">
        <f t="shared" si="4"/>
        <v>5.69</v>
      </c>
      <c r="AF98" s="18" t="s">
        <v>630</v>
      </c>
      <c r="AG98" s="19">
        <v>6.0</v>
      </c>
      <c r="AH98" s="19">
        <f t="shared" si="5"/>
        <v>89</v>
      </c>
      <c r="AI98" s="18"/>
    </row>
    <row r="99" ht="15.75" customHeight="1">
      <c r="A99" s="25">
        <f t="shared" si="1"/>
        <v>96</v>
      </c>
      <c r="B99" s="27">
        <f>ROUND(Guida!$B$22*H99/Guida!$B$29+Guida!$B$23*MAX(0,MIN(1,(AE99-5.4)/1.6))+Guida!$B$24*0+Guida!$B$25*0,1)</f>
        <v>7.3</v>
      </c>
      <c r="C99" s="28" t="s">
        <v>755</v>
      </c>
      <c r="D99" s="25" t="s">
        <v>191</v>
      </c>
      <c r="E99" s="29" t="s">
        <v>377</v>
      </c>
      <c r="F99" s="30">
        <v>5.0</v>
      </c>
      <c r="G99" s="30">
        <v>5.0</v>
      </c>
      <c r="H99" s="30">
        <v>13.0</v>
      </c>
      <c r="I99" s="30">
        <f>MAX(1,ROUND(H99^Guida!$B$18*Guida!$F$12,0))</f>
        <v>6</v>
      </c>
      <c r="J99" s="30">
        <f t="shared" si="2"/>
        <v>7</v>
      </c>
      <c r="K99" s="25" t="str">
        <f t="shared" si="3"/>
        <v>4a fascia</v>
      </c>
      <c r="L99" s="25" t="s">
        <v>332</v>
      </c>
      <c r="M99" s="29" t="s">
        <v>408</v>
      </c>
      <c r="N99" s="25" t="s">
        <v>71</v>
      </c>
      <c r="O99" s="25" t="s">
        <v>71</v>
      </c>
      <c r="P99" s="30">
        <v>22.0</v>
      </c>
      <c r="Q99" s="32">
        <v>5.75</v>
      </c>
      <c r="R99" s="32">
        <v>5.68</v>
      </c>
      <c r="S99" s="30">
        <v>0.0</v>
      </c>
      <c r="T99" s="30">
        <v>0.0</v>
      </c>
      <c r="U99" s="25" t="s">
        <v>72</v>
      </c>
      <c r="V99" s="30">
        <v>3.0</v>
      </c>
      <c r="W99" s="30">
        <v>0.0</v>
      </c>
      <c r="X99" s="30">
        <v>1.0</v>
      </c>
      <c r="Y99" s="32">
        <v>5.0</v>
      </c>
      <c r="Z99" s="32">
        <v>5.0</v>
      </c>
      <c r="AA99" s="30">
        <v>0.0</v>
      </c>
      <c r="AB99" s="30">
        <v>0.0</v>
      </c>
      <c r="AC99" s="25" t="s">
        <v>191</v>
      </c>
      <c r="AD99" s="25" t="s">
        <v>73</v>
      </c>
      <c r="AE99" s="32">
        <f t="shared" si="4"/>
        <v>5.66</v>
      </c>
      <c r="AF99" s="29" t="s">
        <v>636</v>
      </c>
      <c r="AG99" s="30">
        <v>7.0</v>
      </c>
      <c r="AH99" s="30">
        <f t="shared" si="5"/>
        <v>76</v>
      </c>
      <c r="AI99" s="29"/>
    </row>
    <row r="100" ht="15.75" customHeight="1">
      <c r="A100" s="11">
        <f t="shared" si="1"/>
        <v>96</v>
      </c>
      <c r="B100" s="16">
        <f>ROUND(Guida!$B$22*H100/Guida!$B$29+Guida!$B$23*MAX(0,MIN(1,(AE100-5.4)/1.6))+Guida!$B$24*0+Guida!$B$25*0,1)</f>
        <v>7.3</v>
      </c>
      <c r="C100" s="17" t="s">
        <v>762</v>
      </c>
      <c r="D100" s="11" t="s">
        <v>239</v>
      </c>
      <c r="E100" s="18" t="s">
        <v>229</v>
      </c>
      <c r="F100" s="19">
        <v>5.0</v>
      </c>
      <c r="G100" s="19">
        <v>5.0</v>
      </c>
      <c r="H100" s="19">
        <v>13.0</v>
      </c>
      <c r="I100" s="19">
        <f>MAX(1,ROUND(H100^Guida!$B$18*Guida!$F$12,0))</f>
        <v>6</v>
      </c>
      <c r="J100" s="19">
        <f t="shared" si="2"/>
        <v>7</v>
      </c>
      <c r="K100" s="11" t="str">
        <f t="shared" si="3"/>
        <v>4a fascia</v>
      </c>
      <c r="L100" s="11" t="s">
        <v>68</v>
      </c>
      <c r="M100" s="21" t="s">
        <v>70</v>
      </c>
      <c r="N100" s="11" t="s">
        <v>71</v>
      </c>
      <c r="O100" s="11" t="s">
        <v>71</v>
      </c>
      <c r="P100" s="19">
        <v>22.0</v>
      </c>
      <c r="Q100" s="22">
        <v>5.77</v>
      </c>
      <c r="R100" s="22">
        <v>5.68</v>
      </c>
      <c r="S100" s="19">
        <v>0.0</v>
      </c>
      <c r="T100" s="19">
        <v>1.0</v>
      </c>
      <c r="U100" s="11" t="s">
        <v>72</v>
      </c>
      <c r="V100" s="19">
        <v>6.0</v>
      </c>
      <c r="W100" s="19">
        <v>0.0</v>
      </c>
      <c r="X100" s="19">
        <v>2.0</v>
      </c>
      <c r="Y100" s="22">
        <v>5.75</v>
      </c>
      <c r="Z100" s="22">
        <v>5.5</v>
      </c>
      <c r="AA100" s="19">
        <v>0.0</v>
      </c>
      <c r="AB100" s="19">
        <v>0.0</v>
      </c>
      <c r="AC100" s="11" t="s">
        <v>239</v>
      </c>
      <c r="AD100" s="11" t="s">
        <v>73</v>
      </c>
      <c r="AE100" s="22">
        <f t="shared" si="4"/>
        <v>5.66</v>
      </c>
      <c r="AF100" s="18" t="s">
        <v>630</v>
      </c>
      <c r="AG100" s="19">
        <v>6.0</v>
      </c>
      <c r="AH100" s="19">
        <f t="shared" si="5"/>
        <v>76</v>
      </c>
      <c r="AI100" s="18"/>
    </row>
    <row r="101" ht="15.75" customHeight="1">
      <c r="A101" s="25">
        <f t="shared" si="1"/>
        <v>98</v>
      </c>
      <c r="B101" s="27">
        <f>ROUND(Guida!$B$22*H101/Guida!$B$29+Guida!$B$23*MAX(0,MIN(1,(AE101-5.4)/1.6))+Guida!$B$24*0+Guida!$B$25*0,1)</f>
        <v>7.2</v>
      </c>
      <c r="C101" s="28" t="s">
        <v>773</v>
      </c>
      <c r="D101" s="25" t="s">
        <v>239</v>
      </c>
      <c r="E101" s="29" t="s">
        <v>324</v>
      </c>
      <c r="F101" s="30">
        <v>3.0</v>
      </c>
      <c r="G101" s="30">
        <v>4.0</v>
      </c>
      <c r="H101" s="30">
        <v>14.0</v>
      </c>
      <c r="I101" s="30">
        <f>MAX(1,ROUND(H101^Guida!$B$18*Guida!$F$12,0))</f>
        <v>6</v>
      </c>
      <c r="J101" s="30">
        <f t="shared" si="2"/>
        <v>7</v>
      </c>
      <c r="K101" s="25" t="str">
        <f t="shared" si="3"/>
        <v>4a fascia</v>
      </c>
      <c r="L101" s="25" t="s">
        <v>226</v>
      </c>
      <c r="M101" s="29" t="s">
        <v>277</v>
      </c>
      <c r="N101" s="25" t="s">
        <v>71</v>
      </c>
      <c r="O101" s="25" t="s">
        <v>71</v>
      </c>
      <c r="P101" s="30">
        <v>16.0</v>
      </c>
      <c r="Q101" s="32">
        <v>5.62</v>
      </c>
      <c r="R101" s="32">
        <v>5.72</v>
      </c>
      <c r="S101" s="30">
        <v>1.0</v>
      </c>
      <c r="T101" s="30">
        <v>0.0</v>
      </c>
      <c r="U101" s="25" t="s">
        <v>72</v>
      </c>
      <c r="V101" s="30">
        <v>3.0</v>
      </c>
      <c r="W101" s="30">
        <v>0.0</v>
      </c>
      <c r="X101" s="30">
        <v>2.0</v>
      </c>
      <c r="Y101" s="32">
        <v>6.25</v>
      </c>
      <c r="Z101" s="32">
        <v>6.25</v>
      </c>
      <c r="AA101" s="30">
        <v>0.0</v>
      </c>
      <c r="AB101" s="30">
        <v>0.0</v>
      </c>
      <c r="AC101" s="25" t="s">
        <v>239</v>
      </c>
      <c r="AD101" s="25" t="s">
        <v>73</v>
      </c>
      <c r="AE101" s="32">
        <f t="shared" si="4"/>
        <v>5.64</v>
      </c>
      <c r="AF101" s="29" t="s">
        <v>630</v>
      </c>
      <c r="AG101" s="30">
        <v>6.0</v>
      </c>
      <c r="AH101" s="30">
        <f t="shared" si="5"/>
        <v>68</v>
      </c>
      <c r="AI101" s="29"/>
    </row>
    <row r="102" ht="15.75" customHeight="1">
      <c r="A102" s="11">
        <f t="shared" si="1"/>
        <v>98</v>
      </c>
      <c r="B102" s="16">
        <f>ROUND(Guida!$B$22*H102/Guida!$B$29+Guida!$B$23*MAX(0,MIN(1,(AE102-5.4)/1.6))+Guida!$B$24*0+Guida!$B$25*0,1)</f>
        <v>7.2</v>
      </c>
      <c r="C102" s="17" t="s">
        <v>777</v>
      </c>
      <c r="D102" s="11" t="s">
        <v>283</v>
      </c>
      <c r="E102" s="18" t="s">
        <v>428</v>
      </c>
      <c r="F102" s="19">
        <v>3.0</v>
      </c>
      <c r="G102" s="19">
        <v>3.0</v>
      </c>
      <c r="H102" s="19">
        <v>10.0</v>
      </c>
      <c r="I102" s="19">
        <f>MAX(1,ROUND(H102^Guida!$B$18*Guida!$F$12,0))</f>
        <v>5</v>
      </c>
      <c r="J102" s="19">
        <f t="shared" si="2"/>
        <v>6</v>
      </c>
      <c r="K102" s="11" t="str">
        <f t="shared" si="3"/>
        <v>4a fascia</v>
      </c>
      <c r="L102" s="11" t="s">
        <v>226</v>
      </c>
      <c r="M102" s="18" t="s">
        <v>301</v>
      </c>
      <c r="N102" s="11" t="s">
        <v>71</v>
      </c>
      <c r="O102" s="11" t="s">
        <v>71</v>
      </c>
      <c r="P102" s="19">
        <v>28.0</v>
      </c>
      <c r="Q102" s="22">
        <v>5.75</v>
      </c>
      <c r="R102" s="22">
        <v>5.7</v>
      </c>
      <c r="S102" s="19">
        <v>0.0</v>
      </c>
      <c r="T102" s="19">
        <v>2.0</v>
      </c>
      <c r="U102" s="11" t="s">
        <v>72</v>
      </c>
      <c r="V102" s="19">
        <v>5.0</v>
      </c>
      <c r="W102" s="19">
        <v>1.0</v>
      </c>
      <c r="X102" s="19">
        <v>1.0</v>
      </c>
      <c r="Y102" s="22">
        <v>6.0</v>
      </c>
      <c r="Z102" s="22">
        <v>6.0</v>
      </c>
      <c r="AA102" s="19">
        <v>0.0</v>
      </c>
      <c r="AB102" s="19">
        <v>0.0</v>
      </c>
      <c r="AC102" s="11" t="s">
        <v>283</v>
      </c>
      <c r="AD102" s="11" t="s">
        <v>73</v>
      </c>
      <c r="AE102" s="22">
        <f t="shared" si="4"/>
        <v>5.7</v>
      </c>
      <c r="AF102" s="18" t="s">
        <v>630</v>
      </c>
      <c r="AG102" s="19">
        <v>12.0</v>
      </c>
      <c r="AH102" s="19">
        <f t="shared" si="5"/>
        <v>114</v>
      </c>
      <c r="AI102" s="18"/>
    </row>
    <row r="103" ht="15.75" customHeight="1">
      <c r="A103" s="25">
        <f t="shared" si="1"/>
        <v>98</v>
      </c>
      <c r="B103" s="27">
        <f>ROUND(Guida!$B$22*H103/Guida!$B$29+Guida!$B$23*MAX(0,MIN(1,(AE103-5.4)/1.6))+Guida!$B$24*0+Guida!$B$25*0,1)</f>
        <v>7.2</v>
      </c>
      <c r="C103" s="28" t="s">
        <v>779</v>
      </c>
      <c r="D103" s="25" t="s">
        <v>195</v>
      </c>
      <c r="E103" s="29" t="s">
        <v>249</v>
      </c>
      <c r="F103" s="30">
        <v>3.0</v>
      </c>
      <c r="G103" s="30">
        <v>4.0</v>
      </c>
      <c r="H103" s="30">
        <v>10.0</v>
      </c>
      <c r="I103" s="30">
        <f>MAX(1,ROUND(H103^Guida!$B$18*Guida!$F$12,0))</f>
        <v>5</v>
      </c>
      <c r="J103" s="30">
        <f t="shared" si="2"/>
        <v>6</v>
      </c>
      <c r="K103" s="25" t="str">
        <f t="shared" si="3"/>
        <v>4a fascia</v>
      </c>
      <c r="L103" s="25" t="s">
        <v>332</v>
      </c>
      <c r="M103" s="29" t="s">
        <v>473</v>
      </c>
      <c r="N103" s="25" t="s">
        <v>71</v>
      </c>
      <c r="O103" s="25" t="s">
        <v>71</v>
      </c>
      <c r="P103" s="30">
        <v>23.0</v>
      </c>
      <c r="Q103" s="32">
        <v>5.72</v>
      </c>
      <c r="R103" s="32">
        <v>5.72</v>
      </c>
      <c r="S103" s="30">
        <v>0.0</v>
      </c>
      <c r="T103" s="30">
        <v>1.0</v>
      </c>
      <c r="U103" s="25" t="s">
        <v>72</v>
      </c>
      <c r="V103" s="30">
        <v>2.0</v>
      </c>
      <c r="W103" s="30">
        <v>0.0</v>
      </c>
      <c r="X103" s="30">
        <v>2.0</v>
      </c>
      <c r="Y103" s="32">
        <v>6.25</v>
      </c>
      <c r="Z103" s="32">
        <v>6.0</v>
      </c>
      <c r="AA103" s="30">
        <v>0.0</v>
      </c>
      <c r="AB103" s="30">
        <v>0.0</v>
      </c>
      <c r="AC103" s="25" t="s">
        <v>734</v>
      </c>
      <c r="AD103" s="25" t="s">
        <v>103</v>
      </c>
      <c r="AE103" s="32">
        <f t="shared" si="4"/>
        <v>5.7</v>
      </c>
      <c r="AF103" s="29" t="s">
        <v>583</v>
      </c>
      <c r="AG103" s="30">
        <v>7.0</v>
      </c>
      <c r="AH103" s="30">
        <f t="shared" si="5"/>
        <v>114</v>
      </c>
      <c r="AI103" s="29"/>
    </row>
    <row r="104" ht="15.75" customHeight="1">
      <c r="A104" s="11">
        <f t="shared" si="1"/>
        <v>101</v>
      </c>
      <c r="B104" s="16">
        <f>ROUND(Guida!$B$22*H104/Guida!$B$29+Guida!$B$23*MAX(0,MIN(1,(AE104-5.4)/1.6))+Guida!$B$24*0+Guida!$B$25*0,1)</f>
        <v>6.7</v>
      </c>
      <c r="C104" s="17" t="s">
        <v>781</v>
      </c>
      <c r="D104" s="11" t="s">
        <v>175</v>
      </c>
      <c r="E104" s="18" t="s">
        <v>259</v>
      </c>
      <c r="F104" s="19">
        <v>3.0</v>
      </c>
      <c r="G104" s="19">
        <v>3.0</v>
      </c>
      <c r="H104" s="19">
        <v>13.0</v>
      </c>
      <c r="I104" s="19">
        <f>MAX(1,ROUND(H104^Guida!$B$18*Guida!$F$12,0))</f>
        <v>6</v>
      </c>
      <c r="J104" s="19">
        <f t="shared" si="2"/>
        <v>7</v>
      </c>
      <c r="K104" s="11" t="str">
        <f t="shared" si="3"/>
        <v>4a fascia</v>
      </c>
      <c r="L104" s="11" t="s">
        <v>332</v>
      </c>
      <c r="M104" s="18" t="s">
        <v>408</v>
      </c>
      <c r="N104" s="11" t="s">
        <v>71</v>
      </c>
      <c r="O104" s="11" t="s">
        <v>71</v>
      </c>
      <c r="P104" s="19">
        <v>14.0</v>
      </c>
      <c r="Q104" s="22">
        <v>5.64</v>
      </c>
      <c r="R104" s="22">
        <v>5.71</v>
      </c>
      <c r="S104" s="19">
        <v>1.0</v>
      </c>
      <c r="T104" s="19">
        <v>1.0</v>
      </c>
      <c r="U104" s="11" t="s">
        <v>72</v>
      </c>
      <c r="V104" s="19">
        <v>5.0</v>
      </c>
      <c r="W104" s="19">
        <v>1.0</v>
      </c>
      <c r="X104" s="19">
        <v>1.0</v>
      </c>
      <c r="Y104" s="22">
        <v>6.0</v>
      </c>
      <c r="Z104" s="22">
        <v>6.0</v>
      </c>
      <c r="AA104" s="19">
        <v>0.0</v>
      </c>
      <c r="AB104" s="19">
        <v>0.0</v>
      </c>
      <c r="AC104" s="11" t="s">
        <v>175</v>
      </c>
      <c r="AD104" s="11" t="s">
        <v>73</v>
      </c>
      <c r="AE104" s="22">
        <f t="shared" si="4"/>
        <v>5.62</v>
      </c>
      <c r="AF104" s="18" t="s">
        <v>196</v>
      </c>
      <c r="AG104" s="19">
        <v>0.0</v>
      </c>
      <c r="AH104" s="19">
        <f t="shared" si="5"/>
        <v>76</v>
      </c>
      <c r="AI104" s="18"/>
    </row>
    <row r="105" ht="15.75" customHeight="1">
      <c r="A105" s="25">
        <f t="shared" si="1"/>
        <v>102</v>
      </c>
      <c r="B105" s="27">
        <f>ROUND(Guida!$B$22*H105/Guida!$B$29+Guida!$B$23*MAX(0,MIN(1,(AE105-5.4)/1.6))+Guida!$B$24*0+Guida!$B$25*0,1)</f>
        <v>6.6</v>
      </c>
      <c r="C105" s="28" t="s">
        <v>783</v>
      </c>
      <c r="D105" s="25" t="s">
        <v>208</v>
      </c>
      <c r="E105" s="29" t="s">
        <v>137</v>
      </c>
      <c r="F105" s="30">
        <v>8.0</v>
      </c>
      <c r="G105" s="30">
        <v>7.0</v>
      </c>
      <c r="H105" s="30">
        <v>20.0</v>
      </c>
      <c r="I105" s="30">
        <f>MAX(1,ROUND(H105^Guida!$B$18*Guida!$F$12,0))</f>
        <v>8</v>
      </c>
      <c r="J105" s="30">
        <f t="shared" si="2"/>
        <v>10</v>
      </c>
      <c r="K105" s="25" t="str">
        <f t="shared" si="3"/>
        <v>3a fascia</v>
      </c>
      <c r="L105" s="25" t="s">
        <v>68</v>
      </c>
      <c r="M105" s="21" t="s">
        <v>100</v>
      </c>
      <c r="N105" s="25" t="s">
        <v>71</v>
      </c>
      <c r="O105" s="25" t="s">
        <v>71</v>
      </c>
      <c r="P105" s="30"/>
      <c r="Q105" s="32"/>
      <c r="R105" s="32"/>
      <c r="S105" s="30"/>
      <c r="T105" s="30"/>
      <c r="U105" s="25"/>
      <c r="V105" s="30"/>
      <c r="W105" s="30"/>
      <c r="X105" s="30">
        <v>2.0</v>
      </c>
      <c r="Y105" s="32">
        <v>4.0</v>
      </c>
      <c r="Z105" s="32">
        <v>3.75</v>
      </c>
      <c r="AA105" s="30">
        <v>0.0</v>
      </c>
      <c r="AB105" s="30">
        <v>0.0</v>
      </c>
      <c r="AC105" s="25" t="s">
        <v>71</v>
      </c>
      <c r="AD105" s="25" t="s">
        <v>103</v>
      </c>
      <c r="AE105" s="32">
        <f t="shared" si="4"/>
        <v>5.5</v>
      </c>
      <c r="AF105" s="29" t="s">
        <v>412</v>
      </c>
      <c r="AG105" s="30">
        <v>6.0</v>
      </c>
      <c r="AH105" s="30">
        <f t="shared" si="5"/>
        <v>33</v>
      </c>
      <c r="AI105" s="29"/>
    </row>
    <row r="106" ht="15.75" customHeight="1">
      <c r="A106" s="11">
        <f t="shared" si="1"/>
        <v>102</v>
      </c>
      <c r="B106" s="16">
        <f>ROUND(Guida!$B$22*H106/Guida!$B$29+Guida!$B$23*MAX(0,MIN(1,(AE106-5.4)/1.6))+Guida!$B$24*0+Guida!$B$25*0,1)</f>
        <v>6.6</v>
      </c>
      <c r="C106" s="17" t="s">
        <v>786</v>
      </c>
      <c r="D106" s="11" t="s">
        <v>182</v>
      </c>
      <c r="E106" s="18" t="s">
        <v>324</v>
      </c>
      <c r="F106" s="19">
        <v>8.0</v>
      </c>
      <c r="G106" s="19">
        <v>8.0</v>
      </c>
      <c r="H106" s="19">
        <v>20.0</v>
      </c>
      <c r="I106" s="19">
        <f>MAX(1,ROUND(H106^Guida!$B$18*Guida!$F$12,0))</f>
        <v>8</v>
      </c>
      <c r="J106" s="19">
        <f t="shared" si="2"/>
        <v>10</v>
      </c>
      <c r="K106" s="11" t="str">
        <f t="shared" si="3"/>
        <v>3a fascia</v>
      </c>
      <c r="L106" s="11" t="s">
        <v>68</v>
      </c>
      <c r="M106" s="37" t="s">
        <v>214</v>
      </c>
      <c r="N106" s="11" t="s">
        <v>71</v>
      </c>
      <c r="O106" s="11" t="s">
        <v>71</v>
      </c>
      <c r="P106" s="19"/>
      <c r="Q106" s="22"/>
      <c r="R106" s="22"/>
      <c r="S106" s="19"/>
      <c r="T106" s="19"/>
      <c r="U106" s="11"/>
      <c r="V106" s="19"/>
      <c r="W106" s="19"/>
      <c r="X106" s="19">
        <v>0.0</v>
      </c>
      <c r="Y106" s="22"/>
      <c r="Z106" s="22"/>
      <c r="AA106" s="19"/>
      <c r="AB106" s="19"/>
      <c r="AC106" s="11" t="s">
        <v>71</v>
      </c>
      <c r="AD106" s="11" t="s">
        <v>103</v>
      </c>
      <c r="AE106" s="22">
        <f t="shared" si="4"/>
        <v>5.5</v>
      </c>
      <c r="AF106" s="18" t="s">
        <v>113</v>
      </c>
      <c r="AG106" s="19">
        <v>6.0</v>
      </c>
      <c r="AH106" s="19">
        <f t="shared" si="5"/>
        <v>33</v>
      </c>
      <c r="AI106" s="18"/>
    </row>
    <row r="107" ht="15.75" customHeight="1">
      <c r="A107" s="25">
        <f t="shared" si="1"/>
        <v>102</v>
      </c>
      <c r="B107" s="27">
        <f>ROUND(Guida!$B$22*H107/Guida!$B$29+Guida!$B$23*MAX(0,MIN(1,(AE107-5.4)/1.6))+Guida!$B$24*0+Guida!$B$25*0,1)</f>
        <v>6.6</v>
      </c>
      <c r="C107" s="28" t="s">
        <v>788</v>
      </c>
      <c r="D107" s="25" t="s">
        <v>264</v>
      </c>
      <c r="E107" s="29" t="s">
        <v>428</v>
      </c>
      <c r="F107" s="30">
        <v>1.0</v>
      </c>
      <c r="G107" s="30">
        <v>1.0</v>
      </c>
      <c r="H107" s="30">
        <v>10.0</v>
      </c>
      <c r="I107" s="30">
        <f>MAX(1,ROUND(H107^Guida!$B$18*Guida!$F$12,0))</f>
        <v>5</v>
      </c>
      <c r="J107" s="30">
        <f t="shared" si="2"/>
        <v>6</v>
      </c>
      <c r="K107" s="25" t="str">
        <f t="shared" si="3"/>
        <v>4a fascia</v>
      </c>
      <c r="L107" s="25" t="s">
        <v>332</v>
      </c>
      <c r="M107" s="29" t="s">
        <v>338</v>
      </c>
      <c r="N107" s="25" t="s">
        <v>71</v>
      </c>
      <c r="O107" s="25" t="s">
        <v>71</v>
      </c>
      <c r="P107" s="30">
        <v>9.0</v>
      </c>
      <c r="Q107" s="32">
        <v>5.94</v>
      </c>
      <c r="R107" s="32">
        <v>5.94</v>
      </c>
      <c r="S107" s="30">
        <v>0.0</v>
      </c>
      <c r="T107" s="30">
        <v>1.0</v>
      </c>
      <c r="U107" s="25" t="s">
        <v>72</v>
      </c>
      <c r="V107" s="30">
        <v>0.0</v>
      </c>
      <c r="W107" s="30">
        <v>1.0</v>
      </c>
      <c r="X107" s="30">
        <v>0.0</v>
      </c>
      <c r="Y107" s="32"/>
      <c r="Z107" s="32"/>
      <c r="AA107" s="30"/>
      <c r="AB107" s="30"/>
      <c r="AC107" s="25" t="s">
        <v>191</v>
      </c>
      <c r="AD107" s="25" t="s">
        <v>103</v>
      </c>
      <c r="AE107" s="32">
        <f t="shared" si="4"/>
        <v>5.66</v>
      </c>
      <c r="AF107" s="29" t="s">
        <v>270</v>
      </c>
      <c r="AG107" s="30">
        <v>6.0</v>
      </c>
      <c r="AH107" s="30">
        <f t="shared" si="5"/>
        <v>114</v>
      </c>
      <c r="AI107" s="29"/>
    </row>
    <row r="108" ht="15.75" customHeight="1">
      <c r="A108" s="11">
        <f t="shared" si="1"/>
        <v>105</v>
      </c>
      <c r="B108" s="16">
        <f>ROUND(Guida!$B$22*H108/Guida!$B$29+Guida!$B$23*MAX(0,MIN(1,(AE108-5.4)/1.6))+Guida!$B$24*0+Guida!$B$25*0,1)</f>
        <v>6.4</v>
      </c>
      <c r="C108" s="17" t="s">
        <v>790</v>
      </c>
      <c r="D108" s="11" t="s">
        <v>232</v>
      </c>
      <c r="E108" s="18" t="s">
        <v>137</v>
      </c>
      <c r="F108" s="19">
        <v>5.0</v>
      </c>
      <c r="G108" s="19">
        <v>5.0</v>
      </c>
      <c r="H108" s="19">
        <v>12.0</v>
      </c>
      <c r="I108" s="19">
        <f>MAX(1,ROUND(H108^Guida!$B$18*Guida!$F$12,0))</f>
        <v>6</v>
      </c>
      <c r="J108" s="19">
        <f t="shared" si="2"/>
        <v>7</v>
      </c>
      <c r="K108" s="11" t="str">
        <f t="shared" si="3"/>
        <v>4a fascia</v>
      </c>
      <c r="L108" s="11" t="s">
        <v>68</v>
      </c>
      <c r="M108" s="21" t="s">
        <v>70</v>
      </c>
      <c r="N108" s="11" t="s">
        <v>71</v>
      </c>
      <c r="O108" s="11" t="s">
        <v>71</v>
      </c>
      <c r="P108" s="19">
        <v>21.0</v>
      </c>
      <c r="Q108" s="22">
        <v>5.83</v>
      </c>
      <c r="R108" s="22">
        <v>5.64</v>
      </c>
      <c r="S108" s="19">
        <v>0.0</v>
      </c>
      <c r="T108" s="19">
        <v>0.0</v>
      </c>
      <c r="U108" s="11" t="s">
        <v>72</v>
      </c>
      <c r="V108" s="19">
        <v>6.0</v>
      </c>
      <c r="W108" s="19">
        <v>1.0</v>
      </c>
      <c r="X108" s="19">
        <v>2.0</v>
      </c>
      <c r="Y108" s="22">
        <v>5.5</v>
      </c>
      <c r="Z108" s="22">
        <v>5.25</v>
      </c>
      <c r="AA108" s="19">
        <v>0.0</v>
      </c>
      <c r="AB108" s="19">
        <v>0.0</v>
      </c>
      <c r="AC108" s="11" t="s">
        <v>232</v>
      </c>
      <c r="AD108" s="11" t="s">
        <v>73</v>
      </c>
      <c r="AE108" s="22">
        <f t="shared" si="4"/>
        <v>5.62</v>
      </c>
      <c r="AF108" s="18" t="s">
        <v>417</v>
      </c>
      <c r="AG108" s="19">
        <v>4.0</v>
      </c>
      <c r="AH108" s="19">
        <f t="shared" si="5"/>
        <v>89</v>
      </c>
      <c r="AI108" s="18"/>
    </row>
    <row r="109" ht="15.75" customHeight="1">
      <c r="A109" s="25">
        <f t="shared" si="1"/>
        <v>106</v>
      </c>
      <c r="B109" s="27">
        <f>ROUND(Guida!$B$22*H109/Guida!$B$29+Guida!$B$23*MAX(0,MIN(1,(AE109-5.4)/1.6))+Guida!$B$24*0+Guida!$B$25*0,1)</f>
        <v>6.3</v>
      </c>
      <c r="C109" s="28" t="s">
        <v>792</v>
      </c>
      <c r="D109" s="25" t="s">
        <v>195</v>
      </c>
      <c r="E109" s="29" t="s">
        <v>137</v>
      </c>
      <c r="F109" s="30">
        <v>7.0</v>
      </c>
      <c r="G109" s="30">
        <v>7.0</v>
      </c>
      <c r="H109" s="30">
        <v>19.0</v>
      </c>
      <c r="I109" s="30">
        <f>MAX(1,ROUND(H109^Guida!$B$18*Guida!$F$12,0))</f>
        <v>7</v>
      </c>
      <c r="J109" s="30">
        <f t="shared" si="2"/>
        <v>8</v>
      </c>
      <c r="K109" s="25" t="str">
        <f t="shared" si="3"/>
        <v>3a fascia</v>
      </c>
      <c r="L109" s="25" t="s">
        <v>68</v>
      </c>
      <c r="M109" s="37" t="s">
        <v>214</v>
      </c>
      <c r="N109" s="25" t="s">
        <v>71</v>
      </c>
      <c r="O109" s="25" t="s">
        <v>71</v>
      </c>
      <c r="P109" s="30"/>
      <c r="Q109" s="32"/>
      <c r="R109" s="32"/>
      <c r="S109" s="30"/>
      <c r="T109" s="30"/>
      <c r="U109" s="25"/>
      <c r="V109" s="30"/>
      <c r="W109" s="30"/>
      <c r="X109" s="30">
        <v>0.0</v>
      </c>
      <c r="Y109" s="32"/>
      <c r="Z109" s="32"/>
      <c r="AA109" s="30"/>
      <c r="AB109" s="30"/>
      <c r="AC109" s="25" t="s">
        <v>71</v>
      </c>
      <c r="AD109" s="25" t="s">
        <v>103</v>
      </c>
      <c r="AE109" s="32">
        <f t="shared" si="4"/>
        <v>5.5</v>
      </c>
      <c r="AF109" s="29" t="s">
        <v>223</v>
      </c>
      <c r="AG109" s="30">
        <v>0.0</v>
      </c>
      <c r="AH109" s="30">
        <f t="shared" si="5"/>
        <v>44</v>
      </c>
      <c r="AI109" s="29"/>
    </row>
    <row r="110" ht="15.75" customHeight="1">
      <c r="A110" s="11">
        <f t="shared" si="1"/>
        <v>107</v>
      </c>
      <c r="B110" s="16">
        <f>ROUND(Guida!$B$22*H110/Guida!$B$29+Guida!$B$23*MAX(0,MIN(1,(AE110-5.4)/1.6))+Guida!$B$24*0+Guida!$B$25*0,1)</f>
        <v>6.2</v>
      </c>
      <c r="C110" s="17" t="s">
        <v>794</v>
      </c>
      <c r="D110" s="11" t="s">
        <v>208</v>
      </c>
      <c r="E110" s="18" t="s">
        <v>137</v>
      </c>
      <c r="F110" s="19">
        <v>4.0</v>
      </c>
      <c r="G110" s="19">
        <v>4.0</v>
      </c>
      <c r="H110" s="19">
        <v>8.0</v>
      </c>
      <c r="I110" s="19">
        <f>MAX(1,ROUND(H110^Guida!$B$18*Guida!$F$12,0))</f>
        <v>4</v>
      </c>
      <c r="J110" s="19">
        <f t="shared" si="2"/>
        <v>5</v>
      </c>
      <c r="K110" s="11" t="str">
        <f t="shared" si="3"/>
        <v>4a fascia</v>
      </c>
      <c r="L110" s="11" t="s">
        <v>332</v>
      </c>
      <c r="M110" s="18" t="s">
        <v>408</v>
      </c>
      <c r="N110" s="11" t="s">
        <v>71</v>
      </c>
      <c r="O110" s="11" t="s">
        <v>71</v>
      </c>
      <c r="P110" s="19">
        <v>35.0</v>
      </c>
      <c r="Q110" s="22">
        <v>5.84</v>
      </c>
      <c r="R110" s="22">
        <v>5.67</v>
      </c>
      <c r="S110" s="19">
        <v>0.0</v>
      </c>
      <c r="T110" s="19">
        <v>0.0</v>
      </c>
      <c r="U110" s="11" t="s">
        <v>72</v>
      </c>
      <c r="V110" s="19">
        <v>12.0</v>
      </c>
      <c r="W110" s="19">
        <v>0.0</v>
      </c>
      <c r="X110" s="19">
        <v>1.0</v>
      </c>
      <c r="Y110" s="22">
        <v>5.0</v>
      </c>
      <c r="Z110" s="22">
        <v>5.0</v>
      </c>
      <c r="AA110" s="19">
        <v>0.0</v>
      </c>
      <c r="AB110" s="19">
        <v>0.0</v>
      </c>
      <c r="AC110" s="11" t="s">
        <v>208</v>
      </c>
      <c r="AD110" s="11" t="s">
        <v>73</v>
      </c>
      <c r="AE110" s="22">
        <f t="shared" si="4"/>
        <v>5.67</v>
      </c>
      <c r="AF110" s="18" t="s">
        <v>412</v>
      </c>
      <c r="AG110" s="19">
        <v>6.0</v>
      </c>
      <c r="AH110" s="19">
        <f t="shared" si="5"/>
        <v>138</v>
      </c>
      <c r="AI110" s="18"/>
    </row>
    <row r="111" ht="15.75" customHeight="1">
      <c r="A111" s="25">
        <f t="shared" si="1"/>
        <v>108</v>
      </c>
      <c r="B111" s="27">
        <f>ROUND(Guida!$B$22*H111/Guida!$B$29+Guida!$B$23*MAX(0,MIN(1,(AE111-5.4)/1.6))+Guida!$B$24*0+Guida!$B$25*0,1)</f>
        <v>6.1</v>
      </c>
      <c r="C111" s="28" t="s">
        <v>796</v>
      </c>
      <c r="D111" s="25" t="s">
        <v>191</v>
      </c>
      <c r="E111" s="29" t="s">
        <v>137</v>
      </c>
      <c r="F111" s="30">
        <v>7.0</v>
      </c>
      <c r="G111" s="30">
        <v>7.0</v>
      </c>
      <c r="H111" s="30">
        <v>18.0</v>
      </c>
      <c r="I111" s="30">
        <f>MAX(1,ROUND(H111^Guida!$B$18*Guida!$F$12,0))</f>
        <v>7</v>
      </c>
      <c r="J111" s="30">
        <f t="shared" si="2"/>
        <v>8</v>
      </c>
      <c r="K111" s="25" t="str">
        <f t="shared" si="3"/>
        <v>3a fascia</v>
      </c>
      <c r="L111" s="25" t="s">
        <v>68</v>
      </c>
      <c r="M111" s="37" t="s">
        <v>214</v>
      </c>
      <c r="N111" s="25" t="s">
        <v>71</v>
      </c>
      <c r="O111" s="25" t="s">
        <v>71</v>
      </c>
      <c r="P111" s="30"/>
      <c r="Q111" s="32"/>
      <c r="R111" s="32"/>
      <c r="S111" s="30"/>
      <c r="T111" s="30"/>
      <c r="U111" s="25"/>
      <c r="V111" s="30"/>
      <c r="W111" s="30"/>
      <c r="X111" s="30">
        <v>0.0</v>
      </c>
      <c r="Y111" s="32"/>
      <c r="Z111" s="32"/>
      <c r="AA111" s="30"/>
      <c r="AB111" s="30"/>
      <c r="AC111" s="25" t="s">
        <v>71</v>
      </c>
      <c r="AD111" s="25" t="s">
        <v>103</v>
      </c>
      <c r="AE111" s="32">
        <f t="shared" si="4"/>
        <v>5.5</v>
      </c>
      <c r="AF111" s="29" t="s">
        <v>223</v>
      </c>
      <c r="AG111" s="30">
        <v>3.0</v>
      </c>
      <c r="AH111" s="30">
        <f t="shared" si="5"/>
        <v>49</v>
      </c>
      <c r="AI111" s="29"/>
    </row>
    <row r="112" ht="15.75" customHeight="1">
      <c r="A112" s="11">
        <f t="shared" si="1"/>
        <v>109</v>
      </c>
      <c r="B112" s="16">
        <f>ROUND(Guida!$B$22*H112/Guida!$B$29+Guida!$B$23*MAX(0,MIN(1,(AE112-5.4)/1.6))+Guida!$B$24*0+Guida!$B$25*0,1)</f>
        <v>5.8</v>
      </c>
      <c r="C112" s="17" t="s">
        <v>798</v>
      </c>
      <c r="D112" s="11" t="s">
        <v>208</v>
      </c>
      <c r="E112" s="18" t="s">
        <v>428</v>
      </c>
      <c r="F112" s="19">
        <v>8.0</v>
      </c>
      <c r="G112" s="19">
        <v>7.0</v>
      </c>
      <c r="H112" s="19">
        <v>18.0</v>
      </c>
      <c r="I112" s="19">
        <f>MAX(1,ROUND(H112^Guida!$B$18*Guida!$F$12,0))</f>
        <v>7</v>
      </c>
      <c r="J112" s="19">
        <f t="shared" si="2"/>
        <v>8</v>
      </c>
      <c r="K112" s="11" t="str">
        <f t="shared" si="3"/>
        <v>3a fascia</v>
      </c>
      <c r="L112" s="11" t="s">
        <v>68</v>
      </c>
      <c r="M112" s="21" t="s">
        <v>100</v>
      </c>
      <c r="N112" s="11" t="s">
        <v>71</v>
      </c>
      <c r="O112" s="11" t="s">
        <v>71</v>
      </c>
      <c r="P112" s="19">
        <v>1.0</v>
      </c>
      <c r="Q112" s="22">
        <v>5.5</v>
      </c>
      <c r="R112" s="22">
        <v>5.0</v>
      </c>
      <c r="S112" s="19">
        <v>0.0</v>
      </c>
      <c r="T112" s="19">
        <v>0.0</v>
      </c>
      <c r="U112" s="11" t="s">
        <v>72</v>
      </c>
      <c r="V112" s="19">
        <v>1.0</v>
      </c>
      <c r="W112" s="19">
        <v>0.0</v>
      </c>
      <c r="X112" s="19">
        <v>2.0</v>
      </c>
      <c r="Y112" s="22">
        <v>5.0</v>
      </c>
      <c r="Z112" s="22">
        <v>4.75</v>
      </c>
      <c r="AA112" s="19">
        <v>0.0</v>
      </c>
      <c r="AB112" s="19">
        <v>0.0</v>
      </c>
      <c r="AC112" s="11" t="s">
        <v>175</v>
      </c>
      <c r="AD112" s="11" t="s">
        <v>103</v>
      </c>
      <c r="AE112" s="22">
        <f t="shared" si="4"/>
        <v>5.48</v>
      </c>
      <c r="AF112" s="18" t="s">
        <v>412</v>
      </c>
      <c r="AG112" s="19">
        <v>6.0</v>
      </c>
      <c r="AH112" s="19">
        <f t="shared" si="5"/>
        <v>49</v>
      </c>
      <c r="AI112" s="18"/>
    </row>
    <row r="113" ht="15.75" customHeight="1">
      <c r="A113" s="25">
        <f t="shared" si="1"/>
        <v>110</v>
      </c>
      <c r="B113" s="27">
        <f>ROUND(Guida!$B$22*H113/Guida!$B$29+Guida!$B$23*MAX(0,MIN(1,(AE113-5.4)/1.6))+Guida!$B$24*0+Guida!$B$25*0,1)</f>
        <v>5.7</v>
      </c>
      <c r="C113" s="28" t="s">
        <v>801</v>
      </c>
      <c r="D113" s="25" t="s">
        <v>64</v>
      </c>
      <c r="E113" s="29" t="s">
        <v>229</v>
      </c>
      <c r="F113" s="30">
        <v>6.0</v>
      </c>
      <c r="G113" s="30">
        <v>6.0</v>
      </c>
      <c r="H113" s="30">
        <v>14.0</v>
      </c>
      <c r="I113" s="30">
        <f>MAX(1,ROUND(H113^Guida!$B$18*Guida!$F$12,0))</f>
        <v>6</v>
      </c>
      <c r="J113" s="30">
        <f t="shared" si="2"/>
        <v>7</v>
      </c>
      <c r="K113" s="25" t="str">
        <f t="shared" si="3"/>
        <v>4a fascia</v>
      </c>
      <c r="L113" s="25" t="s">
        <v>332</v>
      </c>
      <c r="M113" s="29" t="s">
        <v>408</v>
      </c>
      <c r="N113" s="25" t="s">
        <v>71</v>
      </c>
      <c r="O113" s="25" t="s">
        <v>71</v>
      </c>
      <c r="P113" s="30">
        <v>1.0</v>
      </c>
      <c r="Q113" s="32">
        <v>6.5</v>
      </c>
      <c r="R113" s="32">
        <v>6.5</v>
      </c>
      <c r="S113" s="30">
        <v>0.0</v>
      </c>
      <c r="T113" s="30">
        <v>0.0</v>
      </c>
      <c r="U113" s="25" t="s">
        <v>72</v>
      </c>
      <c r="V113" s="30">
        <v>0.0</v>
      </c>
      <c r="W113" s="30">
        <v>0.0</v>
      </c>
      <c r="X113" s="30">
        <v>1.0</v>
      </c>
      <c r="Y113" s="32">
        <v>6.0</v>
      </c>
      <c r="Z113" s="32">
        <v>6.0</v>
      </c>
      <c r="AA113" s="30">
        <v>0.0</v>
      </c>
      <c r="AB113" s="30">
        <v>0.0</v>
      </c>
      <c r="AC113" s="25" t="s">
        <v>64</v>
      </c>
      <c r="AD113" s="25" t="s">
        <v>73</v>
      </c>
      <c r="AE113" s="32">
        <f t="shared" si="4"/>
        <v>5.54</v>
      </c>
      <c r="AF113" s="29" t="s">
        <v>85</v>
      </c>
      <c r="AG113" s="30">
        <v>0.0</v>
      </c>
      <c r="AH113" s="30">
        <f t="shared" si="5"/>
        <v>68</v>
      </c>
      <c r="AI113" s="29"/>
    </row>
    <row r="114" ht="15.75" customHeight="1">
      <c r="A114" s="11">
        <f t="shared" si="1"/>
        <v>111</v>
      </c>
      <c r="B114" s="16">
        <f>ROUND(Guida!$B$22*H114/Guida!$B$29+Guida!$B$23*MAX(0,MIN(1,(AE114-5.4)/1.6))+Guida!$B$24*0+Guida!$B$25*0,1)</f>
        <v>5.6</v>
      </c>
      <c r="C114" s="17" t="s">
        <v>802</v>
      </c>
      <c r="D114" s="11" t="s">
        <v>195</v>
      </c>
      <c r="E114" s="18" t="s">
        <v>137</v>
      </c>
      <c r="F114" s="19">
        <v>7.0</v>
      </c>
      <c r="G114" s="19">
        <v>8.0</v>
      </c>
      <c r="H114" s="19">
        <v>16.0</v>
      </c>
      <c r="I114" s="19">
        <f>MAX(1,ROUND(H114^Guida!$B$18*Guida!$F$12,0))</f>
        <v>7</v>
      </c>
      <c r="J114" s="19">
        <f t="shared" si="2"/>
        <v>8</v>
      </c>
      <c r="K114" s="11" t="str">
        <f t="shared" si="3"/>
        <v>3a fascia</v>
      </c>
      <c r="L114" s="11" t="s">
        <v>68</v>
      </c>
      <c r="M114" s="21" t="s">
        <v>100</v>
      </c>
      <c r="N114" s="11" t="s">
        <v>71</v>
      </c>
      <c r="O114" s="11" t="s">
        <v>71</v>
      </c>
      <c r="P114" s="19"/>
      <c r="Q114" s="22"/>
      <c r="R114" s="22"/>
      <c r="S114" s="19"/>
      <c r="T114" s="19"/>
      <c r="U114" s="11"/>
      <c r="V114" s="19"/>
      <c r="W114" s="19"/>
      <c r="X114" s="19">
        <v>2.0</v>
      </c>
      <c r="Y114" s="22">
        <v>6.25</v>
      </c>
      <c r="Z114" s="22">
        <v>6.25</v>
      </c>
      <c r="AA114" s="19">
        <v>0.0</v>
      </c>
      <c r="AB114" s="19">
        <v>0.0</v>
      </c>
      <c r="AC114" s="11" t="s">
        <v>71</v>
      </c>
      <c r="AD114" s="11" t="s">
        <v>103</v>
      </c>
      <c r="AE114" s="22">
        <f t="shared" si="4"/>
        <v>5.5</v>
      </c>
      <c r="AF114" s="18" t="s">
        <v>223</v>
      </c>
      <c r="AG114" s="19">
        <v>0.0</v>
      </c>
      <c r="AH114" s="19">
        <f t="shared" si="5"/>
        <v>55</v>
      </c>
      <c r="AI114" s="18"/>
    </row>
    <row r="115" ht="15.75" customHeight="1">
      <c r="A115" s="25">
        <f t="shared" si="1"/>
        <v>111</v>
      </c>
      <c r="B115" s="27">
        <f>ROUND(Guida!$B$22*H115/Guida!$B$29+Guida!$B$23*MAX(0,MIN(1,(AE115-5.4)/1.6))+Guida!$B$24*0+Guida!$B$25*0,1)</f>
        <v>5.6</v>
      </c>
      <c r="C115" s="28" t="s">
        <v>804</v>
      </c>
      <c r="D115" s="25" t="s">
        <v>208</v>
      </c>
      <c r="E115" s="29" t="s">
        <v>324</v>
      </c>
      <c r="F115" s="30">
        <v>6.0</v>
      </c>
      <c r="G115" s="30">
        <v>5.0</v>
      </c>
      <c r="H115" s="30">
        <v>16.0</v>
      </c>
      <c r="I115" s="30">
        <f>MAX(1,ROUND(H115^Guida!$B$18*Guida!$F$12,0))</f>
        <v>7</v>
      </c>
      <c r="J115" s="30">
        <f t="shared" si="2"/>
        <v>8</v>
      </c>
      <c r="K115" s="25" t="str">
        <f t="shared" si="3"/>
        <v>3a fascia</v>
      </c>
      <c r="L115" s="25" t="s">
        <v>226</v>
      </c>
      <c r="M115" s="29" t="s">
        <v>495</v>
      </c>
      <c r="N115" s="25" t="s">
        <v>71</v>
      </c>
      <c r="O115" s="25" t="s">
        <v>71</v>
      </c>
      <c r="P115" s="30"/>
      <c r="Q115" s="32"/>
      <c r="R115" s="32"/>
      <c r="S115" s="30"/>
      <c r="T115" s="30"/>
      <c r="U115" s="25"/>
      <c r="V115" s="30"/>
      <c r="W115" s="30"/>
      <c r="X115" s="30">
        <v>1.0</v>
      </c>
      <c r="Y115" s="32">
        <v>5.0</v>
      </c>
      <c r="Z115" s="32">
        <v>5.0</v>
      </c>
      <c r="AA115" s="30">
        <v>0.0</v>
      </c>
      <c r="AB115" s="30">
        <v>0.0</v>
      </c>
      <c r="AC115" s="25" t="s">
        <v>71</v>
      </c>
      <c r="AD115" s="25" t="s">
        <v>103</v>
      </c>
      <c r="AE115" s="32">
        <f t="shared" si="4"/>
        <v>5.5</v>
      </c>
      <c r="AF115" s="29" t="s">
        <v>412</v>
      </c>
      <c r="AG115" s="30">
        <v>6.0</v>
      </c>
      <c r="AH115" s="30">
        <f t="shared" si="5"/>
        <v>55</v>
      </c>
      <c r="AI115" s="29"/>
    </row>
    <row r="116" ht="15.75" customHeight="1">
      <c r="A116" s="11">
        <f t="shared" si="1"/>
        <v>111</v>
      </c>
      <c r="B116" s="16">
        <f>ROUND(Guida!$B$22*H116/Guida!$B$29+Guida!$B$23*MAX(0,MIN(1,(AE116-5.4)/1.6))+Guida!$B$24*0+Guida!$B$25*0,1)</f>
        <v>5.6</v>
      </c>
      <c r="C116" s="17" t="s">
        <v>805</v>
      </c>
      <c r="D116" s="11" t="s">
        <v>264</v>
      </c>
      <c r="E116" s="18" t="s">
        <v>324</v>
      </c>
      <c r="F116" s="19">
        <v>4.0</v>
      </c>
      <c r="G116" s="19">
        <v>4.0</v>
      </c>
      <c r="H116" s="19">
        <v>10.0</v>
      </c>
      <c r="I116" s="19">
        <f>MAX(1,ROUND(H116^Guida!$B$18*Guida!$F$12,0))</f>
        <v>5</v>
      </c>
      <c r="J116" s="19">
        <f t="shared" si="2"/>
        <v>6</v>
      </c>
      <c r="K116" s="11" t="str">
        <f t="shared" si="3"/>
        <v>4a fascia</v>
      </c>
      <c r="L116" s="11" t="s">
        <v>226</v>
      </c>
      <c r="M116" s="18" t="s">
        <v>227</v>
      </c>
      <c r="N116" s="11" t="s">
        <v>71</v>
      </c>
      <c r="O116" s="11" t="s">
        <v>71</v>
      </c>
      <c r="P116" s="19">
        <v>21.0</v>
      </c>
      <c r="Q116" s="22">
        <v>5.86</v>
      </c>
      <c r="R116" s="22">
        <v>5.62</v>
      </c>
      <c r="S116" s="19">
        <v>0.0</v>
      </c>
      <c r="T116" s="19">
        <v>0.0</v>
      </c>
      <c r="U116" s="11" t="s">
        <v>72</v>
      </c>
      <c r="V116" s="19">
        <v>8.0</v>
      </c>
      <c r="W116" s="19">
        <v>1.0</v>
      </c>
      <c r="X116" s="19">
        <v>0.0</v>
      </c>
      <c r="Y116" s="22"/>
      <c r="Z116" s="22"/>
      <c r="AA116" s="19"/>
      <c r="AB116" s="19"/>
      <c r="AC116" s="11" t="s">
        <v>191</v>
      </c>
      <c r="AD116" s="11" t="s">
        <v>103</v>
      </c>
      <c r="AE116" s="22">
        <f t="shared" si="4"/>
        <v>5.6</v>
      </c>
      <c r="AF116" s="18" t="s">
        <v>270</v>
      </c>
      <c r="AG116" s="19">
        <v>6.0</v>
      </c>
      <c r="AH116" s="19">
        <f t="shared" si="5"/>
        <v>114</v>
      </c>
      <c r="AI116" s="18"/>
    </row>
    <row r="117" ht="15.75" customHeight="1">
      <c r="A117" s="25">
        <f t="shared" si="1"/>
        <v>114</v>
      </c>
      <c r="B117" s="27">
        <f>ROUND(Guida!$B$22*H117/Guida!$B$29+Guida!$B$23*MAX(0,MIN(1,(AE117-5.4)/1.6))+Guida!$B$24*0+Guida!$B$25*0,1)</f>
        <v>5.4</v>
      </c>
      <c r="C117" s="28" t="s">
        <v>809</v>
      </c>
      <c r="D117" s="25" t="s">
        <v>272</v>
      </c>
      <c r="E117" s="29" t="s">
        <v>229</v>
      </c>
      <c r="F117" s="30">
        <v>3.0</v>
      </c>
      <c r="G117" s="30">
        <v>3.0</v>
      </c>
      <c r="H117" s="30">
        <v>14.0</v>
      </c>
      <c r="I117" s="30">
        <f>MAX(1,ROUND(H117^Guida!$B$18*Guida!$F$12,0))</f>
        <v>6</v>
      </c>
      <c r="J117" s="30">
        <f t="shared" si="2"/>
        <v>7</v>
      </c>
      <c r="K117" s="25" t="str">
        <f t="shared" si="3"/>
        <v>4a fascia</v>
      </c>
      <c r="L117" s="25" t="s">
        <v>68</v>
      </c>
      <c r="M117" s="21" t="s">
        <v>100</v>
      </c>
      <c r="N117" s="25" t="s">
        <v>71</v>
      </c>
      <c r="O117" s="25" t="s">
        <v>71</v>
      </c>
      <c r="P117" s="30">
        <v>1.0</v>
      </c>
      <c r="Q117" s="32">
        <v>6.0</v>
      </c>
      <c r="R117" s="32">
        <v>6.0</v>
      </c>
      <c r="S117" s="30">
        <v>0.0</v>
      </c>
      <c r="T117" s="30">
        <v>0.0</v>
      </c>
      <c r="U117" s="25" t="s">
        <v>72</v>
      </c>
      <c r="V117" s="30">
        <v>0.0</v>
      </c>
      <c r="W117" s="30">
        <v>0.0</v>
      </c>
      <c r="X117" s="30">
        <v>2.0</v>
      </c>
      <c r="Y117" s="32">
        <v>5.75</v>
      </c>
      <c r="Z117" s="32">
        <v>5.5</v>
      </c>
      <c r="AA117" s="30">
        <v>0.0</v>
      </c>
      <c r="AB117" s="30">
        <v>0.0</v>
      </c>
      <c r="AC117" s="25" t="s">
        <v>208</v>
      </c>
      <c r="AD117" s="25" t="s">
        <v>103</v>
      </c>
      <c r="AE117" s="32">
        <f t="shared" si="4"/>
        <v>5.52</v>
      </c>
      <c r="AF117" s="29" t="s">
        <v>288</v>
      </c>
      <c r="AG117" s="30">
        <v>6.0</v>
      </c>
      <c r="AH117" s="30">
        <f t="shared" si="5"/>
        <v>68</v>
      </c>
      <c r="AI117" s="29"/>
    </row>
    <row r="118" ht="15.75" customHeight="1">
      <c r="A118" s="11">
        <f t="shared" si="1"/>
        <v>114</v>
      </c>
      <c r="B118" s="16">
        <f>ROUND(Guida!$B$22*H118/Guida!$B$29+Guida!$B$23*MAX(0,MIN(1,(AE118-5.4)/1.6))+Guida!$B$24*0+Guida!$B$25*0,1)</f>
        <v>5.4</v>
      </c>
      <c r="C118" s="17" t="s">
        <v>823</v>
      </c>
      <c r="D118" s="11" t="s">
        <v>182</v>
      </c>
      <c r="E118" s="18" t="s">
        <v>249</v>
      </c>
      <c r="F118" s="19">
        <v>1.0</v>
      </c>
      <c r="G118" s="19">
        <v>1.0</v>
      </c>
      <c r="H118" s="19">
        <v>4.0</v>
      </c>
      <c r="I118" s="19">
        <f>MAX(1,ROUND(H118^Guida!$B$18*Guida!$F$12,0))</f>
        <v>3</v>
      </c>
      <c r="J118" s="19">
        <f t="shared" si="2"/>
        <v>4</v>
      </c>
      <c r="K118" s="11" t="str">
        <f t="shared" si="3"/>
        <v>4a fascia</v>
      </c>
      <c r="L118" s="11" t="s">
        <v>332</v>
      </c>
      <c r="M118" s="18" t="s">
        <v>333</v>
      </c>
      <c r="N118" s="11" t="s">
        <v>71</v>
      </c>
      <c r="O118" s="11" t="s">
        <v>71</v>
      </c>
      <c r="P118" s="19">
        <v>10.0</v>
      </c>
      <c r="Q118" s="22">
        <v>6.05</v>
      </c>
      <c r="R118" s="22">
        <v>5.95</v>
      </c>
      <c r="S118" s="19">
        <v>0.0</v>
      </c>
      <c r="T118" s="19">
        <v>0.0</v>
      </c>
      <c r="U118" s="11" t="s">
        <v>72</v>
      </c>
      <c r="V118" s="19">
        <v>2.0</v>
      </c>
      <c r="W118" s="19">
        <v>0.0</v>
      </c>
      <c r="X118" s="19">
        <v>0.0</v>
      </c>
      <c r="Y118" s="22"/>
      <c r="Z118" s="22"/>
      <c r="AA118" s="19"/>
      <c r="AB118" s="19"/>
      <c r="AC118" s="11" t="s">
        <v>182</v>
      </c>
      <c r="AD118" s="11" t="s">
        <v>73</v>
      </c>
      <c r="AE118" s="22">
        <f t="shared" si="4"/>
        <v>5.68</v>
      </c>
      <c r="AF118" s="18" t="s">
        <v>113</v>
      </c>
      <c r="AG118" s="19">
        <v>6.0</v>
      </c>
      <c r="AH118" s="19">
        <f t="shared" si="5"/>
        <v>167</v>
      </c>
      <c r="AI118" s="18"/>
    </row>
    <row r="119" ht="15.75" customHeight="1">
      <c r="A119" s="25">
        <f t="shared" si="1"/>
        <v>116</v>
      </c>
      <c r="B119" s="27">
        <f>ROUND(Guida!$B$22*H119/Guida!$B$29+Guida!$B$23*MAX(0,MIN(1,(AE119-5.4)/1.6))+Guida!$B$24*0+Guida!$B$25*0,1)</f>
        <v>5.3</v>
      </c>
      <c r="C119" s="28" t="s">
        <v>825</v>
      </c>
      <c r="D119" s="25" t="s">
        <v>261</v>
      </c>
      <c r="E119" s="29" t="s">
        <v>324</v>
      </c>
      <c r="F119" s="30">
        <v>5.0</v>
      </c>
      <c r="G119" s="30">
        <v>7.0</v>
      </c>
      <c r="H119" s="30">
        <v>15.0</v>
      </c>
      <c r="I119" s="30">
        <f>MAX(1,ROUND(H119^Guida!$B$18*Guida!$F$12,0))</f>
        <v>6</v>
      </c>
      <c r="J119" s="30">
        <f t="shared" si="2"/>
        <v>7</v>
      </c>
      <c r="K119" s="25" t="str">
        <f t="shared" si="3"/>
        <v>4a fascia</v>
      </c>
      <c r="L119" s="25" t="s">
        <v>68</v>
      </c>
      <c r="M119" s="21" t="s">
        <v>100</v>
      </c>
      <c r="N119" s="25" t="s">
        <v>71</v>
      </c>
      <c r="O119" s="25" t="s">
        <v>71</v>
      </c>
      <c r="P119" s="30"/>
      <c r="Q119" s="32"/>
      <c r="R119" s="32"/>
      <c r="S119" s="30"/>
      <c r="T119" s="30"/>
      <c r="U119" s="25"/>
      <c r="V119" s="30"/>
      <c r="W119" s="30"/>
      <c r="X119" s="30">
        <v>2.0</v>
      </c>
      <c r="Y119" s="32">
        <v>6.75</v>
      </c>
      <c r="Z119" s="32">
        <v>8.5</v>
      </c>
      <c r="AA119" s="30">
        <v>1.0</v>
      </c>
      <c r="AB119" s="30">
        <v>1.0</v>
      </c>
      <c r="AC119" s="25" t="s">
        <v>71</v>
      </c>
      <c r="AD119" s="25" t="s">
        <v>103</v>
      </c>
      <c r="AE119" s="32">
        <f t="shared" si="4"/>
        <v>5.5</v>
      </c>
      <c r="AF119" s="29" t="s">
        <v>311</v>
      </c>
      <c r="AG119" s="30">
        <v>5.0</v>
      </c>
      <c r="AH119" s="30">
        <f t="shared" si="5"/>
        <v>58</v>
      </c>
      <c r="AI119" s="29"/>
    </row>
    <row r="120" ht="15.75" customHeight="1">
      <c r="A120" s="11">
        <f t="shared" si="1"/>
        <v>116</v>
      </c>
      <c r="B120" s="16">
        <f>ROUND(Guida!$B$22*H120/Guida!$B$29+Guida!$B$23*MAX(0,MIN(1,(AE120-5.4)/1.6))+Guida!$B$24*0+Guida!$B$25*0,1)</f>
        <v>5.3</v>
      </c>
      <c r="C120" s="17" t="s">
        <v>829</v>
      </c>
      <c r="D120" s="11" t="s">
        <v>253</v>
      </c>
      <c r="E120" s="18" t="s">
        <v>137</v>
      </c>
      <c r="F120" s="19">
        <v>6.0</v>
      </c>
      <c r="G120" s="19">
        <v>6.0</v>
      </c>
      <c r="H120" s="19">
        <v>15.0</v>
      </c>
      <c r="I120" s="19">
        <f>MAX(1,ROUND(H120^Guida!$B$18*Guida!$F$12,0))</f>
        <v>6</v>
      </c>
      <c r="J120" s="19">
        <f t="shared" si="2"/>
        <v>7</v>
      </c>
      <c r="K120" s="11" t="str">
        <f t="shared" si="3"/>
        <v>4a fascia</v>
      </c>
      <c r="L120" s="11" t="s">
        <v>68</v>
      </c>
      <c r="M120" s="37" t="s">
        <v>214</v>
      </c>
      <c r="N120" s="11" t="s">
        <v>71</v>
      </c>
      <c r="O120" s="11" t="s">
        <v>71</v>
      </c>
      <c r="P120" s="19"/>
      <c r="Q120" s="22"/>
      <c r="R120" s="22"/>
      <c r="S120" s="19"/>
      <c r="T120" s="19"/>
      <c r="U120" s="11"/>
      <c r="V120" s="19"/>
      <c r="W120" s="19"/>
      <c r="X120" s="19">
        <v>0.0</v>
      </c>
      <c r="Y120" s="22"/>
      <c r="Z120" s="22"/>
      <c r="AA120" s="19"/>
      <c r="AB120" s="19"/>
      <c r="AC120" s="11" t="s">
        <v>71</v>
      </c>
      <c r="AD120" s="11" t="s">
        <v>103</v>
      </c>
      <c r="AE120" s="22">
        <f t="shared" si="4"/>
        <v>5.5</v>
      </c>
      <c r="AF120" s="18" t="s">
        <v>196</v>
      </c>
      <c r="AG120" s="19">
        <v>4.0</v>
      </c>
      <c r="AH120" s="19">
        <f t="shared" si="5"/>
        <v>58</v>
      </c>
      <c r="AI120" s="18"/>
    </row>
    <row r="121" ht="15.75" customHeight="1">
      <c r="A121" s="25">
        <f t="shared" si="1"/>
        <v>116</v>
      </c>
      <c r="B121" s="27">
        <f>ROUND(Guida!$B$22*H121/Guida!$B$29+Guida!$B$23*MAX(0,MIN(1,(AE121-5.4)/1.6))+Guida!$B$24*0+Guida!$B$25*0,1)</f>
        <v>5.3</v>
      </c>
      <c r="C121" s="28" t="s">
        <v>832</v>
      </c>
      <c r="D121" s="25" t="s">
        <v>60</v>
      </c>
      <c r="E121" s="29" t="s">
        <v>137</v>
      </c>
      <c r="F121" s="30">
        <v>8.0</v>
      </c>
      <c r="G121" s="30">
        <v>8.0</v>
      </c>
      <c r="H121" s="30">
        <v>15.0</v>
      </c>
      <c r="I121" s="30">
        <f>MAX(1,ROUND(H121^Guida!$B$18*Guida!$F$12,0))</f>
        <v>6</v>
      </c>
      <c r="J121" s="30">
        <f t="shared" si="2"/>
        <v>7</v>
      </c>
      <c r="K121" s="25" t="str">
        <f t="shared" si="3"/>
        <v>4a fascia</v>
      </c>
      <c r="L121" s="25" t="s">
        <v>226</v>
      </c>
      <c r="M121" s="29" t="s">
        <v>495</v>
      </c>
      <c r="N121" s="25" t="s">
        <v>71</v>
      </c>
      <c r="O121" s="25" t="s">
        <v>71</v>
      </c>
      <c r="P121" s="30"/>
      <c r="Q121" s="32"/>
      <c r="R121" s="32"/>
      <c r="S121" s="30"/>
      <c r="T121" s="30"/>
      <c r="U121" s="25"/>
      <c r="V121" s="30"/>
      <c r="W121" s="30"/>
      <c r="X121" s="30">
        <v>1.0</v>
      </c>
      <c r="Y121" s="32">
        <v>6.0</v>
      </c>
      <c r="Z121" s="32">
        <v>6.0</v>
      </c>
      <c r="AA121" s="30">
        <v>0.0</v>
      </c>
      <c r="AB121" s="30">
        <v>0.0</v>
      </c>
      <c r="AC121" s="25" t="s">
        <v>71</v>
      </c>
      <c r="AD121" s="25" t="s">
        <v>103</v>
      </c>
      <c r="AE121" s="32">
        <f t="shared" si="4"/>
        <v>5.5</v>
      </c>
      <c r="AF121" s="29" t="s">
        <v>245</v>
      </c>
      <c r="AG121" s="30">
        <v>0.0</v>
      </c>
      <c r="AH121" s="30">
        <f t="shared" si="5"/>
        <v>58</v>
      </c>
      <c r="AI121" s="29"/>
    </row>
    <row r="122" ht="15.75" customHeight="1">
      <c r="A122" s="11">
        <f t="shared" si="1"/>
        <v>116</v>
      </c>
      <c r="B122" s="16">
        <f>ROUND(Guida!$B$22*H122/Guida!$B$29+Guida!$B$23*MAX(0,MIN(1,(AE122-5.4)/1.6))+Guida!$B$24*0+Guida!$B$25*0,1)</f>
        <v>5.3</v>
      </c>
      <c r="C122" s="17" t="s">
        <v>835</v>
      </c>
      <c r="D122" s="11" t="s">
        <v>272</v>
      </c>
      <c r="E122" s="18" t="s">
        <v>259</v>
      </c>
      <c r="F122" s="19">
        <v>6.0</v>
      </c>
      <c r="G122" s="19">
        <v>7.0</v>
      </c>
      <c r="H122" s="19">
        <v>15.0</v>
      </c>
      <c r="I122" s="19">
        <f>MAX(1,ROUND(H122^Guida!$B$18*Guida!$F$12,0))</f>
        <v>6</v>
      </c>
      <c r="J122" s="19">
        <f t="shared" si="2"/>
        <v>7</v>
      </c>
      <c r="K122" s="11" t="str">
        <f t="shared" si="3"/>
        <v>4a fascia</v>
      </c>
      <c r="L122" s="11" t="s">
        <v>68</v>
      </c>
      <c r="M122" s="21" t="s">
        <v>100</v>
      </c>
      <c r="N122" s="11" t="s">
        <v>71</v>
      </c>
      <c r="O122" s="11" t="s">
        <v>71</v>
      </c>
      <c r="P122" s="19"/>
      <c r="Q122" s="22"/>
      <c r="R122" s="22"/>
      <c r="S122" s="19"/>
      <c r="T122" s="19"/>
      <c r="U122" s="11"/>
      <c r="V122" s="19"/>
      <c r="W122" s="19"/>
      <c r="X122" s="19">
        <v>2.0</v>
      </c>
      <c r="Y122" s="22">
        <v>6.0</v>
      </c>
      <c r="Z122" s="22">
        <v>6.5</v>
      </c>
      <c r="AA122" s="19">
        <v>0.0</v>
      </c>
      <c r="AB122" s="19">
        <v>1.0</v>
      </c>
      <c r="AC122" s="11" t="s">
        <v>71</v>
      </c>
      <c r="AD122" s="11" t="s">
        <v>103</v>
      </c>
      <c r="AE122" s="22">
        <f t="shared" si="4"/>
        <v>5.5</v>
      </c>
      <c r="AF122" s="18" t="s">
        <v>288</v>
      </c>
      <c r="AG122" s="19">
        <v>6.0</v>
      </c>
      <c r="AH122" s="19">
        <f t="shared" si="5"/>
        <v>58</v>
      </c>
      <c r="AI122" s="18"/>
    </row>
    <row r="123" ht="15.75" customHeight="1">
      <c r="A123" s="25">
        <f t="shared" si="1"/>
        <v>116</v>
      </c>
      <c r="B123" s="27">
        <f>ROUND(Guida!$B$22*H123/Guida!$B$29+Guida!$B$23*MAX(0,MIN(1,(AE123-5.4)/1.6))+Guida!$B$24*0+Guida!$B$25*0,1)</f>
        <v>5.3</v>
      </c>
      <c r="C123" s="28" t="s">
        <v>840</v>
      </c>
      <c r="D123" s="25" t="s">
        <v>239</v>
      </c>
      <c r="E123" s="29" t="s">
        <v>249</v>
      </c>
      <c r="F123" s="30">
        <v>6.0</v>
      </c>
      <c r="G123" s="30">
        <v>6.0</v>
      </c>
      <c r="H123" s="30">
        <v>15.0</v>
      </c>
      <c r="I123" s="30">
        <f>MAX(1,ROUND(H123^Guida!$B$18*Guida!$F$12,0))</f>
        <v>6</v>
      </c>
      <c r="J123" s="30">
        <f t="shared" si="2"/>
        <v>7</v>
      </c>
      <c r="K123" s="25" t="str">
        <f t="shared" si="3"/>
        <v>4a fascia</v>
      </c>
      <c r="L123" s="25" t="s">
        <v>68</v>
      </c>
      <c r="M123" s="37" t="s">
        <v>214</v>
      </c>
      <c r="N123" s="25" t="s">
        <v>71</v>
      </c>
      <c r="O123" s="25" t="s">
        <v>71</v>
      </c>
      <c r="P123" s="30"/>
      <c r="Q123" s="32"/>
      <c r="R123" s="32"/>
      <c r="S123" s="30"/>
      <c r="T123" s="30"/>
      <c r="U123" s="25"/>
      <c r="V123" s="30"/>
      <c r="W123" s="30"/>
      <c r="X123" s="30">
        <v>0.0</v>
      </c>
      <c r="Y123" s="32"/>
      <c r="Z123" s="32"/>
      <c r="AA123" s="30"/>
      <c r="AB123" s="30"/>
      <c r="AC123" s="25" t="s">
        <v>71</v>
      </c>
      <c r="AD123" s="25" t="s">
        <v>103</v>
      </c>
      <c r="AE123" s="32">
        <f t="shared" si="4"/>
        <v>5.5</v>
      </c>
      <c r="AF123" s="29" t="s">
        <v>311</v>
      </c>
      <c r="AG123" s="30">
        <v>6.0</v>
      </c>
      <c r="AH123" s="30">
        <f t="shared" si="5"/>
        <v>58</v>
      </c>
      <c r="AI123" s="29"/>
    </row>
    <row r="124" ht="15.75" customHeight="1">
      <c r="A124" s="11">
        <f t="shared" si="1"/>
        <v>116</v>
      </c>
      <c r="B124" s="16">
        <f>ROUND(Guida!$B$22*H124/Guida!$B$29+Guida!$B$23*MAX(0,MIN(1,(AE124-5.4)/1.6))+Guida!$B$24*0+Guida!$B$25*0,1)</f>
        <v>5.3</v>
      </c>
      <c r="C124" s="17" t="s">
        <v>844</v>
      </c>
      <c r="D124" s="11" t="s">
        <v>195</v>
      </c>
      <c r="E124" s="18" t="s">
        <v>249</v>
      </c>
      <c r="F124" s="19">
        <v>2.0</v>
      </c>
      <c r="G124" s="19">
        <v>2.0</v>
      </c>
      <c r="H124" s="19">
        <v>5.0</v>
      </c>
      <c r="I124" s="19">
        <f>MAX(1,ROUND(H124^Guida!$B$18*Guida!$F$12,0))</f>
        <v>3</v>
      </c>
      <c r="J124" s="19">
        <f t="shared" si="2"/>
        <v>4</v>
      </c>
      <c r="K124" s="11" t="str">
        <f t="shared" si="3"/>
        <v>4a fascia</v>
      </c>
      <c r="L124" s="11" t="s">
        <v>332</v>
      </c>
      <c r="M124" s="18" t="s">
        <v>333</v>
      </c>
      <c r="N124" s="11" t="s">
        <v>71</v>
      </c>
      <c r="O124" s="11" t="s">
        <v>71</v>
      </c>
      <c r="P124" s="19">
        <v>17.0</v>
      </c>
      <c r="Q124" s="22">
        <v>5.79</v>
      </c>
      <c r="R124" s="22">
        <v>5.74</v>
      </c>
      <c r="S124" s="19">
        <v>0.0</v>
      </c>
      <c r="T124" s="19">
        <v>0.0</v>
      </c>
      <c r="U124" s="11" t="s">
        <v>72</v>
      </c>
      <c r="V124" s="19">
        <v>2.0</v>
      </c>
      <c r="W124" s="19">
        <v>0.0</v>
      </c>
      <c r="X124" s="19">
        <v>0.0</v>
      </c>
      <c r="Y124" s="22"/>
      <c r="Z124" s="22"/>
      <c r="AA124" s="19"/>
      <c r="AB124" s="19"/>
      <c r="AC124" s="11" t="s">
        <v>195</v>
      </c>
      <c r="AD124" s="11" t="s">
        <v>73</v>
      </c>
      <c r="AE124" s="22">
        <f t="shared" si="4"/>
        <v>5.66</v>
      </c>
      <c r="AF124" s="18" t="s">
        <v>223</v>
      </c>
      <c r="AG124" s="19">
        <v>0.0</v>
      </c>
      <c r="AH124" s="19">
        <f t="shared" si="5"/>
        <v>158</v>
      </c>
      <c r="AI124" s="18"/>
    </row>
    <row r="125" ht="15.75" customHeight="1">
      <c r="A125" s="25">
        <f t="shared" si="1"/>
        <v>122</v>
      </c>
      <c r="B125" s="27">
        <f>ROUND(Guida!$B$22*H125/Guida!$B$29+Guida!$B$23*MAX(0,MIN(1,(AE125-5.4)/1.6))+Guida!$B$24*0+Guida!$B$25*0,1)</f>
        <v>5.1</v>
      </c>
      <c r="C125" s="28" t="s">
        <v>846</v>
      </c>
      <c r="D125" s="25" t="s">
        <v>195</v>
      </c>
      <c r="E125" s="29" t="s">
        <v>259</v>
      </c>
      <c r="F125" s="30">
        <v>5.0</v>
      </c>
      <c r="G125" s="30">
        <v>6.0</v>
      </c>
      <c r="H125" s="30">
        <v>14.0</v>
      </c>
      <c r="I125" s="30">
        <f>MAX(1,ROUND(H125^Guida!$B$18*Guida!$F$12,0))</f>
        <v>6</v>
      </c>
      <c r="J125" s="30">
        <f t="shared" si="2"/>
        <v>7</v>
      </c>
      <c r="K125" s="25" t="str">
        <f t="shared" si="3"/>
        <v>4a fascia</v>
      </c>
      <c r="L125" s="25" t="s">
        <v>226</v>
      </c>
      <c r="M125" s="29" t="s">
        <v>300</v>
      </c>
      <c r="N125" s="25" t="s">
        <v>71</v>
      </c>
      <c r="O125" s="25" t="s">
        <v>71</v>
      </c>
      <c r="P125" s="30"/>
      <c r="Q125" s="32"/>
      <c r="R125" s="32"/>
      <c r="S125" s="30"/>
      <c r="T125" s="30"/>
      <c r="U125" s="25"/>
      <c r="V125" s="30"/>
      <c r="W125" s="30"/>
      <c r="X125" s="30">
        <v>2.0</v>
      </c>
      <c r="Y125" s="32">
        <v>6.0</v>
      </c>
      <c r="Z125" s="32">
        <v>6.0</v>
      </c>
      <c r="AA125" s="30">
        <v>0.0</v>
      </c>
      <c r="AB125" s="30">
        <v>0.0</v>
      </c>
      <c r="AC125" s="25" t="s">
        <v>71</v>
      </c>
      <c r="AD125" s="25" t="s">
        <v>103</v>
      </c>
      <c r="AE125" s="32">
        <f t="shared" si="4"/>
        <v>5.5</v>
      </c>
      <c r="AF125" s="29" t="s">
        <v>223</v>
      </c>
      <c r="AG125" s="30">
        <v>0.0</v>
      </c>
      <c r="AH125" s="30">
        <f t="shared" si="5"/>
        <v>68</v>
      </c>
      <c r="AI125" s="29"/>
    </row>
    <row r="126" ht="15.75" customHeight="1">
      <c r="A126" s="11">
        <f t="shared" si="1"/>
        <v>122</v>
      </c>
      <c r="B126" s="16">
        <f>ROUND(Guida!$B$22*H126/Guida!$B$29+Guida!$B$23*MAX(0,MIN(1,(AE126-5.4)/1.6))+Guida!$B$24*0+Guida!$B$25*0,1)</f>
        <v>5.1</v>
      </c>
      <c r="C126" s="17" t="s">
        <v>850</v>
      </c>
      <c r="D126" s="11" t="s">
        <v>272</v>
      </c>
      <c r="E126" s="18" t="s">
        <v>137</v>
      </c>
      <c r="F126" s="19">
        <v>1.0</v>
      </c>
      <c r="G126" s="19">
        <v>1.0</v>
      </c>
      <c r="H126" s="19">
        <v>8.0</v>
      </c>
      <c r="I126" s="19">
        <f>MAX(1,ROUND(H126^Guida!$B$18*Guida!$F$12,0))</f>
        <v>4</v>
      </c>
      <c r="J126" s="19">
        <f t="shared" si="2"/>
        <v>5</v>
      </c>
      <c r="K126" s="11" t="str">
        <f t="shared" si="3"/>
        <v>4a fascia</v>
      </c>
      <c r="L126" s="11" t="s">
        <v>332</v>
      </c>
      <c r="M126" s="18" t="s">
        <v>338</v>
      </c>
      <c r="N126" s="11" t="s">
        <v>71</v>
      </c>
      <c r="O126" s="11" t="s">
        <v>71</v>
      </c>
      <c r="P126" s="19">
        <v>9.0</v>
      </c>
      <c r="Q126" s="22">
        <v>5.94</v>
      </c>
      <c r="R126" s="22">
        <v>5.78</v>
      </c>
      <c r="S126" s="19">
        <v>0.0</v>
      </c>
      <c r="T126" s="19">
        <v>0.0</v>
      </c>
      <c r="U126" s="11" t="s">
        <v>72</v>
      </c>
      <c r="V126" s="19">
        <v>3.0</v>
      </c>
      <c r="W126" s="19">
        <v>0.0</v>
      </c>
      <c r="X126" s="19">
        <v>0.0</v>
      </c>
      <c r="Y126" s="22"/>
      <c r="Z126" s="22"/>
      <c r="AA126" s="19"/>
      <c r="AB126" s="19"/>
      <c r="AC126" s="11" t="s">
        <v>60</v>
      </c>
      <c r="AD126" s="11" t="s">
        <v>103</v>
      </c>
      <c r="AE126" s="22">
        <f t="shared" si="4"/>
        <v>5.6</v>
      </c>
      <c r="AF126" s="18" t="s">
        <v>288</v>
      </c>
      <c r="AG126" s="19">
        <v>6.0</v>
      </c>
      <c r="AH126" s="19">
        <f t="shared" si="5"/>
        <v>138</v>
      </c>
      <c r="AI126" s="18"/>
    </row>
    <row r="127" ht="15.75" customHeight="1">
      <c r="A127" s="25">
        <f t="shared" si="1"/>
        <v>124</v>
      </c>
      <c r="B127" s="27">
        <f>ROUND(Guida!$B$22*H127/Guida!$B$29+Guida!$B$23*MAX(0,MIN(1,(AE127-5.4)/1.6))+Guida!$B$24*0+Guida!$B$25*0,1)</f>
        <v>5</v>
      </c>
      <c r="C127" s="28" t="s">
        <v>855</v>
      </c>
      <c r="D127" s="25" t="s">
        <v>185</v>
      </c>
      <c r="E127" s="29" t="s">
        <v>324</v>
      </c>
      <c r="F127" s="30">
        <v>2.0</v>
      </c>
      <c r="G127" s="30">
        <v>3.0</v>
      </c>
      <c r="H127" s="30">
        <v>5.0</v>
      </c>
      <c r="I127" s="30">
        <f>MAX(1,ROUND(H127^Guida!$B$18*Guida!$F$12,0))</f>
        <v>3</v>
      </c>
      <c r="J127" s="30">
        <f t="shared" si="2"/>
        <v>4</v>
      </c>
      <c r="K127" s="25" t="str">
        <f t="shared" si="3"/>
        <v>4a fascia</v>
      </c>
      <c r="L127" s="25" t="s">
        <v>332</v>
      </c>
      <c r="M127" s="29" t="s">
        <v>473</v>
      </c>
      <c r="N127" s="25" t="s">
        <v>71</v>
      </c>
      <c r="O127" s="25" t="s">
        <v>71</v>
      </c>
      <c r="P127" s="30">
        <v>16.0</v>
      </c>
      <c r="Q127" s="32">
        <v>5.75</v>
      </c>
      <c r="R127" s="32">
        <v>5.72</v>
      </c>
      <c r="S127" s="30">
        <v>0.0</v>
      </c>
      <c r="T127" s="30">
        <v>1.0</v>
      </c>
      <c r="U127" s="25" t="s">
        <v>72</v>
      </c>
      <c r="V127" s="30">
        <v>4.0</v>
      </c>
      <c r="W127" s="30">
        <v>0.0</v>
      </c>
      <c r="X127" s="30">
        <v>2.0</v>
      </c>
      <c r="Y127" s="32">
        <v>5.75</v>
      </c>
      <c r="Z127" s="32">
        <v>5.75</v>
      </c>
      <c r="AA127" s="30">
        <v>0.0</v>
      </c>
      <c r="AB127" s="30">
        <v>0.0</v>
      </c>
      <c r="AC127" s="25" t="s">
        <v>212</v>
      </c>
      <c r="AD127" s="25" t="s">
        <v>103</v>
      </c>
      <c r="AE127" s="32">
        <f t="shared" si="4"/>
        <v>5.64</v>
      </c>
      <c r="AF127" s="29" t="s">
        <v>158</v>
      </c>
      <c r="AG127" s="30">
        <v>7.0</v>
      </c>
      <c r="AH127" s="30">
        <f t="shared" si="5"/>
        <v>158</v>
      </c>
      <c r="AI127" s="29"/>
    </row>
    <row r="128" ht="15.75" customHeight="1">
      <c r="A128" s="11">
        <f t="shared" si="1"/>
        <v>125</v>
      </c>
      <c r="B128" s="16">
        <f>ROUND(Guida!$B$22*H128/Guida!$B$29+Guida!$B$23*MAX(0,MIN(1,(AE128-5.4)/1.6))+Guida!$B$24*0+Guida!$B$25*0,1)</f>
        <v>4.8</v>
      </c>
      <c r="C128" s="17" t="s">
        <v>862</v>
      </c>
      <c r="D128" s="11" t="s">
        <v>261</v>
      </c>
      <c r="E128" s="18" t="s">
        <v>137</v>
      </c>
      <c r="F128" s="19">
        <v>4.0</v>
      </c>
      <c r="G128" s="19">
        <v>5.0</v>
      </c>
      <c r="H128" s="19">
        <v>13.0</v>
      </c>
      <c r="I128" s="19">
        <f>MAX(1,ROUND(H128^Guida!$B$18*Guida!$F$12,0))</f>
        <v>6</v>
      </c>
      <c r="J128" s="19">
        <f t="shared" si="2"/>
        <v>7</v>
      </c>
      <c r="K128" s="11" t="str">
        <f t="shared" si="3"/>
        <v>4a fascia</v>
      </c>
      <c r="L128" s="11" t="s">
        <v>68</v>
      </c>
      <c r="M128" s="21" t="s">
        <v>100</v>
      </c>
      <c r="N128" s="11" t="s">
        <v>71</v>
      </c>
      <c r="O128" s="11" t="s">
        <v>71</v>
      </c>
      <c r="P128" s="19"/>
      <c r="Q128" s="22"/>
      <c r="R128" s="22"/>
      <c r="S128" s="19"/>
      <c r="T128" s="19"/>
      <c r="U128" s="11"/>
      <c r="V128" s="19"/>
      <c r="W128" s="19"/>
      <c r="X128" s="19">
        <v>2.0</v>
      </c>
      <c r="Y128" s="22">
        <v>6.5</v>
      </c>
      <c r="Z128" s="22">
        <v>6.0</v>
      </c>
      <c r="AA128" s="19">
        <v>0.0</v>
      </c>
      <c r="AB128" s="19">
        <v>0.0</v>
      </c>
      <c r="AC128" s="11" t="s">
        <v>71</v>
      </c>
      <c r="AD128" s="11" t="s">
        <v>103</v>
      </c>
      <c r="AE128" s="22">
        <f t="shared" si="4"/>
        <v>5.5</v>
      </c>
      <c r="AF128" s="18" t="s">
        <v>311</v>
      </c>
      <c r="AG128" s="19">
        <v>5.0</v>
      </c>
      <c r="AH128" s="19">
        <f t="shared" si="5"/>
        <v>76</v>
      </c>
      <c r="AI128" s="18"/>
    </row>
    <row r="129" ht="15.75" customHeight="1">
      <c r="A129" s="25">
        <f t="shared" si="1"/>
        <v>125</v>
      </c>
      <c r="B129" s="27">
        <f>ROUND(Guida!$B$22*H129/Guida!$B$29+Guida!$B$23*MAX(0,MIN(1,(AE129-5.4)/1.6))+Guida!$B$24*0+Guida!$B$25*0,1)</f>
        <v>4.8</v>
      </c>
      <c r="C129" s="28" t="s">
        <v>866</v>
      </c>
      <c r="D129" s="25" t="s">
        <v>133</v>
      </c>
      <c r="E129" s="29" t="s">
        <v>259</v>
      </c>
      <c r="F129" s="30">
        <v>7.0</v>
      </c>
      <c r="G129" s="30">
        <v>6.0</v>
      </c>
      <c r="H129" s="30">
        <v>13.0</v>
      </c>
      <c r="I129" s="30">
        <f>MAX(1,ROUND(H129^Guida!$B$18*Guida!$F$12,0))</f>
        <v>6</v>
      </c>
      <c r="J129" s="30">
        <f t="shared" si="2"/>
        <v>7</v>
      </c>
      <c r="K129" s="25" t="str">
        <f t="shared" si="3"/>
        <v>4a fascia</v>
      </c>
      <c r="L129" s="25" t="s">
        <v>226</v>
      </c>
      <c r="M129" s="29" t="s">
        <v>227</v>
      </c>
      <c r="N129" s="25" t="s">
        <v>71</v>
      </c>
      <c r="O129" s="25" t="s">
        <v>71</v>
      </c>
      <c r="P129" s="30"/>
      <c r="Q129" s="32"/>
      <c r="R129" s="32"/>
      <c r="S129" s="30"/>
      <c r="T129" s="30"/>
      <c r="U129" s="25"/>
      <c r="V129" s="30"/>
      <c r="W129" s="30"/>
      <c r="X129" s="30">
        <v>0.0</v>
      </c>
      <c r="Y129" s="32"/>
      <c r="Z129" s="32"/>
      <c r="AA129" s="30"/>
      <c r="AB129" s="30"/>
      <c r="AC129" s="25" t="s">
        <v>71</v>
      </c>
      <c r="AD129" s="25" t="s">
        <v>103</v>
      </c>
      <c r="AE129" s="32">
        <f t="shared" si="4"/>
        <v>5.5</v>
      </c>
      <c r="AF129" s="29" t="s">
        <v>304</v>
      </c>
      <c r="AG129" s="30">
        <v>6.0</v>
      </c>
      <c r="AH129" s="30">
        <f t="shared" si="5"/>
        <v>76</v>
      </c>
      <c r="AI129" s="29"/>
    </row>
    <row r="130" ht="15.75" customHeight="1">
      <c r="A130" s="11">
        <f t="shared" si="1"/>
        <v>125</v>
      </c>
      <c r="B130" s="16">
        <f>ROUND(Guida!$B$22*H130/Guida!$B$29+Guida!$B$23*MAX(0,MIN(1,(AE130-5.4)/1.6))+Guida!$B$24*0+Guida!$B$25*0,1)</f>
        <v>4.8</v>
      </c>
      <c r="C130" s="17" t="s">
        <v>870</v>
      </c>
      <c r="D130" s="11" t="s">
        <v>261</v>
      </c>
      <c r="E130" s="18" t="s">
        <v>137</v>
      </c>
      <c r="F130" s="19">
        <v>6.0</v>
      </c>
      <c r="G130" s="19">
        <v>6.0</v>
      </c>
      <c r="H130" s="19">
        <v>13.0</v>
      </c>
      <c r="I130" s="19">
        <f>MAX(1,ROUND(H130^Guida!$B$18*Guida!$F$12,0))</f>
        <v>6</v>
      </c>
      <c r="J130" s="19">
        <f t="shared" si="2"/>
        <v>7</v>
      </c>
      <c r="K130" s="11" t="str">
        <f t="shared" si="3"/>
        <v>4a fascia</v>
      </c>
      <c r="L130" s="11" t="s">
        <v>68</v>
      </c>
      <c r="M130" s="21" t="s">
        <v>100</v>
      </c>
      <c r="N130" s="11" t="s">
        <v>71</v>
      </c>
      <c r="O130" s="11" t="s">
        <v>71</v>
      </c>
      <c r="P130" s="19"/>
      <c r="Q130" s="22"/>
      <c r="R130" s="22"/>
      <c r="S130" s="19"/>
      <c r="T130" s="19"/>
      <c r="U130" s="11"/>
      <c r="V130" s="19"/>
      <c r="W130" s="19"/>
      <c r="X130" s="19">
        <v>2.0</v>
      </c>
      <c r="Y130" s="22">
        <v>6.0</v>
      </c>
      <c r="Z130" s="22">
        <v>6.0</v>
      </c>
      <c r="AA130" s="19">
        <v>0.0</v>
      </c>
      <c r="AB130" s="19">
        <v>0.0</v>
      </c>
      <c r="AC130" s="11" t="s">
        <v>71</v>
      </c>
      <c r="AD130" s="11" t="s">
        <v>103</v>
      </c>
      <c r="AE130" s="22">
        <f t="shared" si="4"/>
        <v>5.5</v>
      </c>
      <c r="AF130" s="18" t="s">
        <v>311</v>
      </c>
      <c r="AG130" s="19">
        <v>5.0</v>
      </c>
      <c r="AH130" s="19">
        <f t="shared" si="5"/>
        <v>76</v>
      </c>
      <c r="AI130" s="18"/>
    </row>
    <row r="131" ht="15.75" customHeight="1">
      <c r="A131" s="25">
        <f t="shared" si="1"/>
        <v>128</v>
      </c>
      <c r="B131" s="27">
        <f>ROUND(Guida!$B$22*H131/Guida!$B$29+Guida!$B$23*MAX(0,MIN(1,(AE131-5.4)/1.6))+Guida!$B$24*0+Guida!$B$25*0,1)</f>
        <v>4.6</v>
      </c>
      <c r="C131" s="28" t="s">
        <v>875</v>
      </c>
      <c r="D131" s="25" t="s">
        <v>272</v>
      </c>
      <c r="E131" s="29" t="s">
        <v>428</v>
      </c>
      <c r="F131" s="30">
        <v>4.0</v>
      </c>
      <c r="G131" s="30">
        <v>4.0</v>
      </c>
      <c r="H131" s="30">
        <v>12.0</v>
      </c>
      <c r="I131" s="30">
        <f>MAX(1,ROUND(H131^Guida!$B$18*Guida!$F$12,0))</f>
        <v>6</v>
      </c>
      <c r="J131" s="30">
        <f t="shared" si="2"/>
        <v>7</v>
      </c>
      <c r="K131" s="25" t="str">
        <f t="shared" si="3"/>
        <v>4a fascia</v>
      </c>
      <c r="L131" s="25" t="s">
        <v>68</v>
      </c>
      <c r="M131" s="21" t="s">
        <v>100</v>
      </c>
      <c r="N131" s="25" t="s">
        <v>71</v>
      </c>
      <c r="O131" s="25" t="s">
        <v>71</v>
      </c>
      <c r="P131" s="30"/>
      <c r="Q131" s="32"/>
      <c r="R131" s="32"/>
      <c r="S131" s="30"/>
      <c r="T131" s="30"/>
      <c r="U131" s="25"/>
      <c r="V131" s="30"/>
      <c r="W131" s="30"/>
      <c r="X131" s="30">
        <v>2.0</v>
      </c>
      <c r="Y131" s="32">
        <v>5.75</v>
      </c>
      <c r="Z131" s="32">
        <v>5.75</v>
      </c>
      <c r="AA131" s="30">
        <v>0.0</v>
      </c>
      <c r="AB131" s="30">
        <v>0.0</v>
      </c>
      <c r="AC131" s="25" t="s">
        <v>71</v>
      </c>
      <c r="AD131" s="25" t="s">
        <v>103</v>
      </c>
      <c r="AE131" s="32">
        <f t="shared" si="4"/>
        <v>5.5</v>
      </c>
      <c r="AF131" s="29" t="s">
        <v>288</v>
      </c>
      <c r="AG131" s="30">
        <v>6.0</v>
      </c>
      <c r="AH131" s="30">
        <f t="shared" si="5"/>
        <v>89</v>
      </c>
      <c r="AI131" s="29"/>
    </row>
    <row r="132" ht="15.75" customHeight="1">
      <c r="A132" s="11">
        <f t="shared" si="1"/>
        <v>128</v>
      </c>
      <c r="B132" s="16">
        <f>ROUND(Guida!$B$22*H132/Guida!$B$29+Guida!$B$23*MAX(0,MIN(1,(AE132-5.4)/1.6))+Guida!$B$24*0+Guida!$B$25*0,1)</f>
        <v>4.6</v>
      </c>
      <c r="C132" s="17" t="s">
        <v>879</v>
      </c>
      <c r="D132" s="11" t="s">
        <v>212</v>
      </c>
      <c r="E132" s="18" t="s">
        <v>137</v>
      </c>
      <c r="F132" s="19">
        <v>4.0</v>
      </c>
      <c r="G132" s="19">
        <v>4.0</v>
      </c>
      <c r="H132" s="19">
        <v>12.0</v>
      </c>
      <c r="I132" s="19">
        <f>MAX(1,ROUND(H132^Guida!$B$18*Guida!$F$12,0))</f>
        <v>6</v>
      </c>
      <c r="J132" s="19">
        <f t="shared" si="2"/>
        <v>7</v>
      </c>
      <c r="K132" s="11" t="str">
        <f t="shared" si="3"/>
        <v>4a fascia</v>
      </c>
      <c r="L132" s="11" t="s">
        <v>332</v>
      </c>
      <c r="M132" s="18" t="s">
        <v>615</v>
      </c>
      <c r="N132" s="11" t="s">
        <v>71</v>
      </c>
      <c r="O132" s="11" t="s">
        <v>71</v>
      </c>
      <c r="P132" s="19"/>
      <c r="Q132" s="22"/>
      <c r="R132" s="22"/>
      <c r="S132" s="19"/>
      <c r="T132" s="19"/>
      <c r="U132" s="11"/>
      <c r="V132" s="19"/>
      <c r="W132" s="19"/>
      <c r="X132" s="19">
        <v>1.0</v>
      </c>
      <c r="Y132" s="22">
        <v>6.0</v>
      </c>
      <c r="Z132" s="22">
        <v>6.0</v>
      </c>
      <c r="AA132" s="19">
        <v>0.0</v>
      </c>
      <c r="AB132" s="19">
        <v>0.0</v>
      </c>
      <c r="AC132" s="11" t="s">
        <v>71</v>
      </c>
      <c r="AD132" s="11" t="s">
        <v>103</v>
      </c>
      <c r="AE132" s="22">
        <f t="shared" si="4"/>
        <v>5.5</v>
      </c>
      <c r="AF132" s="18" t="s">
        <v>179</v>
      </c>
      <c r="AG132" s="19">
        <v>0.0</v>
      </c>
      <c r="AH132" s="19">
        <f t="shared" si="5"/>
        <v>89</v>
      </c>
      <c r="AI132" s="18"/>
    </row>
    <row r="133" ht="15.75" customHeight="1">
      <c r="A133" s="25">
        <f t="shared" si="1"/>
        <v>128</v>
      </c>
      <c r="B133" s="27">
        <f>ROUND(Guida!$B$22*H133/Guida!$B$29+Guida!$B$23*MAX(0,MIN(1,(AE133-5.4)/1.6))+Guida!$B$24*0+Guida!$B$25*0,1)</f>
        <v>4.6</v>
      </c>
      <c r="C133" s="28" t="s">
        <v>884</v>
      </c>
      <c r="D133" s="25" t="s">
        <v>264</v>
      </c>
      <c r="E133" s="29" t="s">
        <v>428</v>
      </c>
      <c r="F133" s="30">
        <v>4.0</v>
      </c>
      <c r="G133" s="30">
        <v>5.0</v>
      </c>
      <c r="H133" s="30">
        <v>12.0</v>
      </c>
      <c r="I133" s="30">
        <f>MAX(1,ROUND(H133^Guida!$B$18*Guida!$F$12,0))</f>
        <v>6</v>
      </c>
      <c r="J133" s="30">
        <f t="shared" si="2"/>
        <v>7</v>
      </c>
      <c r="K133" s="25" t="str">
        <f t="shared" si="3"/>
        <v>4a fascia</v>
      </c>
      <c r="L133" s="25" t="s">
        <v>68</v>
      </c>
      <c r="M133" s="21" t="s">
        <v>100</v>
      </c>
      <c r="N133" s="25" t="s">
        <v>71</v>
      </c>
      <c r="O133" s="25" t="s">
        <v>71</v>
      </c>
      <c r="P133" s="30"/>
      <c r="Q133" s="32"/>
      <c r="R133" s="32"/>
      <c r="S133" s="30"/>
      <c r="T133" s="30"/>
      <c r="U133" s="25"/>
      <c r="V133" s="30"/>
      <c r="W133" s="30"/>
      <c r="X133" s="30">
        <v>2.0</v>
      </c>
      <c r="Y133" s="32">
        <v>6.25</v>
      </c>
      <c r="Z133" s="32">
        <v>6.25</v>
      </c>
      <c r="AA133" s="30">
        <v>0.0</v>
      </c>
      <c r="AB133" s="30">
        <v>0.0</v>
      </c>
      <c r="AC133" s="25" t="s">
        <v>71</v>
      </c>
      <c r="AD133" s="25" t="s">
        <v>103</v>
      </c>
      <c r="AE133" s="32">
        <f t="shared" si="4"/>
        <v>5.5</v>
      </c>
      <c r="AF133" s="29" t="s">
        <v>270</v>
      </c>
      <c r="AG133" s="30">
        <v>6.0</v>
      </c>
      <c r="AH133" s="30">
        <f t="shared" si="5"/>
        <v>89</v>
      </c>
      <c r="AI133" s="29"/>
    </row>
    <row r="134" ht="15.75" customHeight="1">
      <c r="A134" s="11">
        <f t="shared" si="1"/>
        <v>128</v>
      </c>
      <c r="B134" s="16">
        <f>ROUND(Guida!$B$22*H134/Guida!$B$29+Guida!$B$23*MAX(0,MIN(1,(AE134-5.4)/1.6))+Guida!$B$24*0+Guida!$B$25*0,1)</f>
        <v>4.6</v>
      </c>
      <c r="C134" s="17" t="s">
        <v>885</v>
      </c>
      <c r="D134" s="11" t="s">
        <v>264</v>
      </c>
      <c r="E134" s="18" t="s">
        <v>249</v>
      </c>
      <c r="F134" s="19">
        <v>3.0</v>
      </c>
      <c r="G134" s="19">
        <v>4.0</v>
      </c>
      <c r="H134" s="19">
        <v>12.0</v>
      </c>
      <c r="I134" s="19">
        <f>MAX(1,ROUND(H134^Guida!$B$18*Guida!$F$12,0))</f>
        <v>6</v>
      </c>
      <c r="J134" s="19">
        <f t="shared" si="2"/>
        <v>7</v>
      </c>
      <c r="K134" s="11" t="str">
        <f t="shared" si="3"/>
        <v>4a fascia</v>
      </c>
      <c r="L134" s="11" t="s">
        <v>68</v>
      </c>
      <c r="M134" s="21" t="s">
        <v>100</v>
      </c>
      <c r="N134" s="11" t="s">
        <v>71</v>
      </c>
      <c r="O134" s="11" t="s">
        <v>71</v>
      </c>
      <c r="P134" s="19"/>
      <c r="Q134" s="22"/>
      <c r="R134" s="22"/>
      <c r="S134" s="19"/>
      <c r="T134" s="19"/>
      <c r="U134" s="11"/>
      <c r="V134" s="19"/>
      <c r="W134" s="19"/>
      <c r="X134" s="19">
        <v>2.0</v>
      </c>
      <c r="Y134" s="22">
        <v>5.75</v>
      </c>
      <c r="Z134" s="22">
        <v>5.75</v>
      </c>
      <c r="AA134" s="19">
        <v>0.0</v>
      </c>
      <c r="AB134" s="19">
        <v>0.0</v>
      </c>
      <c r="AC134" s="11" t="s">
        <v>283</v>
      </c>
      <c r="AD134" s="11" t="s">
        <v>103</v>
      </c>
      <c r="AE134" s="22">
        <f t="shared" si="4"/>
        <v>5.5</v>
      </c>
      <c r="AF134" s="18" t="s">
        <v>270</v>
      </c>
      <c r="AG134" s="19">
        <v>6.0</v>
      </c>
      <c r="AH134" s="19">
        <f t="shared" si="5"/>
        <v>89</v>
      </c>
      <c r="AI134" s="18"/>
    </row>
    <row r="135" ht="15.75" customHeight="1">
      <c r="A135" s="25">
        <f t="shared" si="1"/>
        <v>128</v>
      </c>
      <c r="B135" s="27">
        <f>ROUND(Guida!$B$22*H135/Guida!$B$29+Guida!$B$23*MAX(0,MIN(1,(AE135-5.4)/1.6))+Guida!$B$24*0+Guida!$B$25*0,1)</f>
        <v>4.6</v>
      </c>
      <c r="C135" s="28" t="s">
        <v>890</v>
      </c>
      <c r="D135" s="25" t="s">
        <v>253</v>
      </c>
      <c r="E135" s="29" t="s">
        <v>324</v>
      </c>
      <c r="F135" s="30">
        <v>5.0</v>
      </c>
      <c r="G135" s="30">
        <v>6.0</v>
      </c>
      <c r="H135" s="30">
        <v>12.0</v>
      </c>
      <c r="I135" s="30">
        <f>MAX(1,ROUND(H135^Guida!$B$18*Guida!$F$12,0))</f>
        <v>6</v>
      </c>
      <c r="J135" s="30">
        <f t="shared" si="2"/>
        <v>7</v>
      </c>
      <c r="K135" s="25" t="str">
        <f t="shared" si="3"/>
        <v>4a fascia</v>
      </c>
      <c r="L135" s="25" t="s">
        <v>68</v>
      </c>
      <c r="M135" s="21" t="s">
        <v>100</v>
      </c>
      <c r="N135" s="25" t="s">
        <v>71</v>
      </c>
      <c r="O135" s="25" t="s">
        <v>71</v>
      </c>
      <c r="P135" s="30"/>
      <c r="Q135" s="32"/>
      <c r="R135" s="32"/>
      <c r="S135" s="30"/>
      <c r="T135" s="30"/>
      <c r="U135" s="25"/>
      <c r="V135" s="30"/>
      <c r="W135" s="30"/>
      <c r="X135" s="30">
        <v>2.0</v>
      </c>
      <c r="Y135" s="32">
        <v>6.0</v>
      </c>
      <c r="Z135" s="32">
        <v>6.5</v>
      </c>
      <c r="AA135" s="30">
        <v>0.0</v>
      </c>
      <c r="AB135" s="30">
        <v>1.0</v>
      </c>
      <c r="AC135" s="25" t="s">
        <v>71</v>
      </c>
      <c r="AD135" s="25" t="s">
        <v>103</v>
      </c>
      <c r="AE135" s="32">
        <f t="shared" si="4"/>
        <v>5.5</v>
      </c>
      <c r="AF135" s="29" t="s">
        <v>196</v>
      </c>
      <c r="AG135" s="30">
        <v>4.0</v>
      </c>
      <c r="AH135" s="30">
        <f t="shared" si="5"/>
        <v>89</v>
      </c>
      <c r="AI135" s="29"/>
    </row>
    <row r="136" ht="15.75" customHeight="1">
      <c r="A136" s="11">
        <f t="shared" si="1"/>
        <v>128</v>
      </c>
      <c r="B136" s="16">
        <f>ROUND(Guida!$B$22*H136/Guida!$B$29+Guida!$B$23*MAX(0,MIN(1,(AE136-5.4)/1.6))+Guida!$B$24*0+Guida!$B$25*0,1)</f>
        <v>4.6</v>
      </c>
      <c r="C136" s="17" t="s">
        <v>894</v>
      </c>
      <c r="D136" s="11" t="s">
        <v>212</v>
      </c>
      <c r="E136" s="18" t="s">
        <v>249</v>
      </c>
      <c r="F136" s="19">
        <v>5.0</v>
      </c>
      <c r="G136" s="19">
        <v>5.0</v>
      </c>
      <c r="H136" s="19">
        <v>12.0</v>
      </c>
      <c r="I136" s="19">
        <f>MAX(1,ROUND(H136^Guida!$B$18*Guida!$F$12,0))</f>
        <v>6</v>
      </c>
      <c r="J136" s="19">
        <f t="shared" si="2"/>
        <v>7</v>
      </c>
      <c r="K136" s="11" t="str">
        <f t="shared" si="3"/>
        <v>4a fascia</v>
      </c>
      <c r="L136" s="11" t="s">
        <v>226</v>
      </c>
      <c r="M136" s="18" t="s">
        <v>227</v>
      </c>
      <c r="N136" s="11" t="s">
        <v>71</v>
      </c>
      <c r="O136" s="11" t="s">
        <v>71</v>
      </c>
      <c r="P136" s="19"/>
      <c r="Q136" s="22"/>
      <c r="R136" s="22"/>
      <c r="S136" s="19"/>
      <c r="T136" s="19"/>
      <c r="U136" s="11"/>
      <c r="V136" s="19"/>
      <c r="W136" s="19"/>
      <c r="X136" s="19">
        <v>0.0</v>
      </c>
      <c r="Y136" s="22"/>
      <c r="Z136" s="22"/>
      <c r="AA136" s="19"/>
      <c r="AB136" s="19"/>
      <c r="AC136" s="11" t="s">
        <v>71</v>
      </c>
      <c r="AD136" s="11" t="s">
        <v>103</v>
      </c>
      <c r="AE136" s="22">
        <f t="shared" si="4"/>
        <v>5.5</v>
      </c>
      <c r="AF136" s="18" t="s">
        <v>179</v>
      </c>
      <c r="AG136" s="19">
        <v>0.0</v>
      </c>
      <c r="AH136" s="19">
        <f t="shared" si="5"/>
        <v>89</v>
      </c>
      <c r="AI136" s="18"/>
    </row>
    <row r="137" ht="15.75" customHeight="1">
      <c r="A137" s="25">
        <f t="shared" si="1"/>
        <v>128</v>
      </c>
      <c r="B137" s="27">
        <f>ROUND(Guida!$B$22*H137/Guida!$B$29+Guida!$B$23*MAX(0,MIN(1,(AE137-5.4)/1.6))+Guida!$B$24*0+Guida!$B$25*0,1)</f>
        <v>4.6</v>
      </c>
      <c r="C137" s="28" t="s">
        <v>899</v>
      </c>
      <c r="D137" s="25" t="s">
        <v>208</v>
      </c>
      <c r="E137" s="29" t="s">
        <v>324</v>
      </c>
      <c r="F137" s="30">
        <v>6.0</v>
      </c>
      <c r="G137" s="30">
        <v>6.0</v>
      </c>
      <c r="H137" s="30">
        <v>12.0</v>
      </c>
      <c r="I137" s="30">
        <f>MAX(1,ROUND(H137^Guida!$B$18*Guida!$F$12,0))</f>
        <v>6</v>
      </c>
      <c r="J137" s="30">
        <f t="shared" si="2"/>
        <v>7</v>
      </c>
      <c r="K137" s="25" t="str">
        <f t="shared" si="3"/>
        <v>4a fascia</v>
      </c>
      <c r="L137" s="25" t="s">
        <v>68</v>
      </c>
      <c r="M137" s="29" t="s">
        <v>294</v>
      </c>
      <c r="N137" s="25" t="s">
        <v>71</v>
      </c>
      <c r="O137" s="25" t="s">
        <v>71</v>
      </c>
      <c r="P137" s="30"/>
      <c r="Q137" s="32"/>
      <c r="R137" s="32"/>
      <c r="S137" s="30"/>
      <c r="T137" s="30"/>
      <c r="U137" s="25"/>
      <c r="V137" s="30"/>
      <c r="W137" s="30"/>
      <c r="X137" s="30">
        <v>1.0</v>
      </c>
      <c r="Y137" s="32">
        <v>5.5</v>
      </c>
      <c r="Z137" s="32">
        <v>5.5</v>
      </c>
      <c r="AA137" s="30">
        <v>0.0</v>
      </c>
      <c r="AB137" s="30">
        <v>0.0</v>
      </c>
      <c r="AC137" s="25" t="s">
        <v>71</v>
      </c>
      <c r="AD137" s="25" t="s">
        <v>103</v>
      </c>
      <c r="AE137" s="32">
        <f t="shared" si="4"/>
        <v>5.5</v>
      </c>
      <c r="AF137" s="29" t="s">
        <v>412</v>
      </c>
      <c r="AG137" s="30">
        <v>6.0</v>
      </c>
      <c r="AH137" s="30">
        <f t="shared" si="5"/>
        <v>89</v>
      </c>
      <c r="AI137" s="29"/>
    </row>
    <row r="138" ht="15.75" customHeight="1">
      <c r="A138" s="11">
        <f t="shared" si="1"/>
        <v>135</v>
      </c>
      <c r="B138" s="16">
        <f>ROUND(Guida!$B$22*H138/Guida!$B$29+Guida!$B$23*MAX(0,MIN(1,(AE138-5.4)/1.6))+Guida!$B$24*0+Guida!$B$25*0,1)</f>
        <v>4.5</v>
      </c>
      <c r="C138" s="17" t="s">
        <v>904</v>
      </c>
      <c r="D138" s="11" t="s">
        <v>185</v>
      </c>
      <c r="E138" s="18" t="s">
        <v>259</v>
      </c>
      <c r="F138" s="19">
        <v>4.0</v>
      </c>
      <c r="G138" s="19">
        <v>4.0</v>
      </c>
      <c r="H138" s="19">
        <v>8.0</v>
      </c>
      <c r="I138" s="19">
        <f>MAX(1,ROUND(H138^Guida!$B$18*Guida!$F$12,0))</f>
        <v>4</v>
      </c>
      <c r="J138" s="19">
        <f t="shared" si="2"/>
        <v>5</v>
      </c>
      <c r="K138" s="11" t="str">
        <f t="shared" si="3"/>
        <v>4a fascia</v>
      </c>
      <c r="L138" s="11" t="s">
        <v>332</v>
      </c>
      <c r="M138" s="18" t="s">
        <v>333</v>
      </c>
      <c r="N138" s="11" t="s">
        <v>71</v>
      </c>
      <c r="O138" s="11" t="s">
        <v>71</v>
      </c>
      <c r="P138" s="19">
        <v>5.0</v>
      </c>
      <c r="Q138" s="22">
        <v>5.8</v>
      </c>
      <c r="R138" s="22">
        <v>5.8</v>
      </c>
      <c r="S138" s="19">
        <v>0.0</v>
      </c>
      <c r="T138" s="19">
        <v>0.0</v>
      </c>
      <c r="U138" s="11" t="s">
        <v>72</v>
      </c>
      <c r="V138" s="19">
        <v>0.0</v>
      </c>
      <c r="W138" s="19">
        <v>0.0</v>
      </c>
      <c r="X138" s="19">
        <v>0.0</v>
      </c>
      <c r="Y138" s="22"/>
      <c r="Z138" s="22"/>
      <c r="AA138" s="19"/>
      <c r="AB138" s="19"/>
      <c r="AC138" s="11" t="s">
        <v>185</v>
      </c>
      <c r="AD138" s="11" t="s">
        <v>73</v>
      </c>
      <c r="AE138" s="22">
        <f t="shared" si="4"/>
        <v>5.56</v>
      </c>
      <c r="AF138" s="18" t="s">
        <v>158</v>
      </c>
      <c r="AG138" s="19">
        <v>7.0</v>
      </c>
      <c r="AH138" s="19">
        <f t="shared" si="5"/>
        <v>138</v>
      </c>
      <c r="AI138" s="18"/>
    </row>
    <row r="139" ht="15.75" customHeight="1">
      <c r="A139" s="25">
        <f t="shared" si="1"/>
        <v>136</v>
      </c>
      <c r="B139" s="27">
        <f>ROUND(Guida!$B$22*H139/Guida!$B$29+Guida!$B$23*MAX(0,MIN(1,(AE139-5.4)/1.6))+Guida!$B$24*0+Guida!$B$25*0,1)</f>
        <v>4.3</v>
      </c>
      <c r="C139" s="28" t="s">
        <v>911</v>
      </c>
      <c r="D139" s="25" t="s">
        <v>60</v>
      </c>
      <c r="E139" s="29" t="s">
        <v>137</v>
      </c>
      <c r="F139" s="30">
        <v>6.0</v>
      </c>
      <c r="G139" s="30">
        <v>6.0</v>
      </c>
      <c r="H139" s="30">
        <v>11.0</v>
      </c>
      <c r="I139" s="30">
        <f>MAX(1,ROUND(H139^Guida!$B$18*Guida!$F$12,0))</f>
        <v>5</v>
      </c>
      <c r="J139" s="30">
        <f t="shared" si="2"/>
        <v>6</v>
      </c>
      <c r="K139" s="25" t="str">
        <f t="shared" si="3"/>
        <v>4a fascia</v>
      </c>
      <c r="L139" s="25" t="s">
        <v>332</v>
      </c>
      <c r="M139" s="29" t="s">
        <v>338</v>
      </c>
      <c r="N139" s="25" t="s">
        <v>71</v>
      </c>
      <c r="O139" s="25" t="s">
        <v>71</v>
      </c>
      <c r="P139" s="30"/>
      <c r="Q139" s="32"/>
      <c r="R139" s="32"/>
      <c r="S139" s="30"/>
      <c r="T139" s="30"/>
      <c r="U139" s="25"/>
      <c r="V139" s="30"/>
      <c r="W139" s="30"/>
      <c r="X139" s="30">
        <v>0.0</v>
      </c>
      <c r="Y139" s="32"/>
      <c r="Z139" s="32"/>
      <c r="AA139" s="30"/>
      <c r="AB139" s="30"/>
      <c r="AC139" s="25" t="s">
        <v>71</v>
      </c>
      <c r="AD139" s="25" t="s">
        <v>103</v>
      </c>
      <c r="AE139" s="32">
        <f t="shared" si="4"/>
        <v>5.5</v>
      </c>
      <c r="AF139" s="29" t="s">
        <v>245</v>
      </c>
      <c r="AG139" s="30">
        <v>0.0</v>
      </c>
      <c r="AH139" s="30">
        <f t="shared" si="5"/>
        <v>108</v>
      </c>
      <c r="AI139" s="29"/>
    </row>
    <row r="140" ht="15.75" customHeight="1">
      <c r="A140" s="11">
        <f t="shared" si="1"/>
        <v>136</v>
      </c>
      <c r="B140" s="16">
        <f>ROUND(Guida!$B$22*H140/Guida!$B$29+Guida!$B$23*MAX(0,MIN(1,(AE140-5.4)/1.6))+Guida!$B$24*0+Guida!$B$25*0,1)</f>
        <v>4.3</v>
      </c>
      <c r="C140" s="17" t="s">
        <v>917</v>
      </c>
      <c r="D140" s="11" t="s">
        <v>191</v>
      </c>
      <c r="E140" s="18" t="s">
        <v>428</v>
      </c>
      <c r="F140" s="19">
        <v>4.0</v>
      </c>
      <c r="G140" s="19">
        <v>4.0</v>
      </c>
      <c r="H140" s="19">
        <v>11.0</v>
      </c>
      <c r="I140" s="19">
        <f>MAX(1,ROUND(H140^Guida!$B$18*Guida!$F$12,0))</f>
        <v>5</v>
      </c>
      <c r="J140" s="19">
        <f t="shared" si="2"/>
        <v>6</v>
      </c>
      <c r="K140" s="11" t="str">
        <f t="shared" si="3"/>
        <v>4a fascia</v>
      </c>
      <c r="L140" s="11" t="s">
        <v>332</v>
      </c>
      <c r="M140" s="18" t="s">
        <v>338</v>
      </c>
      <c r="N140" s="11" t="s">
        <v>71</v>
      </c>
      <c r="O140" s="11" t="s">
        <v>71</v>
      </c>
      <c r="P140" s="19"/>
      <c r="Q140" s="22"/>
      <c r="R140" s="22"/>
      <c r="S140" s="19"/>
      <c r="T140" s="19"/>
      <c r="U140" s="11"/>
      <c r="V140" s="19"/>
      <c r="W140" s="19"/>
      <c r="X140" s="19">
        <v>0.0</v>
      </c>
      <c r="Y140" s="22"/>
      <c r="Z140" s="22"/>
      <c r="AA140" s="19"/>
      <c r="AB140" s="19"/>
      <c r="AC140" s="11" t="s">
        <v>71</v>
      </c>
      <c r="AD140" s="11" t="s">
        <v>103</v>
      </c>
      <c r="AE140" s="22">
        <f t="shared" si="4"/>
        <v>5.5</v>
      </c>
      <c r="AF140" s="18" t="s">
        <v>223</v>
      </c>
      <c r="AG140" s="19">
        <v>3.0</v>
      </c>
      <c r="AH140" s="19">
        <f t="shared" si="5"/>
        <v>108</v>
      </c>
      <c r="AI140" s="18"/>
    </row>
    <row r="141" ht="15.75" customHeight="1">
      <c r="A141" s="25">
        <f t="shared" si="1"/>
        <v>136</v>
      </c>
      <c r="B141" s="27">
        <f>ROUND(Guida!$B$22*H141/Guida!$B$29+Guida!$B$23*MAX(0,MIN(1,(AE141-5.4)/1.6))+Guida!$B$24*0+Guida!$B$25*0,1)</f>
        <v>4.3</v>
      </c>
      <c r="C141" s="28" t="s">
        <v>921</v>
      </c>
      <c r="D141" s="25" t="s">
        <v>272</v>
      </c>
      <c r="E141" s="29" t="s">
        <v>137</v>
      </c>
      <c r="F141" s="30">
        <v>4.0</v>
      </c>
      <c r="G141" s="30">
        <v>3.0</v>
      </c>
      <c r="H141" s="30">
        <v>11.0</v>
      </c>
      <c r="I141" s="30">
        <f>MAX(1,ROUND(H141^Guida!$B$18*Guida!$F$12,0))</f>
        <v>5</v>
      </c>
      <c r="J141" s="30">
        <f t="shared" si="2"/>
        <v>6</v>
      </c>
      <c r="K141" s="25" t="str">
        <f t="shared" si="3"/>
        <v>4a fascia</v>
      </c>
      <c r="L141" s="25" t="s">
        <v>68</v>
      </c>
      <c r="M141" s="21" t="s">
        <v>100</v>
      </c>
      <c r="N141" s="25" t="s">
        <v>71</v>
      </c>
      <c r="O141" s="25" t="s">
        <v>71</v>
      </c>
      <c r="P141" s="30"/>
      <c r="Q141" s="32"/>
      <c r="R141" s="32"/>
      <c r="S141" s="30"/>
      <c r="T141" s="30"/>
      <c r="U141" s="25"/>
      <c r="V141" s="30"/>
      <c r="W141" s="30"/>
      <c r="X141" s="30">
        <v>2.0</v>
      </c>
      <c r="Y141" s="32">
        <v>5.25</v>
      </c>
      <c r="Z141" s="32">
        <v>4.75</v>
      </c>
      <c r="AA141" s="30">
        <v>0.0</v>
      </c>
      <c r="AB141" s="30">
        <v>0.0</v>
      </c>
      <c r="AC141" s="25" t="s">
        <v>71</v>
      </c>
      <c r="AD141" s="25" t="s">
        <v>103</v>
      </c>
      <c r="AE141" s="32">
        <f t="shared" si="4"/>
        <v>5.5</v>
      </c>
      <c r="AF141" s="29" t="s">
        <v>288</v>
      </c>
      <c r="AG141" s="30">
        <v>6.0</v>
      </c>
      <c r="AH141" s="30">
        <f t="shared" si="5"/>
        <v>108</v>
      </c>
      <c r="AI141" s="29"/>
    </row>
    <row r="142" ht="15.75" customHeight="1">
      <c r="A142" s="11">
        <f t="shared" si="1"/>
        <v>136</v>
      </c>
      <c r="B142" s="16">
        <f>ROUND(Guida!$B$22*H142/Guida!$B$29+Guida!$B$23*MAX(0,MIN(1,(AE142-5.4)/1.6))+Guida!$B$24*0+Guida!$B$25*0,1)</f>
        <v>4.3</v>
      </c>
      <c r="C142" s="17" t="s">
        <v>704</v>
      </c>
      <c r="D142" s="11" t="s">
        <v>185</v>
      </c>
      <c r="E142" s="18" t="s">
        <v>137</v>
      </c>
      <c r="F142" s="19">
        <v>2.0</v>
      </c>
      <c r="G142" s="19">
        <v>3.0</v>
      </c>
      <c r="H142" s="19">
        <v>11.0</v>
      </c>
      <c r="I142" s="19">
        <f>MAX(1,ROUND(H142^Guida!$B$18*Guida!$F$12,0))</f>
        <v>5</v>
      </c>
      <c r="J142" s="19">
        <f t="shared" si="2"/>
        <v>6</v>
      </c>
      <c r="K142" s="11" t="str">
        <f t="shared" si="3"/>
        <v>4a fascia</v>
      </c>
      <c r="L142" s="11" t="s">
        <v>332</v>
      </c>
      <c r="M142" s="36" t="s">
        <v>284</v>
      </c>
      <c r="N142" s="11" t="s">
        <v>71</v>
      </c>
      <c r="O142" s="11" t="s">
        <v>71</v>
      </c>
      <c r="P142" s="19">
        <v>4.0</v>
      </c>
      <c r="Q142" s="22">
        <v>5.5</v>
      </c>
      <c r="R142" s="22">
        <v>5.5</v>
      </c>
      <c r="S142" s="19">
        <v>0.0</v>
      </c>
      <c r="T142" s="19">
        <v>0.0</v>
      </c>
      <c r="U142" s="11" t="s">
        <v>72</v>
      </c>
      <c r="V142" s="19">
        <v>0.0</v>
      </c>
      <c r="W142" s="19">
        <v>0.0</v>
      </c>
      <c r="X142" s="19">
        <v>1.0</v>
      </c>
      <c r="Y142" s="22">
        <v>6.5</v>
      </c>
      <c r="Z142" s="22">
        <v>6.5</v>
      </c>
      <c r="AA142" s="19">
        <v>0.0</v>
      </c>
      <c r="AB142" s="19">
        <v>0.0</v>
      </c>
      <c r="AC142" s="11" t="s">
        <v>185</v>
      </c>
      <c r="AD142" s="11" t="s">
        <v>73</v>
      </c>
      <c r="AE142" s="22">
        <f t="shared" si="4"/>
        <v>5.5</v>
      </c>
      <c r="AF142" s="18" t="s">
        <v>158</v>
      </c>
      <c r="AG142" s="19">
        <v>7.0</v>
      </c>
      <c r="AH142" s="19">
        <f t="shared" si="5"/>
        <v>108</v>
      </c>
      <c r="AI142" s="18" t="s">
        <v>706</v>
      </c>
    </row>
    <row r="143" ht="15.75" customHeight="1">
      <c r="A143" s="25">
        <f t="shared" si="1"/>
        <v>140</v>
      </c>
      <c r="B143" s="27">
        <f>ROUND(Guida!$B$22*H143/Guida!$B$29+Guida!$B$23*MAX(0,MIN(1,(AE143-5.4)/1.6))+Guida!$B$24*0+Guida!$B$25*0,1)</f>
        <v>4.1</v>
      </c>
      <c r="C143" s="28" t="s">
        <v>928</v>
      </c>
      <c r="D143" s="25" t="s">
        <v>185</v>
      </c>
      <c r="E143" s="29" t="s">
        <v>229</v>
      </c>
      <c r="F143" s="30">
        <v>1.0</v>
      </c>
      <c r="G143" s="30">
        <v>2.0</v>
      </c>
      <c r="H143" s="30">
        <v>10.0</v>
      </c>
      <c r="I143" s="30">
        <f>MAX(1,ROUND(H143^Guida!$B$18*Guida!$F$12,0))</f>
        <v>5</v>
      </c>
      <c r="J143" s="30">
        <f t="shared" si="2"/>
        <v>6</v>
      </c>
      <c r="K143" s="25" t="str">
        <f t="shared" si="3"/>
        <v>4a fascia</v>
      </c>
      <c r="L143" s="25" t="s">
        <v>332</v>
      </c>
      <c r="M143" s="29" t="s">
        <v>473</v>
      </c>
      <c r="N143" s="25" t="s">
        <v>71</v>
      </c>
      <c r="O143" s="25" t="s">
        <v>71</v>
      </c>
      <c r="P143" s="30"/>
      <c r="Q143" s="32"/>
      <c r="R143" s="32"/>
      <c r="S143" s="30"/>
      <c r="T143" s="30"/>
      <c r="U143" s="25"/>
      <c r="V143" s="30"/>
      <c r="W143" s="30"/>
      <c r="X143" s="30">
        <v>2.0</v>
      </c>
      <c r="Y143" s="32">
        <v>6.25</v>
      </c>
      <c r="Z143" s="32">
        <v>6.0</v>
      </c>
      <c r="AA143" s="30">
        <v>0.0</v>
      </c>
      <c r="AB143" s="30">
        <v>0.0</v>
      </c>
      <c r="AC143" s="25" t="s">
        <v>71</v>
      </c>
      <c r="AD143" s="25" t="s">
        <v>103</v>
      </c>
      <c r="AE143" s="32">
        <f t="shared" si="4"/>
        <v>5.5</v>
      </c>
      <c r="AF143" s="29" t="s">
        <v>158</v>
      </c>
      <c r="AG143" s="30">
        <v>7.0</v>
      </c>
      <c r="AH143" s="30">
        <f t="shared" si="5"/>
        <v>114</v>
      </c>
      <c r="AI143" s="29"/>
    </row>
    <row r="144" ht="15.75" customHeight="1">
      <c r="A144" s="11">
        <f t="shared" si="1"/>
        <v>140</v>
      </c>
      <c r="B144" s="16">
        <f>ROUND(Guida!$B$22*H144/Guida!$B$29+Guida!$B$23*MAX(0,MIN(1,(AE144-5.4)/1.6))+Guida!$B$24*0+Guida!$B$25*0,1)</f>
        <v>4.1</v>
      </c>
      <c r="C144" s="17" t="s">
        <v>934</v>
      </c>
      <c r="D144" s="11" t="s">
        <v>177</v>
      </c>
      <c r="E144" s="18" t="s">
        <v>428</v>
      </c>
      <c r="F144" s="19">
        <v>3.0</v>
      </c>
      <c r="G144" s="19">
        <v>3.0</v>
      </c>
      <c r="H144" s="19">
        <v>10.0</v>
      </c>
      <c r="I144" s="19">
        <f>MAX(1,ROUND(H144^Guida!$B$18*Guida!$F$12,0))</f>
        <v>5</v>
      </c>
      <c r="J144" s="19">
        <f t="shared" si="2"/>
        <v>6</v>
      </c>
      <c r="K144" s="11" t="str">
        <f t="shared" si="3"/>
        <v>4a fascia</v>
      </c>
      <c r="L144" s="11" t="s">
        <v>226</v>
      </c>
      <c r="M144" s="18" t="s">
        <v>227</v>
      </c>
      <c r="N144" s="11" t="s">
        <v>71</v>
      </c>
      <c r="O144" s="11" t="s">
        <v>71</v>
      </c>
      <c r="P144" s="19"/>
      <c r="Q144" s="22"/>
      <c r="R144" s="22"/>
      <c r="S144" s="19"/>
      <c r="T144" s="19"/>
      <c r="U144" s="11"/>
      <c r="V144" s="19"/>
      <c r="W144" s="19"/>
      <c r="X144" s="19">
        <v>0.0</v>
      </c>
      <c r="Y144" s="22"/>
      <c r="Z144" s="22"/>
      <c r="AA144" s="19"/>
      <c r="AB144" s="19"/>
      <c r="AC144" s="11" t="s">
        <v>71</v>
      </c>
      <c r="AD144" s="11" t="s">
        <v>103</v>
      </c>
      <c r="AE144" s="22">
        <f t="shared" si="4"/>
        <v>5.5</v>
      </c>
      <c r="AF144" s="18" t="s">
        <v>179</v>
      </c>
      <c r="AG144" s="19">
        <v>5.0</v>
      </c>
      <c r="AH144" s="19">
        <f t="shared" si="5"/>
        <v>114</v>
      </c>
      <c r="AI144" s="18"/>
    </row>
    <row r="145" ht="15.75" customHeight="1">
      <c r="A145" s="25">
        <f t="shared" si="1"/>
        <v>140</v>
      </c>
      <c r="B145" s="27">
        <f>ROUND(Guida!$B$22*H145/Guida!$B$29+Guida!$B$23*MAX(0,MIN(1,(AE145-5.4)/1.6))+Guida!$B$24*0+Guida!$B$25*0,1)</f>
        <v>4.1</v>
      </c>
      <c r="C145" s="28" t="s">
        <v>937</v>
      </c>
      <c r="D145" s="25" t="s">
        <v>264</v>
      </c>
      <c r="E145" s="29" t="s">
        <v>137</v>
      </c>
      <c r="F145" s="30">
        <v>4.0</v>
      </c>
      <c r="G145" s="30">
        <v>3.0</v>
      </c>
      <c r="H145" s="30">
        <v>10.0</v>
      </c>
      <c r="I145" s="30">
        <f>MAX(1,ROUND(H145^Guida!$B$18*Guida!$F$12,0))</f>
        <v>5</v>
      </c>
      <c r="J145" s="30">
        <f t="shared" si="2"/>
        <v>6</v>
      </c>
      <c r="K145" s="25" t="str">
        <f t="shared" si="3"/>
        <v>4a fascia</v>
      </c>
      <c r="L145" s="25" t="s">
        <v>332</v>
      </c>
      <c r="M145" s="29" t="s">
        <v>615</v>
      </c>
      <c r="N145" s="25" t="s">
        <v>71</v>
      </c>
      <c r="O145" s="25" t="s">
        <v>71</v>
      </c>
      <c r="P145" s="30"/>
      <c r="Q145" s="32"/>
      <c r="R145" s="32"/>
      <c r="S145" s="30"/>
      <c r="T145" s="30"/>
      <c r="U145" s="25"/>
      <c r="V145" s="30"/>
      <c r="W145" s="30"/>
      <c r="X145" s="30">
        <v>1.0</v>
      </c>
      <c r="Y145" s="32">
        <v>5.0</v>
      </c>
      <c r="Z145" s="32">
        <v>3.0</v>
      </c>
      <c r="AA145" s="30">
        <v>0.0</v>
      </c>
      <c r="AB145" s="30">
        <v>0.0</v>
      </c>
      <c r="AC145" s="25" t="s">
        <v>71</v>
      </c>
      <c r="AD145" s="25" t="s">
        <v>103</v>
      </c>
      <c r="AE145" s="32">
        <f t="shared" si="4"/>
        <v>5.5</v>
      </c>
      <c r="AF145" s="29" t="s">
        <v>270</v>
      </c>
      <c r="AG145" s="30">
        <v>6.0</v>
      </c>
      <c r="AH145" s="30">
        <f t="shared" si="5"/>
        <v>114</v>
      </c>
      <c r="AI145" s="29"/>
    </row>
    <row r="146" ht="15.75" customHeight="1">
      <c r="A146" s="11">
        <f t="shared" si="1"/>
        <v>140</v>
      </c>
      <c r="B146" s="16">
        <f>ROUND(Guida!$B$22*H146/Guida!$B$29+Guida!$B$23*MAX(0,MIN(1,(AE146-5.4)/1.6))+Guida!$B$24*0+Guida!$B$25*0,1)</f>
        <v>4.1</v>
      </c>
      <c r="C146" s="17" t="s">
        <v>944</v>
      </c>
      <c r="D146" s="11" t="s">
        <v>264</v>
      </c>
      <c r="E146" s="18" t="s">
        <v>259</v>
      </c>
      <c r="F146" s="19">
        <v>5.0</v>
      </c>
      <c r="G146" s="19">
        <v>5.0</v>
      </c>
      <c r="H146" s="19">
        <v>10.0</v>
      </c>
      <c r="I146" s="19">
        <f>MAX(1,ROUND(H146^Guida!$B$18*Guida!$F$12,0))</f>
        <v>5</v>
      </c>
      <c r="J146" s="19">
        <f t="shared" si="2"/>
        <v>6</v>
      </c>
      <c r="K146" s="11" t="str">
        <f t="shared" si="3"/>
        <v>4a fascia</v>
      </c>
      <c r="L146" s="11" t="s">
        <v>68</v>
      </c>
      <c r="M146" s="21" t="s">
        <v>100</v>
      </c>
      <c r="N146" s="11" t="s">
        <v>71</v>
      </c>
      <c r="O146" s="11" t="s">
        <v>71</v>
      </c>
      <c r="P146" s="19"/>
      <c r="Q146" s="22"/>
      <c r="R146" s="22"/>
      <c r="S146" s="19"/>
      <c r="T146" s="19"/>
      <c r="U146" s="11"/>
      <c r="V146" s="19"/>
      <c r="W146" s="19"/>
      <c r="X146" s="19">
        <v>2.0</v>
      </c>
      <c r="Y146" s="22">
        <v>6.0</v>
      </c>
      <c r="Z146" s="22">
        <v>5.75</v>
      </c>
      <c r="AA146" s="19">
        <v>0.0</v>
      </c>
      <c r="AB146" s="19">
        <v>0.0</v>
      </c>
      <c r="AC146" s="11" t="s">
        <v>71</v>
      </c>
      <c r="AD146" s="11" t="s">
        <v>103</v>
      </c>
      <c r="AE146" s="22">
        <f t="shared" si="4"/>
        <v>5.5</v>
      </c>
      <c r="AF146" s="18" t="s">
        <v>270</v>
      </c>
      <c r="AG146" s="19">
        <v>6.0</v>
      </c>
      <c r="AH146" s="19">
        <f t="shared" si="5"/>
        <v>114</v>
      </c>
      <c r="AI146" s="18"/>
    </row>
    <row r="147" ht="15.75" customHeight="1">
      <c r="A147" s="25">
        <f t="shared" si="1"/>
        <v>140</v>
      </c>
      <c r="B147" s="27">
        <f>ROUND(Guida!$B$22*H147/Guida!$B$29+Guida!$B$23*MAX(0,MIN(1,(AE147-5.4)/1.6))+Guida!$B$24*0+Guida!$B$25*0,1)</f>
        <v>4.1</v>
      </c>
      <c r="C147" s="28" t="s">
        <v>950</v>
      </c>
      <c r="D147" s="25" t="s">
        <v>60</v>
      </c>
      <c r="E147" s="29" t="s">
        <v>104</v>
      </c>
      <c r="F147" s="30">
        <v>1.0</v>
      </c>
      <c r="G147" s="30">
        <v>2.0</v>
      </c>
      <c r="H147" s="30">
        <v>10.0</v>
      </c>
      <c r="I147" s="30">
        <f>MAX(1,ROUND(H147^Guida!$B$18*Guida!$F$12,0))</f>
        <v>5</v>
      </c>
      <c r="J147" s="30">
        <f t="shared" si="2"/>
        <v>6</v>
      </c>
      <c r="K147" s="25" t="str">
        <f t="shared" si="3"/>
        <v>4a fascia</v>
      </c>
      <c r="L147" s="25" t="s">
        <v>332</v>
      </c>
      <c r="M147" s="29" t="s">
        <v>473</v>
      </c>
      <c r="N147" s="25" t="s">
        <v>71</v>
      </c>
      <c r="O147" s="25" t="s">
        <v>71</v>
      </c>
      <c r="P147" s="30"/>
      <c r="Q147" s="32"/>
      <c r="R147" s="32"/>
      <c r="S147" s="30"/>
      <c r="T147" s="30"/>
      <c r="U147" s="25"/>
      <c r="V147" s="30"/>
      <c r="W147" s="30"/>
      <c r="X147" s="30">
        <v>2.0</v>
      </c>
      <c r="Y147" s="32">
        <v>6.5</v>
      </c>
      <c r="Z147" s="32">
        <v>6.5</v>
      </c>
      <c r="AA147" s="30">
        <v>0.0</v>
      </c>
      <c r="AB147" s="30">
        <v>0.0</v>
      </c>
      <c r="AC147" s="25" t="s">
        <v>71</v>
      </c>
      <c r="AD147" s="25" t="s">
        <v>103</v>
      </c>
      <c r="AE147" s="32">
        <f t="shared" si="4"/>
        <v>5.5</v>
      </c>
      <c r="AF147" s="29" t="s">
        <v>245</v>
      </c>
      <c r="AG147" s="30">
        <v>0.0</v>
      </c>
      <c r="AH147" s="30">
        <f t="shared" si="5"/>
        <v>114</v>
      </c>
      <c r="AI147" s="29"/>
    </row>
    <row r="148" ht="15.75" customHeight="1">
      <c r="A148" s="11">
        <f t="shared" si="1"/>
        <v>140</v>
      </c>
      <c r="B148" s="16">
        <f>ROUND(Guida!$B$22*H148/Guida!$B$29+Guida!$B$23*MAX(0,MIN(1,(AE148-5.4)/1.6))+Guida!$B$24*0+Guida!$B$25*0,1)</f>
        <v>4.1</v>
      </c>
      <c r="C148" s="17" t="s">
        <v>958</v>
      </c>
      <c r="D148" s="11" t="s">
        <v>177</v>
      </c>
      <c r="E148" s="18" t="s">
        <v>259</v>
      </c>
      <c r="F148" s="19">
        <v>4.0</v>
      </c>
      <c r="G148" s="19">
        <v>4.0</v>
      </c>
      <c r="H148" s="19">
        <v>10.0</v>
      </c>
      <c r="I148" s="19">
        <f>MAX(1,ROUND(H148^Guida!$B$18*Guida!$F$12,0))</f>
        <v>5</v>
      </c>
      <c r="J148" s="19">
        <f t="shared" si="2"/>
        <v>6</v>
      </c>
      <c r="K148" s="11" t="str">
        <f t="shared" si="3"/>
        <v>4a fascia</v>
      </c>
      <c r="L148" s="11" t="s">
        <v>226</v>
      </c>
      <c r="M148" s="18" t="s">
        <v>227</v>
      </c>
      <c r="N148" s="11" t="s">
        <v>71</v>
      </c>
      <c r="O148" s="11" t="s">
        <v>71</v>
      </c>
      <c r="P148" s="19"/>
      <c r="Q148" s="22"/>
      <c r="R148" s="22"/>
      <c r="S148" s="19"/>
      <c r="T148" s="19"/>
      <c r="U148" s="11"/>
      <c r="V148" s="19"/>
      <c r="W148" s="19"/>
      <c r="X148" s="19">
        <v>0.0</v>
      </c>
      <c r="Y148" s="22"/>
      <c r="Z148" s="22"/>
      <c r="AA148" s="19"/>
      <c r="AB148" s="19"/>
      <c r="AC148" s="11" t="s">
        <v>71</v>
      </c>
      <c r="AD148" s="11" t="s">
        <v>103</v>
      </c>
      <c r="AE148" s="22">
        <f t="shared" si="4"/>
        <v>5.5</v>
      </c>
      <c r="AF148" s="18" t="s">
        <v>179</v>
      </c>
      <c r="AG148" s="19">
        <v>5.0</v>
      </c>
      <c r="AH148" s="19">
        <f t="shared" si="5"/>
        <v>114</v>
      </c>
      <c r="AI148" s="18"/>
    </row>
    <row r="149" ht="15.75" customHeight="1">
      <c r="A149" s="25">
        <f t="shared" si="1"/>
        <v>140</v>
      </c>
      <c r="B149" s="27">
        <f>ROUND(Guida!$B$22*H149/Guida!$B$29+Guida!$B$23*MAX(0,MIN(1,(AE149-5.4)/1.6))+Guida!$B$24*0+Guida!$B$25*0,1)</f>
        <v>4.1</v>
      </c>
      <c r="C149" s="28" t="s">
        <v>967</v>
      </c>
      <c r="D149" s="25" t="s">
        <v>261</v>
      </c>
      <c r="E149" s="29" t="s">
        <v>249</v>
      </c>
      <c r="F149" s="30">
        <v>5.0</v>
      </c>
      <c r="G149" s="30">
        <v>6.0</v>
      </c>
      <c r="H149" s="30">
        <v>10.0</v>
      </c>
      <c r="I149" s="30">
        <f>MAX(1,ROUND(H149^Guida!$B$18*Guida!$F$12,0))</f>
        <v>5</v>
      </c>
      <c r="J149" s="30">
        <f t="shared" si="2"/>
        <v>6</v>
      </c>
      <c r="K149" s="25" t="str">
        <f t="shared" si="3"/>
        <v>4a fascia</v>
      </c>
      <c r="L149" s="25" t="s">
        <v>68</v>
      </c>
      <c r="M149" s="21" t="s">
        <v>100</v>
      </c>
      <c r="N149" s="25" t="s">
        <v>71</v>
      </c>
      <c r="O149" s="25" t="s">
        <v>71</v>
      </c>
      <c r="P149" s="30"/>
      <c r="Q149" s="32"/>
      <c r="R149" s="32"/>
      <c r="S149" s="30"/>
      <c r="T149" s="30"/>
      <c r="U149" s="25"/>
      <c r="V149" s="30"/>
      <c r="W149" s="30"/>
      <c r="X149" s="30">
        <v>2.0</v>
      </c>
      <c r="Y149" s="32">
        <v>6.25</v>
      </c>
      <c r="Z149" s="32">
        <v>6.25</v>
      </c>
      <c r="AA149" s="30">
        <v>0.0</v>
      </c>
      <c r="AB149" s="30">
        <v>0.0</v>
      </c>
      <c r="AC149" s="25" t="s">
        <v>71</v>
      </c>
      <c r="AD149" s="25" t="s">
        <v>103</v>
      </c>
      <c r="AE149" s="32">
        <f t="shared" si="4"/>
        <v>5.5</v>
      </c>
      <c r="AF149" s="29" t="s">
        <v>311</v>
      </c>
      <c r="AG149" s="30">
        <v>5.0</v>
      </c>
      <c r="AH149" s="30">
        <f t="shared" si="5"/>
        <v>114</v>
      </c>
      <c r="AI149" s="29"/>
    </row>
    <row r="150" ht="15.75" customHeight="1">
      <c r="A150" s="11">
        <f t="shared" si="1"/>
        <v>140</v>
      </c>
      <c r="B150" s="16">
        <f>ROUND(Guida!$B$22*H150/Guida!$B$29+Guida!$B$23*MAX(0,MIN(1,(AE150-5.4)/1.6))+Guida!$B$24*0+Guida!$B$25*0,1)</f>
        <v>4.1</v>
      </c>
      <c r="C150" s="17" t="s">
        <v>975</v>
      </c>
      <c r="D150" s="11" t="s">
        <v>264</v>
      </c>
      <c r="E150" s="18" t="s">
        <v>137</v>
      </c>
      <c r="F150" s="19">
        <v>3.0</v>
      </c>
      <c r="G150" s="19">
        <v>3.0</v>
      </c>
      <c r="H150" s="19">
        <v>10.0</v>
      </c>
      <c r="I150" s="19">
        <f>MAX(1,ROUND(H150^Guida!$B$18*Guida!$F$12,0))</f>
        <v>5</v>
      </c>
      <c r="J150" s="19">
        <f t="shared" si="2"/>
        <v>6</v>
      </c>
      <c r="K150" s="11" t="str">
        <f t="shared" si="3"/>
        <v>4a fascia</v>
      </c>
      <c r="L150" s="11" t="s">
        <v>332</v>
      </c>
      <c r="M150" s="18" t="s">
        <v>473</v>
      </c>
      <c r="N150" s="11" t="s">
        <v>71</v>
      </c>
      <c r="O150" s="11" t="s">
        <v>71</v>
      </c>
      <c r="P150" s="19"/>
      <c r="Q150" s="22"/>
      <c r="R150" s="22"/>
      <c r="S150" s="19"/>
      <c r="T150" s="19"/>
      <c r="U150" s="11"/>
      <c r="V150" s="19"/>
      <c r="W150" s="19"/>
      <c r="X150" s="19">
        <v>2.0</v>
      </c>
      <c r="Y150" s="22">
        <v>5.5</v>
      </c>
      <c r="Z150" s="22">
        <v>5.25</v>
      </c>
      <c r="AA150" s="19">
        <v>0.0</v>
      </c>
      <c r="AB150" s="19">
        <v>0.0</v>
      </c>
      <c r="AC150" s="11" t="s">
        <v>71</v>
      </c>
      <c r="AD150" s="11" t="s">
        <v>103</v>
      </c>
      <c r="AE150" s="22">
        <f t="shared" si="4"/>
        <v>5.5</v>
      </c>
      <c r="AF150" s="18" t="s">
        <v>270</v>
      </c>
      <c r="AG150" s="19">
        <v>6.0</v>
      </c>
      <c r="AH150" s="19">
        <f t="shared" si="5"/>
        <v>114</v>
      </c>
      <c r="AI150" s="18"/>
    </row>
    <row r="151" ht="15.75" customHeight="1">
      <c r="A151" s="25">
        <f t="shared" si="1"/>
        <v>140</v>
      </c>
      <c r="B151" s="27">
        <f>ROUND(Guida!$B$22*H151/Guida!$B$29+Guida!$B$23*MAX(0,MIN(1,(AE151-5.4)/1.6))+Guida!$B$24*0+Guida!$B$25*0,1)</f>
        <v>4.1</v>
      </c>
      <c r="C151" s="28" t="s">
        <v>979</v>
      </c>
      <c r="D151" s="25" t="s">
        <v>177</v>
      </c>
      <c r="E151" s="29" t="s">
        <v>428</v>
      </c>
      <c r="F151" s="30">
        <v>2.0</v>
      </c>
      <c r="G151" s="30">
        <v>2.0</v>
      </c>
      <c r="H151" s="30">
        <v>5.0</v>
      </c>
      <c r="I151" s="30">
        <f>MAX(1,ROUND(H151^Guida!$B$18*Guida!$F$12,0))</f>
        <v>3</v>
      </c>
      <c r="J151" s="30">
        <f t="shared" si="2"/>
        <v>4</v>
      </c>
      <c r="K151" s="25" t="str">
        <f t="shared" si="3"/>
        <v>4a fascia</v>
      </c>
      <c r="L151" s="25" t="s">
        <v>332</v>
      </c>
      <c r="M151" s="29" t="s">
        <v>333</v>
      </c>
      <c r="N151" s="25" t="s">
        <v>71</v>
      </c>
      <c r="O151" s="25" t="s">
        <v>71</v>
      </c>
      <c r="P151" s="30">
        <v>13.0</v>
      </c>
      <c r="Q151" s="32">
        <v>5.81</v>
      </c>
      <c r="R151" s="32">
        <v>5.65</v>
      </c>
      <c r="S151" s="30">
        <v>0.0</v>
      </c>
      <c r="T151" s="30">
        <v>0.0</v>
      </c>
      <c r="U151" s="25" t="s">
        <v>72</v>
      </c>
      <c r="V151" s="30">
        <v>0.0</v>
      </c>
      <c r="W151" s="30">
        <v>0.0</v>
      </c>
      <c r="X151" s="30">
        <v>0.0</v>
      </c>
      <c r="Y151" s="32"/>
      <c r="Z151" s="32"/>
      <c r="AA151" s="30"/>
      <c r="AB151" s="30"/>
      <c r="AC151" s="25" t="s">
        <v>177</v>
      </c>
      <c r="AD151" s="25" t="s">
        <v>73</v>
      </c>
      <c r="AE151" s="32">
        <f t="shared" si="4"/>
        <v>5.58</v>
      </c>
      <c r="AF151" s="29" t="s">
        <v>179</v>
      </c>
      <c r="AG151" s="30">
        <v>5.0</v>
      </c>
      <c r="AH151" s="30">
        <f t="shared" si="5"/>
        <v>158</v>
      </c>
      <c r="AI151" s="29"/>
    </row>
    <row r="152" ht="15.75" customHeight="1">
      <c r="A152" s="11">
        <f t="shared" si="1"/>
        <v>149</v>
      </c>
      <c r="B152" s="16">
        <f>ROUND(Guida!$B$22*H152/Guida!$B$29+Guida!$B$23*MAX(0,MIN(1,(AE152-5.4)/1.6))+Guida!$B$24*0+Guida!$B$25*0,1)</f>
        <v>3.9</v>
      </c>
      <c r="C152" s="17" t="s">
        <v>984</v>
      </c>
      <c r="D152" s="11" t="s">
        <v>182</v>
      </c>
      <c r="E152" s="18" t="s">
        <v>229</v>
      </c>
      <c r="F152" s="19">
        <v>2.0</v>
      </c>
      <c r="G152" s="19">
        <v>3.0</v>
      </c>
      <c r="H152" s="19">
        <v>12.0</v>
      </c>
      <c r="I152" s="19">
        <f>MAX(1,ROUND(H152^Guida!$B$18*Guida!$F$12,0))</f>
        <v>6</v>
      </c>
      <c r="J152" s="19">
        <f t="shared" si="2"/>
        <v>7</v>
      </c>
      <c r="K152" s="11" t="str">
        <f t="shared" si="3"/>
        <v>4a fascia</v>
      </c>
      <c r="L152" s="11" t="s">
        <v>332</v>
      </c>
      <c r="M152" s="18" t="s">
        <v>392</v>
      </c>
      <c r="N152" s="11" t="s">
        <v>71</v>
      </c>
      <c r="O152" s="11" t="s">
        <v>71</v>
      </c>
      <c r="P152" s="19">
        <v>6.0</v>
      </c>
      <c r="Q152" s="22">
        <v>5.5</v>
      </c>
      <c r="R152" s="22">
        <v>5.33</v>
      </c>
      <c r="S152" s="19">
        <v>0.0</v>
      </c>
      <c r="T152" s="19">
        <v>0.0</v>
      </c>
      <c r="U152" s="11" t="s">
        <v>72</v>
      </c>
      <c r="V152" s="19">
        <v>2.0</v>
      </c>
      <c r="W152" s="19">
        <v>0.0</v>
      </c>
      <c r="X152" s="19">
        <v>2.0</v>
      </c>
      <c r="Y152" s="22">
        <v>6.0</v>
      </c>
      <c r="Z152" s="22">
        <v>6.0</v>
      </c>
      <c r="AA152" s="19">
        <v>0.0</v>
      </c>
      <c r="AB152" s="19">
        <v>0.0</v>
      </c>
      <c r="AC152" s="11" t="s">
        <v>182</v>
      </c>
      <c r="AD152" s="11" t="s">
        <v>73</v>
      </c>
      <c r="AE152" s="22">
        <f t="shared" si="4"/>
        <v>5.46</v>
      </c>
      <c r="AF152" s="18" t="s">
        <v>113</v>
      </c>
      <c r="AG152" s="19">
        <v>6.0</v>
      </c>
      <c r="AH152" s="19">
        <f t="shared" si="5"/>
        <v>89</v>
      </c>
      <c r="AI152" s="18"/>
    </row>
    <row r="153" ht="15.75" customHeight="1">
      <c r="A153" s="25">
        <f t="shared" si="1"/>
        <v>149</v>
      </c>
      <c r="B153" s="27">
        <f>ROUND(Guida!$B$22*H153/Guida!$B$29+Guida!$B$23*MAX(0,MIN(1,(AE153-5.4)/1.6))+Guida!$B$24*0+Guida!$B$25*0,1)</f>
        <v>3.9</v>
      </c>
      <c r="C153" s="28" t="s">
        <v>670</v>
      </c>
      <c r="D153" s="25" t="s">
        <v>191</v>
      </c>
      <c r="E153" s="29" t="s">
        <v>137</v>
      </c>
      <c r="F153" s="30">
        <v>1.0</v>
      </c>
      <c r="G153" s="30">
        <v>1.0</v>
      </c>
      <c r="H153" s="30">
        <v>3.0</v>
      </c>
      <c r="I153" s="30">
        <f>MAX(1,ROUND(H153^Guida!$B$18*Guida!$F$12,0))</f>
        <v>2</v>
      </c>
      <c r="J153" s="30">
        <f t="shared" si="2"/>
        <v>2</v>
      </c>
      <c r="K153" s="25" t="str">
        <f t="shared" si="3"/>
        <v>Scommessa</v>
      </c>
      <c r="L153" s="25" t="s">
        <v>332</v>
      </c>
      <c r="M153" s="36" t="s">
        <v>498</v>
      </c>
      <c r="N153" s="25" t="s">
        <v>71</v>
      </c>
      <c r="O153" s="25" t="s">
        <v>71</v>
      </c>
      <c r="P153" s="30">
        <v>11.0</v>
      </c>
      <c r="Q153" s="32">
        <v>5.73</v>
      </c>
      <c r="R153" s="32">
        <v>5.73</v>
      </c>
      <c r="S153" s="30">
        <v>0.0</v>
      </c>
      <c r="T153" s="30">
        <v>1.0</v>
      </c>
      <c r="U153" s="25" t="s">
        <v>72</v>
      </c>
      <c r="V153" s="30">
        <v>2.0</v>
      </c>
      <c r="W153" s="30">
        <v>0.0</v>
      </c>
      <c r="X153" s="30">
        <v>0.0</v>
      </c>
      <c r="Y153" s="32"/>
      <c r="Z153" s="32"/>
      <c r="AA153" s="30"/>
      <c r="AB153" s="30"/>
      <c r="AC153" s="25" t="s">
        <v>212</v>
      </c>
      <c r="AD153" s="25" t="s">
        <v>103</v>
      </c>
      <c r="AE153" s="32">
        <f t="shared" si="4"/>
        <v>5.6</v>
      </c>
      <c r="AF153" s="29" t="s">
        <v>223</v>
      </c>
      <c r="AG153" s="30">
        <v>3.0</v>
      </c>
      <c r="AH153" s="30">
        <f t="shared" si="5"/>
        <v>175</v>
      </c>
      <c r="AI153" s="29" t="s">
        <v>671</v>
      </c>
    </row>
    <row r="154" ht="15.75" customHeight="1">
      <c r="A154" s="11">
        <f t="shared" si="1"/>
        <v>151</v>
      </c>
      <c r="B154" s="16">
        <f>ROUND(Guida!$B$22*H154/Guida!$B$29+Guida!$B$23*MAX(0,MIN(1,(AE154-5.4)/1.6))+Guida!$B$24*0+Guida!$B$25*0,1)</f>
        <v>3.8</v>
      </c>
      <c r="C154" s="17" t="s">
        <v>992</v>
      </c>
      <c r="D154" s="11" t="s">
        <v>272</v>
      </c>
      <c r="E154" s="18" t="s">
        <v>324</v>
      </c>
      <c r="F154" s="19">
        <v>3.0</v>
      </c>
      <c r="G154" s="19">
        <v>3.0</v>
      </c>
      <c r="H154" s="19">
        <v>9.0</v>
      </c>
      <c r="I154" s="19">
        <f>MAX(1,ROUND(H154^Guida!$B$18*Guida!$F$12,0))</f>
        <v>5</v>
      </c>
      <c r="J154" s="19">
        <f t="shared" si="2"/>
        <v>6</v>
      </c>
      <c r="K154" s="11" t="str">
        <f t="shared" si="3"/>
        <v>4a fascia</v>
      </c>
      <c r="L154" s="11" t="s">
        <v>226</v>
      </c>
      <c r="M154" s="18" t="s">
        <v>300</v>
      </c>
      <c r="N154" s="11" t="s">
        <v>71</v>
      </c>
      <c r="O154" s="11" t="s">
        <v>71</v>
      </c>
      <c r="P154" s="19"/>
      <c r="Q154" s="22"/>
      <c r="R154" s="22"/>
      <c r="S154" s="19"/>
      <c r="T154" s="19"/>
      <c r="U154" s="11"/>
      <c r="V154" s="19"/>
      <c r="W154" s="19"/>
      <c r="X154" s="19">
        <v>2.0</v>
      </c>
      <c r="Y154" s="22">
        <v>5.5</v>
      </c>
      <c r="Z154" s="22">
        <v>5.5</v>
      </c>
      <c r="AA154" s="19">
        <v>0.0</v>
      </c>
      <c r="AB154" s="19">
        <v>0.0</v>
      </c>
      <c r="AC154" s="11" t="s">
        <v>71</v>
      </c>
      <c r="AD154" s="11" t="s">
        <v>103</v>
      </c>
      <c r="AE154" s="22">
        <f t="shared" si="4"/>
        <v>5.5</v>
      </c>
      <c r="AF154" s="18" t="s">
        <v>288</v>
      </c>
      <c r="AG154" s="19">
        <v>6.0</v>
      </c>
      <c r="AH154" s="19">
        <f t="shared" si="5"/>
        <v>137</v>
      </c>
      <c r="AI154" s="18"/>
    </row>
    <row r="155" ht="15.75" customHeight="1">
      <c r="A155" s="25">
        <f t="shared" si="1"/>
        <v>152</v>
      </c>
      <c r="B155" s="27">
        <f>ROUND(Guida!$B$22*H155/Guida!$B$29+Guida!$B$23*MAX(0,MIN(1,(AE155-5.4)/1.6))+Guida!$B$24*0+Guida!$B$25*0,1)</f>
        <v>3.7</v>
      </c>
      <c r="C155" s="28" t="s">
        <v>997</v>
      </c>
      <c r="D155" s="25" t="s">
        <v>182</v>
      </c>
      <c r="E155" s="29" t="s">
        <v>137</v>
      </c>
      <c r="F155" s="30">
        <v>3.0</v>
      </c>
      <c r="G155" s="30">
        <v>3.0</v>
      </c>
      <c r="H155" s="30">
        <v>5.0</v>
      </c>
      <c r="I155" s="30">
        <f>MAX(1,ROUND(H155^Guida!$B$18*Guida!$F$12,0))</f>
        <v>3</v>
      </c>
      <c r="J155" s="30">
        <f t="shared" si="2"/>
        <v>4</v>
      </c>
      <c r="K155" s="25" t="str">
        <f t="shared" si="3"/>
        <v>4a fascia</v>
      </c>
      <c r="L155" s="25" t="s">
        <v>332</v>
      </c>
      <c r="M155" s="29" t="s">
        <v>333</v>
      </c>
      <c r="N155" s="25" t="s">
        <v>71</v>
      </c>
      <c r="O155" s="25" t="s">
        <v>71</v>
      </c>
      <c r="P155" s="30">
        <v>10.0</v>
      </c>
      <c r="Q155" s="32">
        <v>5.65</v>
      </c>
      <c r="R155" s="32">
        <v>5.65</v>
      </c>
      <c r="S155" s="30">
        <v>0.0</v>
      </c>
      <c r="T155" s="30">
        <v>0.0</v>
      </c>
      <c r="U155" s="25" t="s">
        <v>72</v>
      </c>
      <c r="V155" s="30">
        <v>0.0</v>
      </c>
      <c r="W155" s="30">
        <v>0.0</v>
      </c>
      <c r="X155" s="30">
        <v>0.0</v>
      </c>
      <c r="Y155" s="32"/>
      <c r="Z155" s="32"/>
      <c r="AA155" s="30"/>
      <c r="AB155" s="30"/>
      <c r="AC155" s="25" t="s">
        <v>182</v>
      </c>
      <c r="AD155" s="25" t="s">
        <v>73</v>
      </c>
      <c r="AE155" s="32">
        <f t="shared" si="4"/>
        <v>5.56</v>
      </c>
      <c r="AF155" s="29" t="s">
        <v>113</v>
      </c>
      <c r="AG155" s="30">
        <v>6.0</v>
      </c>
      <c r="AH155" s="30">
        <f t="shared" si="5"/>
        <v>158</v>
      </c>
      <c r="AI155" s="29"/>
    </row>
    <row r="156" ht="15.75" customHeight="1">
      <c r="A156" s="11">
        <f t="shared" si="1"/>
        <v>153</v>
      </c>
      <c r="B156" s="16">
        <f>ROUND(Guida!$B$22*H156/Guida!$B$29+Guida!$B$23*MAX(0,MIN(1,(AE156-5.4)/1.6))+Guida!$B$24*0+Guida!$B$25*0,1)</f>
        <v>3.6</v>
      </c>
      <c r="C156" s="17" t="s">
        <v>1003</v>
      </c>
      <c r="D156" s="11" t="s">
        <v>261</v>
      </c>
      <c r="E156" s="18" t="s">
        <v>137</v>
      </c>
      <c r="F156" s="19">
        <v>3.0</v>
      </c>
      <c r="G156" s="19">
        <v>4.0</v>
      </c>
      <c r="H156" s="19">
        <v>8.0</v>
      </c>
      <c r="I156" s="19">
        <f>MAX(1,ROUND(H156^Guida!$B$18*Guida!$F$12,0))</f>
        <v>4</v>
      </c>
      <c r="J156" s="19">
        <f t="shared" si="2"/>
        <v>5</v>
      </c>
      <c r="K156" s="11" t="str">
        <f t="shared" si="3"/>
        <v>4a fascia</v>
      </c>
      <c r="L156" s="11" t="s">
        <v>226</v>
      </c>
      <c r="M156" s="18" t="s">
        <v>300</v>
      </c>
      <c r="N156" s="11" t="s">
        <v>71</v>
      </c>
      <c r="O156" s="11" t="s">
        <v>71</v>
      </c>
      <c r="P156" s="19"/>
      <c r="Q156" s="22"/>
      <c r="R156" s="22"/>
      <c r="S156" s="19"/>
      <c r="T156" s="19"/>
      <c r="U156" s="11"/>
      <c r="V156" s="19"/>
      <c r="W156" s="19"/>
      <c r="X156" s="19">
        <v>2.0</v>
      </c>
      <c r="Y156" s="22">
        <v>5.75</v>
      </c>
      <c r="Z156" s="22">
        <v>5.75</v>
      </c>
      <c r="AA156" s="19">
        <v>0.0</v>
      </c>
      <c r="AB156" s="19">
        <v>0.0</v>
      </c>
      <c r="AC156" s="11" t="s">
        <v>71</v>
      </c>
      <c r="AD156" s="11" t="s">
        <v>103</v>
      </c>
      <c r="AE156" s="22">
        <f t="shared" si="4"/>
        <v>5.5</v>
      </c>
      <c r="AF156" s="18" t="s">
        <v>311</v>
      </c>
      <c r="AG156" s="19">
        <v>5.0</v>
      </c>
      <c r="AH156" s="19">
        <f t="shared" si="5"/>
        <v>138</v>
      </c>
      <c r="AI156" s="18"/>
    </row>
    <row r="157" ht="15.75" customHeight="1">
      <c r="A157" s="25">
        <f t="shared" si="1"/>
        <v>153</v>
      </c>
      <c r="B157" s="27">
        <f>ROUND(Guida!$B$22*H157/Guida!$B$29+Guida!$B$23*MAX(0,MIN(1,(AE157-5.4)/1.6))+Guida!$B$24*0+Guida!$B$25*0,1)</f>
        <v>3.6</v>
      </c>
      <c r="C157" s="28" t="s">
        <v>1009</v>
      </c>
      <c r="D157" s="25" t="s">
        <v>133</v>
      </c>
      <c r="E157" s="29" t="s">
        <v>229</v>
      </c>
      <c r="F157" s="30">
        <v>3.0</v>
      </c>
      <c r="G157" s="30">
        <v>3.0</v>
      </c>
      <c r="H157" s="30">
        <v>8.0</v>
      </c>
      <c r="I157" s="30">
        <f>MAX(1,ROUND(H157^Guida!$B$18*Guida!$F$12,0))</f>
        <v>4</v>
      </c>
      <c r="J157" s="30">
        <f t="shared" si="2"/>
        <v>5</v>
      </c>
      <c r="K157" s="25" t="str">
        <f t="shared" si="3"/>
        <v>4a fascia</v>
      </c>
      <c r="L157" s="25" t="s">
        <v>332</v>
      </c>
      <c r="M157" s="29" t="s">
        <v>338</v>
      </c>
      <c r="N157" s="25" t="s">
        <v>71</v>
      </c>
      <c r="O157" s="25" t="s">
        <v>71</v>
      </c>
      <c r="P157" s="30"/>
      <c r="Q157" s="32"/>
      <c r="R157" s="32"/>
      <c r="S157" s="30"/>
      <c r="T157" s="30"/>
      <c r="U157" s="25"/>
      <c r="V157" s="30"/>
      <c r="W157" s="30"/>
      <c r="X157" s="30">
        <v>0.0</v>
      </c>
      <c r="Y157" s="32"/>
      <c r="Z157" s="32"/>
      <c r="AA157" s="30"/>
      <c r="AB157" s="30"/>
      <c r="AC157" s="25" t="s">
        <v>71</v>
      </c>
      <c r="AD157" s="25" t="s">
        <v>103</v>
      </c>
      <c r="AE157" s="32">
        <f t="shared" si="4"/>
        <v>5.5</v>
      </c>
      <c r="AF157" s="29" t="s">
        <v>304</v>
      </c>
      <c r="AG157" s="30">
        <v>6.0</v>
      </c>
      <c r="AH157" s="30">
        <f t="shared" si="5"/>
        <v>138</v>
      </c>
      <c r="AI157" s="29"/>
    </row>
    <row r="158" ht="15.75" customHeight="1">
      <c r="A158" s="11">
        <f t="shared" si="1"/>
        <v>153</v>
      </c>
      <c r="B158" s="16">
        <f>ROUND(Guida!$B$22*H158/Guida!$B$29+Guida!$B$23*MAX(0,MIN(1,(AE158-5.4)/1.6))+Guida!$B$24*0+Guida!$B$25*0,1)</f>
        <v>3.6</v>
      </c>
      <c r="C158" s="17" t="s">
        <v>1015</v>
      </c>
      <c r="D158" s="11" t="s">
        <v>239</v>
      </c>
      <c r="E158" s="18" t="s">
        <v>137</v>
      </c>
      <c r="F158" s="19">
        <v>5.0</v>
      </c>
      <c r="G158" s="19">
        <v>5.0</v>
      </c>
      <c r="H158" s="19">
        <v>8.0</v>
      </c>
      <c r="I158" s="19">
        <f>MAX(1,ROUND(H158^Guida!$B$18*Guida!$F$12,0))</f>
        <v>4</v>
      </c>
      <c r="J158" s="19">
        <f t="shared" si="2"/>
        <v>5</v>
      </c>
      <c r="K158" s="11" t="str">
        <f t="shared" si="3"/>
        <v>4a fascia</v>
      </c>
      <c r="L158" s="11" t="s">
        <v>226</v>
      </c>
      <c r="M158" s="18" t="s">
        <v>495</v>
      </c>
      <c r="N158" s="11" t="s">
        <v>71</v>
      </c>
      <c r="O158" s="11" t="s">
        <v>71</v>
      </c>
      <c r="P158" s="19"/>
      <c r="Q158" s="22"/>
      <c r="R158" s="22"/>
      <c r="S158" s="19"/>
      <c r="T158" s="19"/>
      <c r="U158" s="11"/>
      <c r="V158" s="19"/>
      <c r="W158" s="19"/>
      <c r="X158" s="19">
        <v>1.0</v>
      </c>
      <c r="Y158" s="22">
        <v>6.0</v>
      </c>
      <c r="Z158" s="22">
        <v>6.0</v>
      </c>
      <c r="AA158" s="19">
        <v>0.0</v>
      </c>
      <c r="AB158" s="19">
        <v>0.0</v>
      </c>
      <c r="AC158" s="11" t="s">
        <v>71</v>
      </c>
      <c r="AD158" s="11" t="s">
        <v>103</v>
      </c>
      <c r="AE158" s="22">
        <f t="shared" si="4"/>
        <v>5.5</v>
      </c>
      <c r="AF158" s="18" t="s">
        <v>311</v>
      </c>
      <c r="AG158" s="19">
        <v>6.0</v>
      </c>
      <c r="AH158" s="19">
        <f t="shared" si="5"/>
        <v>138</v>
      </c>
      <c r="AI158" s="18"/>
    </row>
    <row r="159" ht="15.75" customHeight="1">
      <c r="A159" s="25">
        <f t="shared" si="1"/>
        <v>153</v>
      </c>
      <c r="B159" s="27">
        <f>ROUND(Guida!$B$22*H159/Guida!$B$29+Guida!$B$23*MAX(0,MIN(1,(AE159-5.4)/1.6))+Guida!$B$24*0+Guida!$B$25*0,1)</f>
        <v>3.6</v>
      </c>
      <c r="C159" s="28" t="s">
        <v>1018</v>
      </c>
      <c r="D159" s="25" t="s">
        <v>191</v>
      </c>
      <c r="E159" s="29" t="s">
        <v>137</v>
      </c>
      <c r="F159" s="30">
        <v>2.0</v>
      </c>
      <c r="G159" s="30">
        <v>2.0</v>
      </c>
      <c r="H159" s="30">
        <v>8.0</v>
      </c>
      <c r="I159" s="30">
        <f>MAX(1,ROUND(H159^Guida!$B$18*Guida!$F$12,0))</f>
        <v>4</v>
      </c>
      <c r="J159" s="30">
        <f t="shared" si="2"/>
        <v>5</v>
      </c>
      <c r="K159" s="25" t="str">
        <f t="shared" si="3"/>
        <v>4a fascia</v>
      </c>
      <c r="L159" s="25" t="s">
        <v>332</v>
      </c>
      <c r="M159" s="29" t="s">
        <v>473</v>
      </c>
      <c r="N159" s="25" t="s">
        <v>71</v>
      </c>
      <c r="O159" s="25" t="s">
        <v>71</v>
      </c>
      <c r="P159" s="30"/>
      <c r="Q159" s="32"/>
      <c r="R159" s="32"/>
      <c r="S159" s="30"/>
      <c r="T159" s="30"/>
      <c r="U159" s="25"/>
      <c r="V159" s="30"/>
      <c r="W159" s="30"/>
      <c r="X159" s="30">
        <v>2.0</v>
      </c>
      <c r="Y159" s="32">
        <v>5.25</v>
      </c>
      <c r="Z159" s="32">
        <v>5.25</v>
      </c>
      <c r="AA159" s="30">
        <v>0.0</v>
      </c>
      <c r="AB159" s="30">
        <v>0.0</v>
      </c>
      <c r="AC159" s="25" t="s">
        <v>71</v>
      </c>
      <c r="AD159" s="25" t="s">
        <v>103</v>
      </c>
      <c r="AE159" s="32">
        <f t="shared" si="4"/>
        <v>5.5</v>
      </c>
      <c r="AF159" s="29" t="s">
        <v>223</v>
      </c>
      <c r="AG159" s="30">
        <v>3.0</v>
      </c>
      <c r="AH159" s="30">
        <f t="shared" si="5"/>
        <v>138</v>
      </c>
      <c r="AI159" s="29"/>
    </row>
    <row r="160" ht="15.75" customHeight="1">
      <c r="A160" s="11">
        <f t="shared" si="1"/>
        <v>153</v>
      </c>
      <c r="B160" s="16">
        <f>ROUND(Guida!$B$22*H160/Guida!$B$29+Guida!$B$23*MAX(0,MIN(1,(AE160-5.4)/1.6))+Guida!$B$24*0+Guida!$B$25*0,1)</f>
        <v>3.6</v>
      </c>
      <c r="C160" s="17" t="s">
        <v>1023</v>
      </c>
      <c r="D160" s="11" t="s">
        <v>253</v>
      </c>
      <c r="E160" s="18" t="s">
        <v>137</v>
      </c>
      <c r="F160" s="19">
        <v>1.0</v>
      </c>
      <c r="G160" s="19">
        <v>3.0</v>
      </c>
      <c r="H160" s="19">
        <v>8.0</v>
      </c>
      <c r="I160" s="19">
        <f>MAX(1,ROUND(H160^Guida!$B$18*Guida!$F$12,0))</f>
        <v>4</v>
      </c>
      <c r="J160" s="19">
        <f t="shared" si="2"/>
        <v>5</v>
      </c>
      <c r="K160" s="11" t="str">
        <f t="shared" si="3"/>
        <v>4a fascia</v>
      </c>
      <c r="L160" s="11" t="s">
        <v>332</v>
      </c>
      <c r="M160" s="18" t="s">
        <v>408</v>
      </c>
      <c r="N160" s="11" t="s">
        <v>71</v>
      </c>
      <c r="O160" s="11" t="s">
        <v>71</v>
      </c>
      <c r="P160" s="19"/>
      <c r="Q160" s="22"/>
      <c r="R160" s="22"/>
      <c r="S160" s="19"/>
      <c r="T160" s="19"/>
      <c r="U160" s="11"/>
      <c r="V160" s="19"/>
      <c r="W160" s="19"/>
      <c r="X160" s="19">
        <v>1.0</v>
      </c>
      <c r="Y160" s="22">
        <v>7.0</v>
      </c>
      <c r="Z160" s="22">
        <v>10.0</v>
      </c>
      <c r="AA160" s="19">
        <v>1.0</v>
      </c>
      <c r="AB160" s="19">
        <v>0.0</v>
      </c>
      <c r="AC160" s="11" t="s">
        <v>253</v>
      </c>
      <c r="AD160" s="11" t="s">
        <v>73</v>
      </c>
      <c r="AE160" s="22">
        <f t="shared" si="4"/>
        <v>5.5</v>
      </c>
      <c r="AF160" s="18" t="s">
        <v>196</v>
      </c>
      <c r="AG160" s="19">
        <v>4.0</v>
      </c>
      <c r="AH160" s="19">
        <f t="shared" si="5"/>
        <v>138</v>
      </c>
      <c r="AI160" s="18"/>
    </row>
    <row r="161" ht="15.75" customHeight="1">
      <c r="A161" s="25">
        <f t="shared" si="1"/>
        <v>153</v>
      </c>
      <c r="B161" s="27">
        <f>ROUND(Guida!$B$22*H161/Guida!$B$29+Guida!$B$23*MAX(0,MIN(1,(AE161-5.4)/1.6))+Guida!$B$24*0+Guida!$B$25*0,1)</f>
        <v>3.6</v>
      </c>
      <c r="C161" s="28" t="s">
        <v>1031</v>
      </c>
      <c r="D161" s="25" t="s">
        <v>261</v>
      </c>
      <c r="E161" s="29" t="s">
        <v>249</v>
      </c>
      <c r="F161" s="30">
        <v>3.0</v>
      </c>
      <c r="G161" s="30">
        <v>3.0</v>
      </c>
      <c r="H161" s="30">
        <v>8.0</v>
      </c>
      <c r="I161" s="30">
        <f>MAX(1,ROUND(H161^Guida!$B$18*Guida!$F$12,0))</f>
        <v>4</v>
      </c>
      <c r="J161" s="30">
        <f t="shared" si="2"/>
        <v>5</v>
      </c>
      <c r="K161" s="25" t="str">
        <f t="shared" si="3"/>
        <v>4a fascia</v>
      </c>
      <c r="L161" s="25" t="s">
        <v>332</v>
      </c>
      <c r="M161" s="29" t="s">
        <v>338</v>
      </c>
      <c r="N161" s="25" t="s">
        <v>71</v>
      </c>
      <c r="O161" s="25" t="s">
        <v>71</v>
      </c>
      <c r="P161" s="30"/>
      <c r="Q161" s="32"/>
      <c r="R161" s="32"/>
      <c r="S161" s="30"/>
      <c r="T161" s="30"/>
      <c r="U161" s="25"/>
      <c r="V161" s="30"/>
      <c r="W161" s="30"/>
      <c r="X161" s="30">
        <v>0.0</v>
      </c>
      <c r="Y161" s="32"/>
      <c r="Z161" s="32"/>
      <c r="AA161" s="30"/>
      <c r="AB161" s="30"/>
      <c r="AC161" s="25" t="s">
        <v>71</v>
      </c>
      <c r="AD161" s="25" t="s">
        <v>103</v>
      </c>
      <c r="AE161" s="32">
        <f t="shared" si="4"/>
        <v>5.5</v>
      </c>
      <c r="AF161" s="29" t="s">
        <v>311</v>
      </c>
      <c r="AG161" s="30">
        <v>5.0</v>
      </c>
      <c r="AH161" s="30">
        <f t="shared" si="5"/>
        <v>138</v>
      </c>
      <c r="AI161" s="29"/>
    </row>
    <row r="162" ht="15.75" customHeight="1">
      <c r="A162" s="11">
        <f t="shared" si="1"/>
        <v>153</v>
      </c>
      <c r="B162" s="16">
        <f>ROUND(Guida!$B$22*H162/Guida!$B$29+Guida!$B$23*MAX(0,MIN(1,(AE162-5.4)/1.6))+Guida!$B$24*0+Guida!$B$25*0,1)</f>
        <v>3.6</v>
      </c>
      <c r="C162" s="17" t="s">
        <v>1036</v>
      </c>
      <c r="D162" s="11" t="s">
        <v>261</v>
      </c>
      <c r="E162" s="18" t="s">
        <v>259</v>
      </c>
      <c r="F162" s="19">
        <v>4.0</v>
      </c>
      <c r="G162" s="19">
        <v>4.0</v>
      </c>
      <c r="H162" s="19">
        <v>8.0</v>
      </c>
      <c r="I162" s="19">
        <f>MAX(1,ROUND(H162^Guida!$B$18*Guida!$F$12,0))</f>
        <v>4</v>
      </c>
      <c r="J162" s="19">
        <f t="shared" si="2"/>
        <v>5</v>
      </c>
      <c r="K162" s="11" t="str">
        <f t="shared" si="3"/>
        <v>4a fascia</v>
      </c>
      <c r="L162" s="11" t="s">
        <v>226</v>
      </c>
      <c r="M162" s="18" t="s">
        <v>300</v>
      </c>
      <c r="N162" s="11" t="s">
        <v>71</v>
      </c>
      <c r="O162" s="11" t="s">
        <v>71</v>
      </c>
      <c r="P162" s="19"/>
      <c r="Q162" s="22"/>
      <c r="R162" s="22"/>
      <c r="S162" s="19"/>
      <c r="T162" s="19"/>
      <c r="U162" s="11"/>
      <c r="V162" s="19"/>
      <c r="W162" s="19"/>
      <c r="X162" s="19">
        <v>2.0</v>
      </c>
      <c r="Y162" s="22">
        <v>5.75</v>
      </c>
      <c r="Z162" s="22">
        <v>5.75</v>
      </c>
      <c r="AA162" s="19">
        <v>0.0</v>
      </c>
      <c r="AB162" s="19">
        <v>0.0</v>
      </c>
      <c r="AC162" s="11" t="s">
        <v>71</v>
      </c>
      <c r="AD162" s="11" t="s">
        <v>103</v>
      </c>
      <c r="AE162" s="22">
        <f t="shared" si="4"/>
        <v>5.5</v>
      </c>
      <c r="AF162" s="18" t="s">
        <v>311</v>
      </c>
      <c r="AG162" s="19">
        <v>5.0</v>
      </c>
      <c r="AH162" s="19">
        <f t="shared" si="5"/>
        <v>138</v>
      </c>
      <c r="AI162" s="18"/>
    </row>
    <row r="163" ht="15.75" customHeight="1">
      <c r="A163" s="25">
        <f t="shared" si="1"/>
        <v>153</v>
      </c>
      <c r="B163" s="27">
        <f>ROUND(Guida!$B$22*H163/Guida!$B$29+Guida!$B$23*MAX(0,MIN(1,(AE163-5.4)/1.6))+Guida!$B$24*0+Guida!$B$25*0,1)</f>
        <v>3.6</v>
      </c>
      <c r="C163" s="28" t="s">
        <v>699</v>
      </c>
      <c r="D163" s="25" t="s">
        <v>253</v>
      </c>
      <c r="E163" s="29" t="s">
        <v>324</v>
      </c>
      <c r="F163" s="30">
        <v>3.0</v>
      </c>
      <c r="G163" s="30">
        <v>3.0</v>
      </c>
      <c r="H163" s="30">
        <v>7.0</v>
      </c>
      <c r="I163" s="30">
        <f>MAX(1,ROUND(H163^Guida!$B$18*Guida!$F$12,0))</f>
        <v>4</v>
      </c>
      <c r="J163" s="30">
        <f t="shared" si="2"/>
        <v>5</v>
      </c>
      <c r="K163" s="25" t="str">
        <f t="shared" si="3"/>
        <v>4a fascia</v>
      </c>
      <c r="L163" s="25" t="s">
        <v>332</v>
      </c>
      <c r="M163" s="36" t="s">
        <v>477</v>
      </c>
      <c r="N163" s="25" t="s">
        <v>71</v>
      </c>
      <c r="O163" s="25" t="s">
        <v>71</v>
      </c>
      <c r="P163" s="30">
        <v>8.0</v>
      </c>
      <c r="Q163" s="32">
        <v>5.69</v>
      </c>
      <c r="R163" s="32">
        <v>5.56</v>
      </c>
      <c r="S163" s="30">
        <v>0.0</v>
      </c>
      <c r="T163" s="30">
        <v>0.0</v>
      </c>
      <c r="U163" s="25" t="s">
        <v>72</v>
      </c>
      <c r="V163" s="30">
        <v>2.0</v>
      </c>
      <c r="W163" s="30">
        <v>0.0</v>
      </c>
      <c r="X163" s="30">
        <v>0.0</v>
      </c>
      <c r="Y163" s="32"/>
      <c r="Z163" s="32"/>
      <c r="AA163" s="30"/>
      <c r="AB163" s="30"/>
      <c r="AC163" s="25" t="s">
        <v>253</v>
      </c>
      <c r="AD163" s="25" t="s">
        <v>73</v>
      </c>
      <c r="AE163" s="32">
        <f t="shared" si="4"/>
        <v>5.52</v>
      </c>
      <c r="AF163" s="29" t="s">
        <v>196</v>
      </c>
      <c r="AG163" s="30">
        <v>4.0</v>
      </c>
      <c r="AH163" s="30">
        <f t="shared" si="5"/>
        <v>151</v>
      </c>
      <c r="AI163" s="29" t="s">
        <v>700</v>
      </c>
    </row>
    <row r="164" ht="15.75" customHeight="1">
      <c r="A164" s="11">
        <f t="shared" si="1"/>
        <v>161</v>
      </c>
      <c r="B164" s="16">
        <f>ROUND(Guida!$B$22*H164/Guida!$B$29+Guida!$B$23*MAX(0,MIN(1,(AE164-5.4)/1.6))+Guida!$B$24*0+Guida!$B$25*0,1)</f>
        <v>3.4</v>
      </c>
      <c r="C164" s="17" t="s">
        <v>1046</v>
      </c>
      <c r="D164" s="11" t="s">
        <v>212</v>
      </c>
      <c r="E164" s="18" t="s">
        <v>377</v>
      </c>
      <c r="F164" s="19">
        <v>2.0</v>
      </c>
      <c r="G164" s="19">
        <v>2.0</v>
      </c>
      <c r="H164" s="19">
        <v>5.0</v>
      </c>
      <c r="I164" s="19">
        <f>MAX(1,ROUND(H164^Guida!$B$18*Guida!$F$12,0))</f>
        <v>3</v>
      </c>
      <c r="J164" s="19">
        <f t="shared" si="2"/>
        <v>4</v>
      </c>
      <c r="K164" s="11" t="str">
        <f t="shared" si="3"/>
        <v>4a fascia</v>
      </c>
      <c r="L164" s="11" t="s">
        <v>332</v>
      </c>
      <c r="M164" s="18" t="s">
        <v>333</v>
      </c>
      <c r="N164" s="11" t="s">
        <v>71</v>
      </c>
      <c r="O164" s="11" t="s">
        <v>71</v>
      </c>
      <c r="P164" s="19">
        <v>11.0</v>
      </c>
      <c r="Q164" s="22">
        <v>5.59</v>
      </c>
      <c r="R164" s="22">
        <v>5.59</v>
      </c>
      <c r="S164" s="19">
        <v>0.0</v>
      </c>
      <c r="T164" s="19">
        <v>0.0</v>
      </c>
      <c r="U164" s="11" t="s">
        <v>72</v>
      </c>
      <c r="V164" s="19">
        <v>0.0</v>
      </c>
      <c r="W164" s="19">
        <v>0.0</v>
      </c>
      <c r="X164" s="19">
        <v>0.0</v>
      </c>
      <c r="Y164" s="22"/>
      <c r="Z164" s="22"/>
      <c r="AA164" s="19"/>
      <c r="AB164" s="19"/>
      <c r="AC164" s="11" t="s">
        <v>212</v>
      </c>
      <c r="AD164" s="11" t="s">
        <v>73</v>
      </c>
      <c r="AE164" s="22">
        <f t="shared" si="4"/>
        <v>5.54</v>
      </c>
      <c r="AF164" s="18" t="s">
        <v>179</v>
      </c>
      <c r="AG164" s="19">
        <v>0.0</v>
      </c>
      <c r="AH164" s="19">
        <f t="shared" si="5"/>
        <v>158</v>
      </c>
      <c r="AI164" s="18"/>
    </row>
    <row r="165" ht="15.75" customHeight="1">
      <c r="A165" s="25">
        <f t="shared" si="1"/>
        <v>161</v>
      </c>
      <c r="B165" s="27">
        <f>ROUND(Guida!$B$22*H165/Guida!$B$29+Guida!$B$23*MAX(0,MIN(1,(AE165-5.4)/1.6))+Guida!$B$24*0+Guida!$B$25*0,1)</f>
        <v>3.4</v>
      </c>
      <c r="C165" s="28" t="s">
        <v>694</v>
      </c>
      <c r="D165" s="25" t="s">
        <v>195</v>
      </c>
      <c r="E165" s="29" t="s">
        <v>229</v>
      </c>
      <c r="F165" s="30">
        <v>1.0</v>
      </c>
      <c r="G165" s="30">
        <v>1.0</v>
      </c>
      <c r="H165" s="30">
        <v>1.0</v>
      </c>
      <c r="I165" s="30">
        <f>MAX(1,ROUND(H165^Guida!$B$18*Guida!$F$12,0))</f>
        <v>1</v>
      </c>
      <c r="J165" s="30">
        <f t="shared" si="2"/>
        <v>2</v>
      </c>
      <c r="K165" s="25" t="str">
        <f t="shared" si="3"/>
        <v>Scommessa</v>
      </c>
      <c r="L165" s="25" t="s">
        <v>332</v>
      </c>
      <c r="M165" s="36" t="s">
        <v>477</v>
      </c>
      <c r="N165" s="25" t="s">
        <v>71</v>
      </c>
      <c r="O165" s="25" t="s">
        <v>71</v>
      </c>
      <c r="P165" s="30">
        <v>10.0</v>
      </c>
      <c r="Q165" s="32">
        <v>5.85</v>
      </c>
      <c r="R165" s="32">
        <v>5.75</v>
      </c>
      <c r="S165" s="30">
        <v>0.0</v>
      </c>
      <c r="T165" s="30">
        <v>0.0</v>
      </c>
      <c r="U165" s="25" t="s">
        <v>72</v>
      </c>
      <c r="V165" s="30">
        <v>2.0</v>
      </c>
      <c r="W165" s="30">
        <v>0.0</v>
      </c>
      <c r="X165" s="30">
        <v>0.0</v>
      </c>
      <c r="Y165" s="32"/>
      <c r="Z165" s="32"/>
      <c r="AA165" s="30"/>
      <c r="AB165" s="30"/>
      <c r="AC165" s="25" t="s">
        <v>195</v>
      </c>
      <c r="AD165" s="25" t="s">
        <v>73</v>
      </c>
      <c r="AE165" s="32">
        <f t="shared" si="4"/>
        <v>5.6</v>
      </c>
      <c r="AF165" s="29" t="s">
        <v>223</v>
      </c>
      <c r="AG165" s="30">
        <v>0.0</v>
      </c>
      <c r="AH165" s="30">
        <f t="shared" si="5"/>
        <v>182</v>
      </c>
      <c r="AI165" s="29" t="s">
        <v>695</v>
      </c>
    </row>
    <row r="166" ht="15.75" customHeight="1">
      <c r="A166" s="11">
        <f t="shared" si="1"/>
        <v>163</v>
      </c>
      <c r="B166" s="16">
        <f>ROUND(Guida!$B$22*H166/Guida!$B$29+Guida!$B$23*MAX(0,MIN(1,(AE166-5.4)/1.6))+Guida!$B$24*0+Guida!$B$25*0,1)</f>
        <v>3.3</v>
      </c>
      <c r="C166" s="17" t="s">
        <v>715</v>
      </c>
      <c r="D166" s="11" t="s">
        <v>264</v>
      </c>
      <c r="E166" s="18" t="s">
        <v>377</v>
      </c>
      <c r="F166" s="19">
        <v>2.0</v>
      </c>
      <c r="G166" s="19">
        <v>3.0</v>
      </c>
      <c r="H166" s="19">
        <v>7.0</v>
      </c>
      <c r="I166" s="19">
        <f>MAX(1,ROUND(H166^Guida!$B$18*Guida!$F$12,0))</f>
        <v>4</v>
      </c>
      <c r="J166" s="19">
        <f t="shared" si="2"/>
        <v>5</v>
      </c>
      <c r="K166" s="11" t="str">
        <f t="shared" si="3"/>
        <v>4a fascia</v>
      </c>
      <c r="L166" s="11" t="s">
        <v>332</v>
      </c>
      <c r="M166" s="38" t="s">
        <v>1060</v>
      </c>
      <c r="N166" s="11" t="s">
        <v>71</v>
      </c>
      <c r="O166" s="11" t="s">
        <v>71</v>
      </c>
      <c r="P166" s="19"/>
      <c r="Q166" s="22"/>
      <c r="R166" s="22"/>
      <c r="S166" s="19"/>
      <c r="T166" s="19"/>
      <c r="U166" s="11"/>
      <c r="V166" s="19"/>
      <c r="W166" s="19"/>
      <c r="X166" s="19">
        <v>2.0</v>
      </c>
      <c r="Y166" s="22">
        <v>5.75</v>
      </c>
      <c r="Z166" s="22">
        <v>5.75</v>
      </c>
      <c r="AA166" s="19">
        <v>0.0</v>
      </c>
      <c r="AB166" s="19">
        <v>0.0</v>
      </c>
      <c r="AC166" s="11" t="s">
        <v>71</v>
      </c>
      <c r="AD166" s="11" t="s">
        <v>103</v>
      </c>
      <c r="AE166" s="22">
        <f t="shared" si="4"/>
        <v>5.5</v>
      </c>
      <c r="AF166" s="18" t="s">
        <v>270</v>
      </c>
      <c r="AG166" s="19">
        <v>6.0</v>
      </c>
      <c r="AH166" s="19">
        <f t="shared" si="5"/>
        <v>151</v>
      </c>
      <c r="AI166" s="18" t="s">
        <v>716</v>
      </c>
    </row>
    <row r="167" ht="15.75" customHeight="1">
      <c r="A167" s="25">
        <f t="shared" si="1"/>
        <v>163</v>
      </c>
      <c r="B167" s="27">
        <f>ROUND(Guida!$B$22*H167/Guida!$B$29+Guida!$B$23*MAX(0,MIN(1,(AE167-5.4)/1.6))+Guida!$B$24*0+Guida!$B$25*0,1)</f>
        <v>3.3</v>
      </c>
      <c r="C167" s="28" t="s">
        <v>677</v>
      </c>
      <c r="D167" s="25" t="s">
        <v>264</v>
      </c>
      <c r="E167" s="29" t="s">
        <v>324</v>
      </c>
      <c r="F167" s="30">
        <v>3.0</v>
      </c>
      <c r="G167" s="30">
        <v>3.0</v>
      </c>
      <c r="H167" s="30">
        <v>7.0</v>
      </c>
      <c r="I167" s="30">
        <f>MAX(1,ROUND(H167^Guida!$B$18*Guida!$F$12,0))</f>
        <v>4</v>
      </c>
      <c r="J167" s="30">
        <f t="shared" si="2"/>
        <v>5</v>
      </c>
      <c r="K167" s="25" t="str">
        <f t="shared" si="3"/>
        <v>4a fascia</v>
      </c>
      <c r="L167" s="25" t="s">
        <v>332</v>
      </c>
      <c r="M167" s="36" t="s">
        <v>498</v>
      </c>
      <c r="N167" s="25" t="s">
        <v>71</v>
      </c>
      <c r="O167" s="25" t="s">
        <v>71</v>
      </c>
      <c r="P167" s="30"/>
      <c r="Q167" s="32"/>
      <c r="R167" s="32"/>
      <c r="S167" s="30"/>
      <c r="T167" s="30"/>
      <c r="U167" s="25"/>
      <c r="V167" s="30"/>
      <c r="W167" s="30"/>
      <c r="X167" s="30">
        <v>0.0</v>
      </c>
      <c r="Y167" s="32"/>
      <c r="Z167" s="32"/>
      <c r="AA167" s="30"/>
      <c r="AB167" s="30"/>
      <c r="AC167" s="25" t="s">
        <v>71</v>
      </c>
      <c r="AD167" s="25" t="s">
        <v>103</v>
      </c>
      <c r="AE167" s="32">
        <f t="shared" si="4"/>
        <v>5.5</v>
      </c>
      <c r="AF167" s="29" t="s">
        <v>270</v>
      </c>
      <c r="AG167" s="30">
        <v>6.0</v>
      </c>
      <c r="AH167" s="30">
        <f t="shared" si="5"/>
        <v>151</v>
      </c>
      <c r="AI167" s="29" t="s">
        <v>679</v>
      </c>
    </row>
    <row r="168" ht="15.75" customHeight="1">
      <c r="A168" s="11">
        <f t="shared" si="1"/>
        <v>165</v>
      </c>
      <c r="B168" s="16">
        <f>ROUND(Guida!$B$22*H168/Guida!$B$29+Guida!$B$23*MAX(0,MIN(1,(AE168-5.4)/1.6))+Guida!$B$24*0+Guida!$B$25*0,1)</f>
        <v>3.2</v>
      </c>
      <c r="C168" s="17" t="s">
        <v>1065</v>
      </c>
      <c r="D168" s="11" t="s">
        <v>232</v>
      </c>
      <c r="E168" s="18" t="s">
        <v>137</v>
      </c>
      <c r="F168" s="19">
        <v>2.0</v>
      </c>
      <c r="G168" s="19">
        <v>2.0</v>
      </c>
      <c r="H168" s="19">
        <v>4.0</v>
      </c>
      <c r="I168" s="19">
        <f>MAX(1,ROUND(H168^Guida!$B$18*Guida!$F$12,0))</f>
        <v>3</v>
      </c>
      <c r="J168" s="19">
        <f t="shared" si="2"/>
        <v>4</v>
      </c>
      <c r="K168" s="11" t="str">
        <f t="shared" si="3"/>
        <v>4a fascia</v>
      </c>
      <c r="L168" s="11" t="s">
        <v>332</v>
      </c>
      <c r="M168" s="18" t="s">
        <v>333</v>
      </c>
      <c r="N168" s="11" t="s">
        <v>71</v>
      </c>
      <c r="O168" s="11" t="s">
        <v>71</v>
      </c>
      <c r="P168" s="19">
        <v>5.0</v>
      </c>
      <c r="Q168" s="22">
        <v>5.8</v>
      </c>
      <c r="R168" s="22">
        <v>5.7</v>
      </c>
      <c r="S168" s="19">
        <v>0.0</v>
      </c>
      <c r="T168" s="19">
        <v>0.0</v>
      </c>
      <c r="U168" s="11" t="s">
        <v>72</v>
      </c>
      <c r="V168" s="19">
        <v>1.0</v>
      </c>
      <c r="W168" s="19">
        <v>0.0</v>
      </c>
      <c r="X168" s="19">
        <v>0.0</v>
      </c>
      <c r="Y168" s="22"/>
      <c r="Z168" s="22"/>
      <c r="AA168" s="19"/>
      <c r="AB168" s="19"/>
      <c r="AC168" s="11" t="s">
        <v>232</v>
      </c>
      <c r="AD168" s="11" t="s">
        <v>73</v>
      </c>
      <c r="AE168" s="22">
        <f t="shared" si="4"/>
        <v>5.54</v>
      </c>
      <c r="AF168" s="18" t="s">
        <v>417</v>
      </c>
      <c r="AG168" s="19">
        <v>4.0</v>
      </c>
      <c r="AH168" s="19">
        <f t="shared" si="5"/>
        <v>167</v>
      </c>
      <c r="AI168" s="18"/>
    </row>
    <row r="169" ht="15.75" customHeight="1">
      <c r="A169" s="25">
        <f t="shared" si="1"/>
        <v>166</v>
      </c>
      <c r="B169" s="27">
        <f>ROUND(Guida!$B$22*H169/Guida!$B$29+Guida!$B$23*MAX(0,MIN(1,(AE169-5.4)/1.6))+Guida!$B$24*0+Guida!$B$25*0,1)</f>
        <v>3.1</v>
      </c>
      <c r="C169" s="28" t="s">
        <v>1077</v>
      </c>
      <c r="D169" s="25" t="s">
        <v>261</v>
      </c>
      <c r="E169" s="29" t="s">
        <v>137</v>
      </c>
      <c r="F169" s="30">
        <v>3.0</v>
      </c>
      <c r="G169" s="30">
        <v>3.0</v>
      </c>
      <c r="H169" s="30">
        <v>6.0</v>
      </c>
      <c r="I169" s="30">
        <f>MAX(1,ROUND(H169^Guida!$B$18*Guida!$F$12,0))</f>
        <v>4</v>
      </c>
      <c r="J169" s="30">
        <f t="shared" si="2"/>
        <v>5</v>
      </c>
      <c r="K169" s="25" t="str">
        <f t="shared" si="3"/>
        <v>4a fascia</v>
      </c>
      <c r="L169" s="25" t="s">
        <v>332</v>
      </c>
      <c r="M169" s="29" t="s">
        <v>338</v>
      </c>
      <c r="N169" s="25" t="s">
        <v>71</v>
      </c>
      <c r="O169" s="25" t="s">
        <v>71</v>
      </c>
      <c r="P169" s="30"/>
      <c r="Q169" s="32"/>
      <c r="R169" s="32"/>
      <c r="S169" s="30"/>
      <c r="T169" s="30"/>
      <c r="U169" s="25"/>
      <c r="V169" s="30"/>
      <c r="W169" s="30"/>
      <c r="X169" s="30">
        <v>0.0</v>
      </c>
      <c r="Y169" s="32"/>
      <c r="Z169" s="32"/>
      <c r="AA169" s="30"/>
      <c r="AB169" s="30"/>
      <c r="AC169" s="25" t="s">
        <v>71</v>
      </c>
      <c r="AD169" s="25" t="s">
        <v>103</v>
      </c>
      <c r="AE169" s="32">
        <f t="shared" si="4"/>
        <v>5.5</v>
      </c>
      <c r="AF169" s="29" t="s">
        <v>311</v>
      </c>
      <c r="AG169" s="30">
        <v>5.0</v>
      </c>
      <c r="AH169" s="30">
        <f t="shared" si="5"/>
        <v>155</v>
      </c>
      <c r="AI169" s="29"/>
    </row>
    <row r="170" ht="15.75" customHeight="1">
      <c r="A170" s="11">
        <f t="shared" si="1"/>
        <v>166</v>
      </c>
      <c r="B170" s="16">
        <f>ROUND(Guida!$B$22*H170/Guida!$B$29+Guida!$B$23*MAX(0,MIN(1,(AE170-5.4)/1.6))+Guida!$B$24*0+Guida!$B$25*0,1)</f>
        <v>3.1</v>
      </c>
      <c r="C170" s="17" t="s">
        <v>1081</v>
      </c>
      <c r="D170" s="11" t="s">
        <v>182</v>
      </c>
      <c r="E170" s="18" t="s">
        <v>259</v>
      </c>
      <c r="F170" s="19">
        <v>2.0</v>
      </c>
      <c r="G170" s="19">
        <v>2.0</v>
      </c>
      <c r="H170" s="19">
        <v>6.0</v>
      </c>
      <c r="I170" s="19">
        <f>MAX(1,ROUND(H170^Guida!$B$18*Guida!$F$12,0))</f>
        <v>4</v>
      </c>
      <c r="J170" s="19">
        <f t="shared" si="2"/>
        <v>5</v>
      </c>
      <c r="K170" s="11" t="str">
        <f t="shared" si="3"/>
        <v>4a fascia</v>
      </c>
      <c r="L170" s="11" t="s">
        <v>332</v>
      </c>
      <c r="M170" s="18" t="s">
        <v>615</v>
      </c>
      <c r="N170" s="11" t="s">
        <v>71</v>
      </c>
      <c r="O170" s="11" t="s">
        <v>71</v>
      </c>
      <c r="P170" s="19"/>
      <c r="Q170" s="22"/>
      <c r="R170" s="22"/>
      <c r="S170" s="19"/>
      <c r="T170" s="19"/>
      <c r="U170" s="11"/>
      <c r="V170" s="19"/>
      <c r="W170" s="19"/>
      <c r="X170" s="19">
        <v>1.0</v>
      </c>
      <c r="Y170" s="22">
        <v>6.0</v>
      </c>
      <c r="Z170" s="22">
        <v>6.0</v>
      </c>
      <c r="AA170" s="19">
        <v>0.0</v>
      </c>
      <c r="AB170" s="19">
        <v>0.0</v>
      </c>
      <c r="AC170" s="11" t="s">
        <v>71</v>
      </c>
      <c r="AD170" s="11" t="s">
        <v>103</v>
      </c>
      <c r="AE170" s="22">
        <f t="shared" si="4"/>
        <v>5.5</v>
      </c>
      <c r="AF170" s="18" t="s">
        <v>113</v>
      </c>
      <c r="AG170" s="19">
        <v>6.0</v>
      </c>
      <c r="AH170" s="19">
        <f t="shared" si="5"/>
        <v>155</v>
      </c>
      <c r="AI170" s="18"/>
    </row>
    <row r="171" ht="15.75" customHeight="1">
      <c r="A171" s="25">
        <f t="shared" si="1"/>
        <v>166</v>
      </c>
      <c r="B171" s="27">
        <f>ROUND(Guida!$B$22*H171/Guida!$B$29+Guida!$B$23*MAX(0,MIN(1,(AE171-5.4)/1.6))+Guida!$B$24*0+Guida!$B$25*0,1)</f>
        <v>3.1</v>
      </c>
      <c r="C171" s="28" t="s">
        <v>717</v>
      </c>
      <c r="D171" s="25" t="s">
        <v>264</v>
      </c>
      <c r="E171" s="29" t="s">
        <v>137</v>
      </c>
      <c r="F171" s="30">
        <v>5.0</v>
      </c>
      <c r="G171" s="30">
        <v>4.0</v>
      </c>
      <c r="H171" s="30">
        <v>6.0</v>
      </c>
      <c r="I171" s="30">
        <f>MAX(1,ROUND(H171^Guida!$B$18*Guida!$F$12,0))</f>
        <v>4</v>
      </c>
      <c r="J171" s="30">
        <f t="shared" si="2"/>
        <v>5</v>
      </c>
      <c r="K171" s="25" t="str">
        <f t="shared" si="3"/>
        <v>4a fascia</v>
      </c>
      <c r="L171" s="25" t="s">
        <v>226</v>
      </c>
      <c r="M171" s="38" t="s">
        <v>348</v>
      </c>
      <c r="N171" s="25" t="s">
        <v>71</v>
      </c>
      <c r="O171" s="25" t="s">
        <v>71</v>
      </c>
      <c r="P171" s="30"/>
      <c r="Q171" s="32"/>
      <c r="R171" s="32"/>
      <c r="S171" s="30"/>
      <c r="T171" s="30"/>
      <c r="U171" s="25"/>
      <c r="V171" s="30"/>
      <c r="W171" s="30"/>
      <c r="X171" s="30">
        <v>0.0</v>
      </c>
      <c r="Y171" s="32"/>
      <c r="Z171" s="32"/>
      <c r="AA171" s="30"/>
      <c r="AB171" s="30"/>
      <c r="AC171" s="25" t="s">
        <v>71</v>
      </c>
      <c r="AD171" s="25" t="s">
        <v>103</v>
      </c>
      <c r="AE171" s="32">
        <f t="shared" si="4"/>
        <v>5.5</v>
      </c>
      <c r="AF171" s="29" t="s">
        <v>270</v>
      </c>
      <c r="AG171" s="30">
        <v>6.0</v>
      </c>
      <c r="AH171" s="30">
        <f t="shared" si="5"/>
        <v>155</v>
      </c>
      <c r="AI171" s="29" t="s">
        <v>718</v>
      </c>
    </row>
    <row r="172" ht="15.75" customHeight="1">
      <c r="A172" s="11">
        <f t="shared" si="1"/>
        <v>166</v>
      </c>
      <c r="B172" s="16">
        <f>ROUND(Guida!$B$22*H172/Guida!$B$29+Guida!$B$23*MAX(0,MIN(1,(AE172-5.4)/1.6))+Guida!$B$24*0+Guida!$B$25*0,1)</f>
        <v>3.1</v>
      </c>
      <c r="C172" s="17" t="s">
        <v>1095</v>
      </c>
      <c r="D172" s="11" t="s">
        <v>272</v>
      </c>
      <c r="E172" s="18" t="s">
        <v>229</v>
      </c>
      <c r="F172" s="19">
        <v>2.0</v>
      </c>
      <c r="G172" s="19">
        <v>2.0</v>
      </c>
      <c r="H172" s="19">
        <v>5.0</v>
      </c>
      <c r="I172" s="19">
        <f>MAX(1,ROUND(H172^Guida!$B$18*Guida!$F$12,0))</f>
        <v>3</v>
      </c>
      <c r="J172" s="19">
        <f t="shared" si="2"/>
        <v>4</v>
      </c>
      <c r="K172" s="11" t="str">
        <f t="shared" si="3"/>
        <v>4a fascia</v>
      </c>
      <c r="L172" s="11" t="s">
        <v>226</v>
      </c>
      <c r="M172" s="18" t="s">
        <v>227</v>
      </c>
      <c r="N172" s="11" t="s">
        <v>71</v>
      </c>
      <c r="O172" s="11" t="s">
        <v>71</v>
      </c>
      <c r="P172" s="19">
        <v>6.0</v>
      </c>
      <c r="Q172" s="22">
        <v>5.75</v>
      </c>
      <c r="R172" s="22">
        <v>5.58</v>
      </c>
      <c r="S172" s="19">
        <v>0.0</v>
      </c>
      <c r="T172" s="19">
        <v>0.0</v>
      </c>
      <c r="U172" s="11" t="s">
        <v>72</v>
      </c>
      <c r="V172" s="19">
        <v>2.0</v>
      </c>
      <c r="W172" s="19">
        <v>0.0</v>
      </c>
      <c r="X172" s="19">
        <v>0.0</v>
      </c>
      <c r="Y172" s="22"/>
      <c r="Z172" s="22"/>
      <c r="AA172" s="19"/>
      <c r="AB172" s="19"/>
      <c r="AC172" s="11" t="s">
        <v>185</v>
      </c>
      <c r="AD172" s="11" t="s">
        <v>103</v>
      </c>
      <c r="AE172" s="22">
        <f t="shared" si="4"/>
        <v>5.52</v>
      </c>
      <c r="AF172" s="18" t="s">
        <v>288</v>
      </c>
      <c r="AG172" s="19">
        <v>6.0</v>
      </c>
      <c r="AH172" s="19">
        <f t="shared" si="5"/>
        <v>158</v>
      </c>
      <c r="AI172" s="18"/>
    </row>
    <row r="173" ht="15.75" customHeight="1">
      <c r="A173" s="25">
        <f t="shared" si="1"/>
        <v>170</v>
      </c>
      <c r="B173" s="27">
        <f>ROUND(Guida!$B$22*H173/Guida!$B$29+Guida!$B$23*MAX(0,MIN(1,(AE173-5.4)/1.6))+Guida!$B$24*0+Guida!$B$25*0,1)</f>
        <v>2.9</v>
      </c>
      <c r="C173" s="28" t="s">
        <v>963</v>
      </c>
      <c r="D173" s="25" t="s">
        <v>283</v>
      </c>
      <c r="E173" s="29" t="s">
        <v>259</v>
      </c>
      <c r="F173" s="30">
        <v>1.0</v>
      </c>
      <c r="G173" s="30">
        <v>1.0</v>
      </c>
      <c r="H173" s="30">
        <v>3.0</v>
      </c>
      <c r="I173" s="30">
        <f>MAX(1,ROUND(H173^Guida!$B$18*Guida!$F$12,0))</f>
        <v>2</v>
      </c>
      <c r="J173" s="30">
        <f t="shared" si="2"/>
        <v>2</v>
      </c>
      <c r="K173" s="25" t="str">
        <f t="shared" si="3"/>
        <v>Scommessa</v>
      </c>
      <c r="L173" s="25" t="s">
        <v>332</v>
      </c>
      <c r="M173" s="29" t="s">
        <v>333</v>
      </c>
      <c r="N173" s="25" t="s">
        <v>71</v>
      </c>
      <c r="O173" s="25" t="s">
        <v>71</v>
      </c>
      <c r="P173" s="30">
        <v>2.0</v>
      </c>
      <c r="Q173" s="32">
        <v>6.0</v>
      </c>
      <c r="R173" s="32">
        <v>6.0</v>
      </c>
      <c r="S173" s="30">
        <v>0.0</v>
      </c>
      <c r="T173" s="30">
        <v>0.0</v>
      </c>
      <c r="U173" s="25" t="s">
        <v>72</v>
      </c>
      <c r="V173" s="30">
        <v>0.0</v>
      </c>
      <c r="W173" s="30">
        <v>0.0</v>
      </c>
      <c r="X173" s="30">
        <v>0.0</v>
      </c>
      <c r="Y173" s="32"/>
      <c r="Z173" s="32"/>
      <c r="AA173" s="30"/>
      <c r="AB173" s="30"/>
      <c r="AC173" s="25" t="s">
        <v>283</v>
      </c>
      <c r="AD173" s="25" t="s">
        <v>73</v>
      </c>
      <c r="AE173" s="32">
        <f t="shared" si="4"/>
        <v>5.54</v>
      </c>
      <c r="AF173" s="29" t="s">
        <v>288</v>
      </c>
      <c r="AG173" s="30">
        <v>4.0</v>
      </c>
      <c r="AH173" s="30">
        <f t="shared" si="5"/>
        <v>175</v>
      </c>
      <c r="AI173" s="29"/>
    </row>
    <row r="174" ht="15.75" customHeight="1">
      <c r="A174" s="11">
        <f t="shared" si="1"/>
        <v>171</v>
      </c>
      <c r="B174" s="16">
        <f>ROUND(Guida!$B$22*H174/Guida!$B$29+Guida!$B$23*MAX(0,MIN(1,(AE174-5.4)/1.6))+Guida!$B$24*0+Guida!$B$25*0,1)</f>
        <v>2.8</v>
      </c>
      <c r="C174" s="17" t="s">
        <v>1110</v>
      </c>
      <c r="D174" s="11" t="s">
        <v>239</v>
      </c>
      <c r="E174" s="18" t="s">
        <v>259</v>
      </c>
      <c r="F174" s="19">
        <v>2.0</v>
      </c>
      <c r="G174" s="19">
        <v>2.0</v>
      </c>
      <c r="H174" s="19">
        <v>5.0</v>
      </c>
      <c r="I174" s="19">
        <f>MAX(1,ROUND(H174^Guida!$B$18*Guida!$F$12,0))</f>
        <v>3</v>
      </c>
      <c r="J174" s="19">
        <f t="shared" si="2"/>
        <v>4</v>
      </c>
      <c r="K174" s="11" t="str">
        <f t="shared" si="3"/>
        <v>4a fascia</v>
      </c>
      <c r="L174" s="11" t="s">
        <v>332</v>
      </c>
      <c r="M174" s="18" t="s">
        <v>338</v>
      </c>
      <c r="N174" s="11" t="s">
        <v>71</v>
      </c>
      <c r="O174" s="11" t="s">
        <v>71</v>
      </c>
      <c r="P174" s="19"/>
      <c r="Q174" s="22"/>
      <c r="R174" s="22"/>
      <c r="S174" s="19"/>
      <c r="T174" s="19"/>
      <c r="U174" s="11"/>
      <c r="V174" s="19"/>
      <c r="W174" s="19"/>
      <c r="X174" s="19">
        <v>0.0</v>
      </c>
      <c r="Y174" s="22"/>
      <c r="Z174" s="22"/>
      <c r="AA174" s="19"/>
      <c r="AB174" s="19"/>
      <c r="AC174" s="11" t="s">
        <v>71</v>
      </c>
      <c r="AD174" s="11" t="s">
        <v>103</v>
      </c>
      <c r="AE174" s="22">
        <f t="shared" si="4"/>
        <v>5.5</v>
      </c>
      <c r="AF174" s="18" t="s">
        <v>311</v>
      </c>
      <c r="AG174" s="19">
        <v>6.0</v>
      </c>
      <c r="AH174" s="19">
        <f t="shared" si="5"/>
        <v>158</v>
      </c>
      <c r="AI174" s="18"/>
    </row>
    <row r="175" ht="15.75" customHeight="1">
      <c r="A175" s="25">
        <f t="shared" si="1"/>
        <v>171</v>
      </c>
      <c r="B175" s="27">
        <f>ROUND(Guida!$B$22*H175/Guida!$B$29+Guida!$B$23*MAX(0,MIN(1,(AE175-5.4)/1.6))+Guida!$B$24*0+Guida!$B$25*0,1)</f>
        <v>2.8</v>
      </c>
      <c r="C175" s="28" t="s">
        <v>1115</v>
      </c>
      <c r="D175" s="25" t="s">
        <v>232</v>
      </c>
      <c r="E175" s="29" t="s">
        <v>259</v>
      </c>
      <c r="F175" s="30">
        <v>1.0</v>
      </c>
      <c r="G175" s="30">
        <v>2.0</v>
      </c>
      <c r="H175" s="30">
        <v>5.0</v>
      </c>
      <c r="I175" s="30">
        <f>MAX(1,ROUND(H175^Guida!$B$18*Guida!$F$12,0))</f>
        <v>3</v>
      </c>
      <c r="J175" s="30">
        <f t="shared" si="2"/>
        <v>4</v>
      </c>
      <c r="K175" s="25" t="str">
        <f t="shared" si="3"/>
        <v>4a fascia</v>
      </c>
      <c r="L175" s="25" t="s">
        <v>226</v>
      </c>
      <c r="M175" s="29" t="s">
        <v>277</v>
      </c>
      <c r="N175" s="25" t="s">
        <v>71</v>
      </c>
      <c r="O175" s="25" t="s">
        <v>71</v>
      </c>
      <c r="P175" s="30">
        <v>9.0</v>
      </c>
      <c r="Q175" s="32">
        <v>5.5</v>
      </c>
      <c r="R175" s="32">
        <v>5.5</v>
      </c>
      <c r="S175" s="30">
        <v>0.0</v>
      </c>
      <c r="T175" s="30">
        <v>0.0</v>
      </c>
      <c r="U175" s="25" t="s">
        <v>72</v>
      </c>
      <c r="V175" s="30">
        <v>0.0</v>
      </c>
      <c r="W175" s="30">
        <v>0.0</v>
      </c>
      <c r="X175" s="30">
        <v>2.0</v>
      </c>
      <c r="Y175" s="32">
        <v>5.5</v>
      </c>
      <c r="Z175" s="32">
        <v>5.5</v>
      </c>
      <c r="AA175" s="30">
        <v>0.0</v>
      </c>
      <c r="AB175" s="30">
        <v>0.0</v>
      </c>
      <c r="AC175" s="25" t="s">
        <v>232</v>
      </c>
      <c r="AD175" s="25" t="s">
        <v>73</v>
      </c>
      <c r="AE175" s="32">
        <f t="shared" si="4"/>
        <v>5.5</v>
      </c>
      <c r="AF175" s="29" t="s">
        <v>417</v>
      </c>
      <c r="AG175" s="30">
        <v>4.0</v>
      </c>
      <c r="AH175" s="30">
        <f t="shared" si="5"/>
        <v>158</v>
      </c>
      <c r="AI175" s="29"/>
    </row>
    <row r="176" ht="15.75" customHeight="1">
      <c r="A176" s="11">
        <f t="shared" si="1"/>
        <v>173</v>
      </c>
      <c r="B176" s="16">
        <f>ROUND(Guida!$B$22*H176/Guida!$B$29+Guida!$B$23*MAX(0,MIN(1,(AE176-5.4)/1.6))+Guida!$B$24*0+Guida!$B$25*0,1)</f>
        <v>2.6</v>
      </c>
      <c r="C176" s="17" t="s">
        <v>1127</v>
      </c>
      <c r="D176" s="11" t="s">
        <v>283</v>
      </c>
      <c r="E176" s="18" t="s">
        <v>137</v>
      </c>
      <c r="F176" s="19">
        <v>1.0</v>
      </c>
      <c r="G176" s="19">
        <v>2.0</v>
      </c>
      <c r="H176" s="19">
        <v>8.0</v>
      </c>
      <c r="I176" s="19">
        <f>MAX(1,ROUND(H176^Guida!$B$18*Guida!$F$12,0))</f>
        <v>4</v>
      </c>
      <c r="J176" s="19">
        <f t="shared" si="2"/>
        <v>5</v>
      </c>
      <c r="K176" s="11" t="str">
        <f t="shared" si="3"/>
        <v>4a fascia</v>
      </c>
      <c r="L176" s="11" t="s">
        <v>332</v>
      </c>
      <c r="M176" s="18" t="s">
        <v>408</v>
      </c>
      <c r="N176" s="11" t="s">
        <v>71</v>
      </c>
      <c r="O176" s="11" t="s">
        <v>71</v>
      </c>
      <c r="P176" s="19">
        <v>11.0</v>
      </c>
      <c r="Q176" s="22">
        <v>5.59</v>
      </c>
      <c r="R176" s="22">
        <v>5.36</v>
      </c>
      <c r="S176" s="19">
        <v>0.0</v>
      </c>
      <c r="T176" s="19">
        <v>0.0</v>
      </c>
      <c r="U176" s="11" t="s">
        <v>72</v>
      </c>
      <c r="V176" s="19">
        <v>3.0</v>
      </c>
      <c r="W176" s="19">
        <v>1.0</v>
      </c>
      <c r="X176" s="19">
        <v>1.0</v>
      </c>
      <c r="Y176" s="22">
        <v>6.0</v>
      </c>
      <c r="Z176" s="22">
        <v>6.0</v>
      </c>
      <c r="AA176" s="19">
        <v>0.0</v>
      </c>
      <c r="AB176" s="19">
        <v>0.0</v>
      </c>
      <c r="AC176" s="11" t="s">
        <v>283</v>
      </c>
      <c r="AD176" s="11" t="s">
        <v>73</v>
      </c>
      <c r="AE176" s="22">
        <f t="shared" si="4"/>
        <v>5.44</v>
      </c>
      <c r="AF176" s="18" t="s">
        <v>288</v>
      </c>
      <c r="AG176" s="19">
        <v>4.0</v>
      </c>
      <c r="AH176" s="19">
        <f t="shared" si="5"/>
        <v>138</v>
      </c>
      <c r="AI176" s="18"/>
    </row>
    <row r="177" ht="15.75" customHeight="1">
      <c r="A177" s="25">
        <f t="shared" si="1"/>
        <v>173</v>
      </c>
      <c r="B177" s="27">
        <f>ROUND(Guida!$B$22*H177/Guida!$B$29+Guida!$B$23*MAX(0,MIN(1,(AE177-5.4)/1.6))+Guida!$B$24*0+Guida!$B$25*0,1)</f>
        <v>2.6</v>
      </c>
      <c r="C177" s="28" t="s">
        <v>1136</v>
      </c>
      <c r="D177" s="25" t="s">
        <v>272</v>
      </c>
      <c r="E177" s="29" t="s">
        <v>249</v>
      </c>
      <c r="F177" s="30">
        <v>1.0</v>
      </c>
      <c r="G177" s="30">
        <v>2.0</v>
      </c>
      <c r="H177" s="30">
        <v>4.0</v>
      </c>
      <c r="I177" s="30">
        <f>MAX(1,ROUND(H177^Guida!$B$18*Guida!$F$12,0))</f>
        <v>3</v>
      </c>
      <c r="J177" s="30">
        <f t="shared" si="2"/>
        <v>4</v>
      </c>
      <c r="K177" s="25" t="str">
        <f t="shared" si="3"/>
        <v>4a fascia</v>
      </c>
      <c r="L177" s="25" t="s">
        <v>332</v>
      </c>
      <c r="M177" s="29" t="s">
        <v>615</v>
      </c>
      <c r="N177" s="25" t="s">
        <v>71</v>
      </c>
      <c r="O177" s="25" t="s">
        <v>71</v>
      </c>
      <c r="P177" s="30"/>
      <c r="Q177" s="32"/>
      <c r="R177" s="32"/>
      <c r="S177" s="30"/>
      <c r="T177" s="30"/>
      <c r="U177" s="25"/>
      <c r="V177" s="30"/>
      <c r="W177" s="30"/>
      <c r="X177" s="30">
        <v>1.0</v>
      </c>
      <c r="Y177" s="32">
        <v>6.0</v>
      </c>
      <c r="Z177" s="32">
        <v>6.0</v>
      </c>
      <c r="AA177" s="30">
        <v>0.0</v>
      </c>
      <c r="AB177" s="30">
        <v>0.0</v>
      </c>
      <c r="AC177" s="25" t="s">
        <v>71</v>
      </c>
      <c r="AD177" s="25" t="s">
        <v>103</v>
      </c>
      <c r="AE177" s="32">
        <f t="shared" si="4"/>
        <v>5.5</v>
      </c>
      <c r="AF177" s="29" t="s">
        <v>288</v>
      </c>
      <c r="AG177" s="30">
        <v>6.0</v>
      </c>
      <c r="AH177" s="30">
        <f t="shared" si="5"/>
        <v>167</v>
      </c>
      <c r="AI177" s="29"/>
    </row>
    <row r="178" ht="15.75" customHeight="1">
      <c r="A178" s="11">
        <f t="shared" si="1"/>
        <v>173</v>
      </c>
      <c r="B178" s="16">
        <f>ROUND(Guida!$B$22*H178/Guida!$B$29+Guida!$B$23*MAX(0,MIN(1,(AE178-5.4)/1.6))+Guida!$B$24*0+Guida!$B$25*0,1)</f>
        <v>2.6</v>
      </c>
      <c r="C178" s="17" t="s">
        <v>1142</v>
      </c>
      <c r="D178" s="11" t="s">
        <v>253</v>
      </c>
      <c r="E178" s="18" t="s">
        <v>249</v>
      </c>
      <c r="F178" s="19">
        <v>1.0</v>
      </c>
      <c r="G178" s="19">
        <v>2.0</v>
      </c>
      <c r="H178" s="19">
        <v>4.0</v>
      </c>
      <c r="I178" s="19">
        <f>MAX(1,ROUND(H178^Guida!$B$18*Guida!$F$12,0))</f>
        <v>3</v>
      </c>
      <c r="J178" s="19">
        <f t="shared" si="2"/>
        <v>4</v>
      </c>
      <c r="K178" s="11" t="str">
        <f t="shared" si="3"/>
        <v>4a fascia</v>
      </c>
      <c r="L178" s="11" t="s">
        <v>332</v>
      </c>
      <c r="M178" s="18" t="s">
        <v>473</v>
      </c>
      <c r="N178" s="11" t="s">
        <v>71</v>
      </c>
      <c r="O178" s="11" t="s">
        <v>71</v>
      </c>
      <c r="P178" s="19"/>
      <c r="Q178" s="22"/>
      <c r="R178" s="22"/>
      <c r="S178" s="19"/>
      <c r="T178" s="19"/>
      <c r="U178" s="11"/>
      <c r="V178" s="19"/>
      <c r="W178" s="19"/>
      <c r="X178" s="19">
        <v>2.0</v>
      </c>
      <c r="Y178" s="22">
        <v>5.75</v>
      </c>
      <c r="Z178" s="22">
        <v>5.75</v>
      </c>
      <c r="AA178" s="19">
        <v>0.0</v>
      </c>
      <c r="AB178" s="19">
        <v>0.0</v>
      </c>
      <c r="AC178" s="11" t="s">
        <v>71</v>
      </c>
      <c r="AD178" s="11" t="s">
        <v>103</v>
      </c>
      <c r="AE178" s="22">
        <f t="shared" si="4"/>
        <v>5.5</v>
      </c>
      <c r="AF178" s="18" t="s">
        <v>196</v>
      </c>
      <c r="AG178" s="19">
        <v>4.0</v>
      </c>
      <c r="AH178" s="19">
        <f t="shared" si="5"/>
        <v>167</v>
      </c>
      <c r="AI178" s="18"/>
    </row>
    <row r="179" ht="15.75" customHeight="1">
      <c r="A179" s="25">
        <f t="shared" si="1"/>
        <v>173</v>
      </c>
      <c r="B179" s="27">
        <f>ROUND(Guida!$B$22*H179/Guida!$B$29+Guida!$B$23*MAX(0,MIN(1,(AE179-5.4)/1.6))+Guida!$B$24*0+Guida!$B$25*0,1)</f>
        <v>2.6</v>
      </c>
      <c r="C179" s="28" t="s">
        <v>1147</v>
      </c>
      <c r="D179" s="25" t="s">
        <v>175</v>
      </c>
      <c r="E179" s="29" t="s">
        <v>324</v>
      </c>
      <c r="F179" s="30">
        <v>2.0</v>
      </c>
      <c r="G179" s="30">
        <v>2.0</v>
      </c>
      <c r="H179" s="30">
        <v>4.0</v>
      </c>
      <c r="I179" s="30">
        <f>MAX(1,ROUND(H179^Guida!$B$18*Guida!$F$12,0))</f>
        <v>3</v>
      </c>
      <c r="J179" s="30">
        <f t="shared" si="2"/>
        <v>4</v>
      </c>
      <c r="K179" s="25" t="str">
        <f t="shared" si="3"/>
        <v>4a fascia</v>
      </c>
      <c r="L179" s="25" t="s">
        <v>332</v>
      </c>
      <c r="M179" s="29" t="s">
        <v>338</v>
      </c>
      <c r="N179" s="25" t="s">
        <v>71</v>
      </c>
      <c r="O179" s="25" t="s">
        <v>71</v>
      </c>
      <c r="P179" s="30"/>
      <c r="Q179" s="32"/>
      <c r="R179" s="32"/>
      <c r="S179" s="30"/>
      <c r="T179" s="30"/>
      <c r="U179" s="25"/>
      <c r="V179" s="30"/>
      <c r="W179" s="30"/>
      <c r="X179" s="30">
        <v>0.0</v>
      </c>
      <c r="Y179" s="32"/>
      <c r="Z179" s="32"/>
      <c r="AA179" s="30"/>
      <c r="AB179" s="30"/>
      <c r="AC179" s="25" t="s">
        <v>71</v>
      </c>
      <c r="AD179" s="25" t="s">
        <v>103</v>
      </c>
      <c r="AE179" s="32">
        <f t="shared" si="4"/>
        <v>5.5</v>
      </c>
      <c r="AF179" s="29" t="s">
        <v>196</v>
      </c>
      <c r="AG179" s="30">
        <v>0.0</v>
      </c>
      <c r="AH179" s="30">
        <f t="shared" si="5"/>
        <v>167</v>
      </c>
      <c r="AI179" s="29"/>
    </row>
    <row r="180" ht="15.75" customHeight="1">
      <c r="A180" s="11">
        <f t="shared" si="1"/>
        <v>173</v>
      </c>
      <c r="B180" s="16">
        <f>ROUND(Guida!$B$22*H180/Guida!$B$29+Guida!$B$23*MAX(0,MIN(1,(AE180-5.4)/1.6))+Guida!$B$24*0+Guida!$B$25*0,1)</f>
        <v>2.6</v>
      </c>
      <c r="C180" s="17" t="s">
        <v>1151</v>
      </c>
      <c r="D180" s="11" t="s">
        <v>264</v>
      </c>
      <c r="E180" s="18" t="s">
        <v>249</v>
      </c>
      <c r="F180" s="19">
        <v>2.0</v>
      </c>
      <c r="G180" s="19">
        <v>2.0</v>
      </c>
      <c r="H180" s="19">
        <v>4.0</v>
      </c>
      <c r="I180" s="19">
        <f>MAX(1,ROUND(H180^Guida!$B$18*Guida!$F$12,0))</f>
        <v>3</v>
      </c>
      <c r="J180" s="19">
        <f t="shared" si="2"/>
        <v>4</v>
      </c>
      <c r="K180" s="11" t="str">
        <f t="shared" si="3"/>
        <v>4a fascia</v>
      </c>
      <c r="L180" s="11" t="s">
        <v>332</v>
      </c>
      <c r="M180" s="18" t="s">
        <v>338</v>
      </c>
      <c r="N180" s="11" t="s">
        <v>71</v>
      </c>
      <c r="O180" s="11" t="s">
        <v>71</v>
      </c>
      <c r="P180" s="19"/>
      <c r="Q180" s="22"/>
      <c r="R180" s="22"/>
      <c r="S180" s="19"/>
      <c r="T180" s="19"/>
      <c r="U180" s="11"/>
      <c r="V180" s="19"/>
      <c r="W180" s="19"/>
      <c r="X180" s="19">
        <v>0.0</v>
      </c>
      <c r="Y180" s="22"/>
      <c r="Z180" s="22"/>
      <c r="AA180" s="19"/>
      <c r="AB180" s="19"/>
      <c r="AC180" s="11" t="s">
        <v>71</v>
      </c>
      <c r="AD180" s="11" t="s">
        <v>103</v>
      </c>
      <c r="AE180" s="22">
        <f t="shared" si="4"/>
        <v>5.5</v>
      </c>
      <c r="AF180" s="18" t="s">
        <v>270</v>
      </c>
      <c r="AG180" s="19">
        <v>6.0</v>
      </c>
      <c r="AH180" s="19">
        <f t="shared" si="5"/>
        <v>167</v>
      </c>
      <c r="AI180" s="18"/>
    </row>
    <row r="181" ht="15.75" customHeight="1">
      <c r="A181" s="25">
        <f t="shared" si="1"/>
        <v>173</v>
      </c>
      <c r="B181" s="27">
        <f>ROUND(Guida!$B$22*H181/Guida!$B$29+Guida!$B$23*MAX(0,MIN(1,(AE181-5.4)/1.6))+Guida!$B$24*0+Guida!$B$25*0,1)</f>
        <v>2.6</v>
      </c>
      <c r="C181" s="28" t="s">
        <v>1109</v>
      </c>
      <c r="D181" s="25" t="s">
        <v>93</v>
      </c>
      <c r="E181" s="29" t="s">
        <v>137</v>
      </c>
      <c r="F181" s="30">
        <v>1.0</v>
      </c>
      <c r="G181" s="30">
        <v>1.0</v>
      </c>
      <c r="H181" s="30">
        <v>3.0</v>
      </c>
      <c r="I181" s="30">
        <f>MAX(1,ROUND(H181^Guida!$B$18*Guida!$F$12,0))</f>
        <v>2</v>
      </c>
      <c r="J181" s="30">
        <f t="shared" si="2"/>
        <v>2</v>
      </c>
      <c r="K181" s="25" t="str">
        <f t="shared" si="3"/>
        <v>Scommessa</v>
      </c>
      <c r="L181" s="25" t="s">
        <v>332</v>
      </c>
      <c r="M181" s="29" t="s">
        <v>338</v>
      </c>
      <c r="N181" s="25" t="s">
        <v>71</v>
      </c>
      <c r="O181" s="25" t="s">
        <v>71</v>
      </c>
      <c r="P181" s="30">
        <v>8.0</v>
      </c>
      <c r="Q181" s="32">
        <v>5.69</v>
      </c>
      <c r="R181" s="32">
        <v>5.56</v>
      </c>
      <c r="S181" s="30">
        <v>0.0</v>
      </c>
      <c r="T181" s="30">
        <v>0.0</v>
      </c>
      <c r="U181" s="25" t="s">
        <v>72</v>
      </c>
      <c r="V181" s="30">
        <v>2.0</v>
      </c>
      <c r="W181" s="30">
        <v>0.0</v>
      </c>
      <c r="X181" s="30">
        <v>0.0</v>
      </c>
      <c r="Y181" s="32"/>
      <c r="Z181" s="32"/>
      <c r="AA181" s="30"/>
      <c r="AB181" s="30"/>
      <c r="AC181" s="25" t="s">
        <v>208</v>
      </c>
      <c r="AD181" s="25" t="s">
        <v>103</v>
      </c>
      <c r="AE181" s="32">
        <f t="shared" si="4"/>
        <v>5.52</v>
      </c>
      <c r="AF181" s="29" t="s">
        <v>230</v>
      </c>
      <c r="AG181" s="30">
        <v>0.0</v>
      </c>
      <c r="AH181" s="30">
        <f t="shared" si="5"/>
        <v>175</v>
      </c>
      <c r="AI181" s="29"/>
    </row>
    <row r="182" ht="15.75" customHeight="1">
      <c r="A182" s="11">
        <f t="shared" si="1"/>
        <v>179</v>
      </c>
      <c r="B182" s="16">
        <f>ROUND(Guida!$B$22*H182/Guida!$B$29+Guida!$B$23*MAX(0,MIN(1,(AE182-5.4)/1.6))+Guida!$B$24*0+Guida!$B$25*0,1)</f>
        <v>2.3</v>
      </c>
      <c r="C182" s="17" t="s">
        <v>1160</v>
      </c>
      <c r="D182" s="11" t="s">
        <v>177</v>
      </c>
      <c r="E182" s="18" t="s">
        <v>259</v>
      </c>
      <c r="F182" s="19">
        <v>2.0</v>
      </c>
      <c r="G182" s="19">
        <v>2.0</v>
      </c>
      <c r="H182" s="19">
        <v>3.0</v>
      </c>
      <c r="I182" s="19">
        <f>MAX(1,ROUND(H182^Guida!$B$18*Guida!$F$12,0))</f>
        <v>2</v>
      </c>
      <c r="J182" s="19">
        <f t="shared" si="2"/>
        <v>2</v>
      </c>
      <c r="K182" s="11" t="str">
        <f t="shared" si="3"/>
        <v>Scommessa</v>
      </c>
      <c r="L182" s="11" t="s">
        <v>332</v>
      </c>
      <c r="M182" s="18" t="s">
        <v>338</v>
      </c>
      <c r="N182" s="11" t="s">
        <v>71</v>
      </c>
      <c r="O182" s="11" t="s">
        <v>71</v>
      </c>
      <c r="P182" s="19"/>
      <c r="Q182" s="22"/>
      <c r="R182" s="22"/>
      <c r="S182" s="19"/>
      <c r="T182" s="19"/>
      <c r="U182" s="11"/>
      <c r="V182" s="19"/>
      <c r="W182" s="19"/>
      <c r="X182" s="19">
        <v>0.0</v>
      </c>
      <c r="Y182" s="22"/>
      <c r="Z182" s="22"/>
      <c r="AA182" s="19"/>
      <c r="AB182" s="19"/>
      <c r="AC182" s="11" t="s">
        <v>71</v>
      </c>
      <c r="AD182" s="11" t="s">
        <v>103</v>
      </c>
      <c r="AE182" s="22">
        <f t="shared" si="4"/>
        <v>5.5</v>
      </c>
      <c r="AF182" s="18" t="s">
        <v>179</v>
      </c>
      <c r="AG182" s="19">
        <v>5.0</v>
      </c>
      <c r="AH182" s="19">
        <f t="shared" si="5"/>
        <v>175</v>
      </c>
      <c r="AI182" s="18"/>
    </row>
    <row r="183" ht="15.75" customHeight="1">
      <c r="A183" s="25">
        <f t="shared" si="1"/>
        <v>180</v>
      </c>
      <c r="B183" s="27">
        <f>ROUND(Guida!$B$22*H183/Guida!$B$29+Guida!$B$23*MAX(0,MIN(1,(AE183-5.4)/1.6))+Guida!$B$24*0+Guida!$B$25*0,1)</f>
        <v>2.1</v>
      </c>
      <c r="C183" s="28" t="s">
        <v>1168</v>
      </c>
      <c r="D183" s="25" t="s">
        <v>272</v>
      </c>
      <c r="E183" s="29" t="s">
        <v>137</v>
      </c>
      <c r="F183" s="30">
        <v>1.0</v>
      </c>
      <c r="G183" s="30">
        <v>1.0</v>
      </c>
      <c r="H183" s="30">
        <v>2.0</v>
      </c>
      <c r="I183" s="30">
        <f>MAX(1,ROUND(H183^Guida!$B$18*Guida!$F$12,0))</f>
        <v>2</v>
      </c>
      <c r="J183" s="30">
        <f t="shared" si="2"/>
        <v>2</v>
      </c>
      <c r="K183" s="25" t="str">
        <f t="shared" si="3"/>
        <v>Scommessa</v>
      </c>
      <c r="L183" s="25" t="s">
        <v>332</v>
      </c>
      <c r="M183" s="29" t="s">
        <v>338</v>
      </c>
      <c r="N183" s="25" t="s">
        <v>71</v>
      </c>
      <c r="O183" s="25" t="s">
        <v>71</v>
      </c>
      <c r="P183" s="30"/>
      <c r="Q183" s="32"/>
      <c r="R183" s="32"/>
      <c r="S183" s="30"/>
      <c r="T183" s="30"/>
      <c r="U183" s="25"/>
      <c r="V183" s="30"/>
      <c r="W183" s="30"/>
      <c r="X183" s="30">
        <v>0.0</v>
      </c>
      <c r="Y183" s="32"/>
      <c r="Z183" s="32"/>
      <c r="AA183" s="30"/>
      <c r="AB183" s="30"/>
      <c r="AC183" s="25" t="s">
        <v>71</v>
      </c>
      <c r="AD183" s="25" t="s">
        <v>103</v>
      </c>
      <c r="AE183" s="32">
        <f t="shared" si="4"/>
        <v>5.5</v>
      </c>
      <c r="AF183" s="29" t="s">
        <v>288</v>
      </c>
      <c r="AG183" s="30">
        <v>6.0</v>
      </c>
      <c r="AH183" s="30">
        <f t="shared" si="5"/>
        <v>180</v>
      </c>
      <c r="AI183" s="29"/>
    </row>
    <row r="184" ht="15.75" customHeight="1">
      <c r="A184" s="11">
        <f t="shared" si="1"/>
        <v>181</v>
      </c>
      <c r="B184" s="16">
        <f>ROUND(Guida!$B$22*H184/Guida!$B$29+Guida!$B$23*MAX(0,MIN(1,(AE184-5.4)/1.6))+Guida!$B$24*0+Guida!$B$25*0,1)</f>
        <v>1.9</v>
      </c>
      <c r="C184" s="17" t="s">
        <v>1138</v>
      </c>
      <c r="D184" s="11" t="s">
        <v>177</v>
      </c>
      <c r="E184" s="18" t="s">
        <v>137</v>
      </c>
      <c r="F184" s="19">
        <v>2.0</v>
      </c>
      <c r="G184" s="19">
        <v>2.0</v>
      </c>
      <c r="H184" s="19">
        <v>5.0</v>
      </c>
      <c r="I184" s="19">
        <f>MAX(1,ROUND(H184^Guida!$B$18*Guida!$F$12,0))</f>
        <v>3</v>
      </c>
      <c r="J184" s="19">
        <f t="shared" si="2"/>
        <v>4</v>
      </c>
      <c r="K184" s="11" t="str">
        <f t="shared" si="3"/>
        <v>4a fascia</v>
      </c>
      <c r="L184" s="11" t="s">
        <v>332</v>
      </c>
      <c r="M184" s="18" t="s">
        <v>408</v>
      </c>
      <c r="N184" s="11" t="s">
        <v>71</v>
      </c>
      <c r="O184" s="11" t="s">
        <v>71</v>
      </c>
      <c r="P184" s="19">
        <v>10.0</v>
      </c>
      <c r="Q184" s="22">
        <v>5.6</v>
      </c>
      <c r="R184" s="22">
        <v>5.35</v>
      </c>
      <c r="S184" s="19">
        <v>0.0</v>
      </c>
      <c r="T184" s="19">
        <v>0.0</v>
      </c>
      <c r="U184" s="11" t="s">
        <v>72</v>
      </c>
      <c r="V184" s="19">
        <v>1.0</v>
      </c>
      <c r="W184" s="19">
        <v>0.0</v>
      </c>
      <c r="X184" s="19">
        <v>1.0</v>
      </c>
      <c r="Y184" s="22">
        <v>4.5</v>
      </c>
      <c r="Z184" s="22">
        <v>4.5</v>
      </c>
      <c r="AA184" s="19">
        <v>0.0</v>
      </c>
      <c r="AB184" s="19">
        <v>0.0</v>
      </c>
      <c r="AC184" s="11" t="s">
        <v>177</v>
      </c>
      <c r="AD184" s="11" t="s">
        <v>73</v>
      </c>
      <c r="AE184" s="22">
        <f t="shared" si="4"/>
        <v>5.44</v>
      </c>
      <c r="AF184" s="18" t="s">
        <v>179</v>
      </c>
      <c r="AG184" s="19">
        <v>5.0</v>
      </c>
      <c r="AH184" s="19">
        <f t="shared" si="5"/>
        <v>158</v>
      </c>
      <c r="AI184" s="18"/>
    </row>
    <row r="185" ht="15.75" customHeight="1">
      <c r="A185" s="25">
        <f t="shared" si="1"/>
        <v>182</v>
      </c>
      <c r="B185" s="27">
        <f>ROUND(Guida!$B$22*H185/Guida!$B$29+Guida!$B$23*MAX(0,MIN(1,(AE185-5.4)/1.6))+Guida!$B$24*0+Guida!$B$25*0,1)</f>
        <v>1.8</v>
      </c>
      <c r="C185" s="28" t="s">
        <v>1155</v>
      </c>
      <c r="D185" s="25" t="s">
        <v>232</v>
      </c>
      <c r="E185" s="29" t="s">
        <v>249</v>
      </c>
      <c r="F185" s="30">
        <v>1.0</v>
      </c>
      <c r="G185" s="30">
        <v>1.0</v>
      </c>
      <c r="H185" s="30">
        <v>2.0</v>
      </c>
      <c r="I185" s="30">
        <f>MAX(1,ROUND(H185^Guida!$B$18*Guida!$F$12,0))</f>
        <v>2</v>
      </c>
      <c r="J185" s="30">
        <f t="shared" si="2"/>
        <v>2</v>
      </c>
      <c r="K185" s="25" t="str">
        <f t="shared" si="3"/>
        <v>Scommessa</v>
      </c>
      <c r="L185" s="25" t="s">
        <v>332</v>
      </c>
      <c r="M185" s="29" t="s">
        <v>338</v>
      </c>
      <c r="N185" s="25" t="s">
        <v>71</v>
      </c>
      <c r="O185" s="25" t="s">
        <v>71</v>
      </c>
      <c r="P185" s="30">
        <v>1.0</v>
      </c>
      <c r="Q185" s="32">
        <v>5.0</v>
      </c>
      <c r="R185" s="32">
        <v>5.0</v>
      </c>
      <c r="S185" s="30">
        <v>0.0</v>
      </c>
      <c r="T185" s="30">
        <v>0.0</v>
      </c>
      <c r="U185" s="25" t="s">
        <v>72</v>
      </c>
      <c r="V185" s="30">
        <v>0.0</v>
      </c>
      <c r="W185" s="30">
        <v>0.0</v>
      </c>
      <c r="X185" s="30">
        <v>0.0</v>
      </c>
      <c r="Y185" s="32"/>
      <c r="Z185" s="32"/>
      <c r="AA185" s="30"/>
      <c r="AB185" s="30"/>
      <c r="AC185" s="25" t="s">
        <v>212</v>
      </c>
      <c r="AD185" s="25" t="s">
        <v>103</v>
      </c>
      <c r="AE185" s="32">
        <f t="shared" si="4"/>
        <v>5.48</v>
      </c>
      <c r="AF185" s="29" t="s">
        <v>417</v>
      </c>
      <c r="AG185" s="30">
        <v>4.0</v>
      </c>
      <c r="AH185" s="30">
        <f t="shared" si="5"/>
        <v>180</v>
      </c>
      <c r="AI185" s="29"/>
    </row>
    <row r="186" ht="15.75" customHeight="1">
      <c r="A186" s="11">
        <f t="shared" si="1"/>
        <v>182</v>
      </c>
      <c r="B186" s="16">
        <f>ROUND(Guida!$B$22*H186/Guida!$B$29+Guida!$B$23*MAX(0,MIN(1,(AE186-5.4)/1.6))+Guida!$B$24*0+Guida!$B$25*0,1)</f>
        <v>1.8</v>
      </c>
      <c r="C186" s="17" t="s">
        <v>1182</v>
      </c>
      <c r="D186" s="11" t="s">
        <v>261</v>
      </c>
      <c r="E186" s="18" t="s">
        <v>137</v>
      </c>
      <c r="F186" s="19">
        <v>1.0</v>
      </c>
      <c r="G186" s="19">
        <v>1.0</v>
      </c>
      <c r="H186" s="19">
        <v>1.0</v>
      </c>
      <c r="I186" s="19">
        <f>MAX(1,ROUND(H186^Guida!$B$18*Guida!$F$12,0))</f>
        <v>1</v>
      </c>
      <c r="J186" s="19">
        <f t="shared" si="2"/>
        <v>2</v>
      </c>
      <c r="K186" s="11" t="str">
        <f t="shared" si="3"/>
        <v>Scommessa</v>
      </c>
      <c r="L186" s="11" t="s">
        <v>332</v>
      </c>
      <c r="M186" s="18" t="s">
        <v>338</v>
      </c>
      <c r="N186" s="11" t="s">
        <v>71</v>
      </c>
      <c r="O186" s="11" t="s">
        <v>71</v>
      </c>
      <c r="P186" s="19"/>
      <c r="Q186" s="22"/>
      <c r="R186" s="22"/>
      <c r="S186" s="19"/>
      <c r="T186" s="19"/>
      <c r="U186" s="11"/>
      <c r="V186" s="19"/>
      <c r="W186" s="19"/>
      <c r="X186" s="19">
        <v>0.0</v>
      </c>
      <c r="Y186" s="22"/>
      <c r="Z186" s="22"/>
      <c r="AA186" s="19"/>
      <c r="AB186" s="19"/>
      <c r="AC186" s="11" t="s">
        <v>71</v>
      </c>
      <c r="AD186" s="11" t="s">
        <v>103</v>
      </c>
      <c r="AE186" s="22">
        <f t="shared" si="4"/>
        <v>5.5</v>
      </c>
      <c r="AF186" s="18" t="s">
        <v>311</v>
      </c>
      <c r="AG186" s="19">
        <v>5.0</v>
      </c>
      <c r="AH186" s="19">
        <f t="shared" si="5"/>
        <v>182</v>
      </c>
      <c r="AI186" s="18"/>
    </row>
    <row r="187" ht="15.75" customHeight="1">
      <c r="A187" s="25">
        <f t="shared" si="1"/>
        <v>182</v>
      </c>
      <c r="B187" s="27">
        <f>ROUND(Guida!$B$22*H187/Guida!$B$29+Guida!$B$23*MAX(0,MIN(1,(AE187-5.4)/1.6))+Guida!$B$24*0+Guida!$B$25*0,1)</f>
        <v>1.8</v>
      </c>
      <c r="C187" s="28" t="s">
        <v>1186</v>
      </c>
      <c r="D187" s="25" t="s">
        <v>283</v>
      </c>
      <c r="E187" s="29" t="s">
        <v>137</v>
      </c>
      <c r="F187" s="30">
        <v>1.0</v>
      </c>
      <c r="G187" s="30">
        <v>2.0</v>
      </c>
      <c r="H187" s="30">
        <v>1.0</v>
      </c>
      <c r="I187" s="30">
        <f>MAX(1,ROUND(H187^Guida!$B$18*Guida!$F$12,0))</f>
        <v>1</v>
      </c>
      <c r="J187" s="30">
        <f t="shared" si="2"/>
        <v>2</v>
      </c>
      <c r="K187" s="25" t="str">
        <f t="shared" si="3"/>
        <v>Scommessa</v>
      </c>
      <c r="L187" s="25" t="s">
        <v>332</v>
      </c>
      <c r="M187" s="29" t="s">
        <v>615</v>
      </c>
      <c r="N187" s="25" t="s">
        <v>71</v>
      </c>
      <c r="O187" s="25" t="s">
        <v>71</v>
      </c>
      <c r="P187" s="30"/>
      <c r="Q187" s="32"/>
      <c r="R187" s="32"/>
      <c r="S187" s="30"/>
      <c r="T187" s="30"/>
      <c r="U187" s="25"/>
      <c r="V187" s="30"/>
      <c r="W187" s="30"/>
      <c r="X187" s="30">
        <v>1.0</v>
      </c>
      <c r="Y187" s="32">
        <v>5.5</v>
      </c>
      <c r="Z187" s="32">
        <v>5.5</v>
      </c>
      <c r="AA187" s="30">
        <v>0.0</v>
      </c>
      <c r="AB187" s="30">
        <v>0.0</v>
      </c>
      <c r="AC187" s="25" t="s">
        <v>71</v>
      </c>
      <c r="AD187" s="25" t="s">
        <v>103</v>
      </c>
      <c r="AE187" s="32">
        <f t="shared" si="4"/>
        <v>5.5</v>
      </c>
      <c r="AF187" s="29" t="s">
        <v>288</v>
      </c>
      <c r="AG187" s="30">
        <v>4.0</v>
      </c>
      <c r="AH187" s="30">
        <f t="shared" si="5"/>
        <v>182</v>
      </c>
      <c r="AI187" s="29"/>
    </row>
    <row r="188" ht="15.75" customHeight="1">
      <c r="A188" s="11">
        <f t="shared" si="1"/>
        <v>182</v>
      </c>
      <c r="B188" s="16">
        <f>ROUND(Guida!$B$22*H188/Guida!$B$29+Guida!$B$23*MAX(0,MIN(1,(AE188-5.4)/1.6))+Guida!$B$24*0+Guida!$B$25*0,1)</f>
        <v>1.8</v>
      </c>
      <c r="C188" s="17" t="s">
        <v>1174</v>
      </c>
      <c r="D188" s="11" t="s">
        <v>133</v>
      </c>
      <c r="E188" s="18" t="s">
        <v>137</v>
      </c>
      <c r="F188" s="19">
        <v>1.0</v>
      </c>
      <c r="G188" s="19">
        <v>1.0</v>
      </c>
      <c r="H188" s="19">
        <v>1.0</v>
      </c>
      <c r="I188" s="19">
        <f>MAX(1,ROUND(H188^Guida!$B$18*Guida!$F$12,0))</f>
        <v>1</v>
      </c>
      <c r="J188" s="19">
        <f t="shared" si="2"/>
        <v>2</v>
      </c>
      <c r="K188" s="11" t="str">
        <f t="shared" si="3"/>
        <v>Scommessa</v>
      </c>
      <c r="L188" s="11" t="s">
        <v>332</v>
      </c>
      <c r="M188" s="18" t="s">
        <v>333</v>
      </c>
      <c r="N188" s="11" t="s">
        <v>71</v>
      </c>
      <c r="O188" s="11" t="s">
        <v>71</v>
      </c>
      <c r="P188" s="19"/>
      <c r="Q188" s="22"/>
      <c r="R188" s="22"/>
      <c r="S188" s="19"/>
      <c r="T188" s="19"/>
      <c r="U188" s="11"/>
      <c r="V188" s="19"/>
      <c r="W188" s="19"/>
      <c r="X188" s="19">
        <v>0.0</v>
      </c>
      <c r="Y188" s="22"/>
      <c r="Z188" s="22"/>
      <c r="AA188" s="19"/>
      <c r="AB188" s="19"/>
      <c r="AC188" s="11" t="s">
        <v>133</v>
      </c>
      <c r="AD188" s="11" t="s">
        <v>73</v>
      </c>
      <c r="AE188" s="22">
        <f t="shared" si="4"/>
        <v>5.5</v>
      </c>
      <c r="AF188" s="18" t="s">
        <v>304</v>
      </c>
      <c r="AG188" s="19">
        <v>6.0</v>
      </c>
      <c r="AH188" s="19">
        <f t="shared" si="5"/>
        <v>182</v>
      </c>
      <c r="AI188" s="18"/>
    </row>
    <row r="189" ht="15.75" customHeight="1">
      <c r="A189" s="25">
        <f t="shared" si="1"/>
        <v>182</v>
      </c>
      <c r="B189" s="27">
        <f>ROUND(Guida!$B$22*H189/Guida!$B$29+Guida!$B$23*MAX(0,MIN(1,(AE189-5.4)/1.6))+Guida!$B$24*0+Guida!$B$25*0,1)</f>
        <v>1.8</v>
      </c>
      <c r="C189" s="28" t="s">
        <v>1206</v>
      </c>
      <c r="D189" s="25" t="s">
        <v>264</v>
      </c>
      <c r="E189" s="29" t="s">
        <v>324</v>
      </c>
      <c r="F189" s="30">
        <v>1.0</v>
      </c>
      <c r="G189" s="30">
        <v>1.0</v>
      </c>
      <c r="H189" s="30">
        <v>1.0</v>
      </c>
      <c r="I189" s="30">
        <f>MAX(1,ROUND(H189^Guida!$B$18*Guida!$F$12,0))</f>
        <v>1</v>
      </c>
      <c r="J189" s="30">
        <f t="shared" si="2"/>
        <v>2</v>
      </c>
      <c r="K189" s="25" t="str">
        <f t="shared" si="3"/>
        <v>Scommessa</v>
      </c>
      <c r="L189" s="25" t="s">
        <v>332</v>
      </c>
      <c r="M189" s="29" t="s">
        <v>338</v>
      </c>
      <c r="N189" s="25" t="s">
        <v>71</v>
      </c>
      <c r="O189" s="25" t="s">
        <v>71</v>
      </c>
      <c r="P189" s="30"/>
      <c r="Q189" s="32"/>
      <c r="R189" s="32"/>
      <c r="S189" s="30"/>
      <c r="T189" s="30"/>
      <c r="U189" s="25"/>
      <c r="V189" s="30"/>
      <c r="W189" s="30"/>
      <c r="X189" s="30">
        <v>0.0</v>
      </c>
      <c r="Y189" s="32"/>
      <c r="Z189" s="32"/>
      <c r="AA189" s="30"/>
      <c r="AB189" s="30"/>
      <c r="AC189" s="25" t="s">
        <v>71</v>
      </c>
      <c r="AD189" s="25" t="s">
        <v>103</v>
      </c>
      <c r="AE189" s="32">
        <f t="shared" si="4"/>
        <v>5.5</v>
      </c>
      <c r="AF189" s="29" t="s">
        <v>270</v>
      </c>
      <c r="AG189" s="30">
        <v>6.0</v>
      </c>
      <c r="AH189" s="30">
        <f t="shared" si="5"/>
        <v>182</v>
      </c>
      <c r="AI189" s="29"/>
    </row>
    <row r="190" ht="15.75" customHeight="1">
      <c r="A190" s="11">
        <f t="shared" si="1"/>
        <v>182</v>
      </c>
      <c r="B190" s="16">
        <f>ROUND(Guida!$B$22*H190/Guida!$B$29+Guida!$B$23*MAX(0,MIN(1,(AE190-5.4)/1.6))+Guida!$B$24*0+Guida!$B$25*0,1)</f>
        <v>1.8</v>
      </c>
      <c r="C190" s="17" t="s">
        <v>1208</v>
      </c>
      <c r="D190" s="11" t="s">
        <v>272</v>
      </c>
      <c r="E190" s="18" t="s">
        <v>324</v>
      </c>
      <c r="F190" s="19">
        <v>1.0</v>
      </c>
      <c r="G190" s="19">
        <v>1.0</v>
      </c>
      <c r="H190" s="19">
        <v>1.0</v>
      </c>
      <c r="I190" s="19">
        <f>MAX(1,ROUND(H190^Guida!$B$18*Guida!$F$12,0))</f>
        <v>1</v>
      </c>
      <c r="J190" s="19">
        <f t="shared" si="2"/>
        <v>2</v>
      </c>
      <c r="K190" s="11" t="str">
        <f t="shared" si="3"/>
        <v>Scommessa</v>
      </c>
      <c r="L190" s="11" t="s">
        <v>332</v>
      </c>
      <c r="M190" s="18" t="s">
        <v>338</v>
      </c>
      <c r="N190" s="11" t="s">
        <v>71</v>
      </c>
      <c r="O190" s="11" t="s">
        <v>71</v>
      </c>
      <c r="P190" s="19"/>
      <c r="Q190" s="22"/>
      <c r="R190" s="22"/>
      <c r="S190" s="19"/>
      <c r="T190" s="19"/>
      <c r="U190" s="11"/>
      <c r="V190" s="19"/>
      <c r="W190" s="19"/>
      <c r="X190" s="19">
        <v>0.0</v>
      </c>
      <c r="Y190" s="22"/>
      <c r="Z190" s="22"/>
      <c r="AA190" s="19"/>
      <c r="AB190" s="19"/>
      <c r="AC190" s="11" t="s">
        <v>71</v>
      </c>
      <c r="AD190" s="11" t="s">
        <v>103</v>
      </c>
      <c r="AE190" s="22">
        <f t="shared" si="4"/>
        <v>5.5</v>
      </c>
      <c r="AF190" s="18" t="s">
        <v>288</v>
      </c>
      <c r="AG190" s="19">
        <v>6.0</v>
      </c>
      <c r="AH190" s="19">
        <f t="shared" si="5"/>
        <v>182</v>
      </c>
      <c r="AI190" s="18"/>
    </row>
    <row r="191" ht="15.75" customHeight="1">
      <c r="A191" s="25">
        <f t="shared" si="1"/>
        <v>182</v>
      </c>
      <c r="B191" s="27">
        <f>ROUND(Guida!$B$22*H191/Guida!$B$29+Guida!$B$23*MAX(0,MIN(1,(AE191-5.4)/1.6))+Guida!$B$24*0+Guida!$B$25*0,1)</f>
        <v>1.8</v>
      </c>
      <c r="C191" s="28" t="s">
        <v>1211</v>
      </c>
      <c r="D191" s="25" t="s">
        <v>261</v>
      </c>
      <c r="E191" s="29" t="s">
        <v>137</v>
      </c>
      <c r="F191" s="30">
        <v>1.0</v>
      </c>
      <c r="G191" s="30">
        <v>1.0</v>
      </c>
      <c r="H191" s="30">
        <v>1.0</v>
      </c>
      <c r="I191" s="30">
        <f>MAX(1,ROUND(H191^Guida!$B$18*Guida!$F$12,0))</f>
        <v>1</v>
      </c>
      <c r="J191" s="30">
        <f t="shared" si="2"/>
        <v>2</v>
      </c>
      <c r="K191" s="25" t="str">
        <f t="shared" si="3"/>
        <v>Scommessa</v>
      </c>
      <c r="L191" s="25" t="s">
        <v>332</v>
      </c>
      <c r="M191" s="29" t="s">
        <v>338</v>
      </c>
      <c r="N191" s="25" t="s">
        <v>71</v>
      </c>
      <c r="O191" s="25" t="s">
        <v>71</v>
      </c>
      <c r="P191" s="30"/>
      <c r="Q191" s="32"/>
      <c r="R191" s="32"/>
      <c r="S191" s="30"/>
      <c r="T191" s="30"/>
      <c r="U191" s="25"/>
      <c r="V191" s="30"/>
      <c r="W191" s="30"/>
      <c r="X191" s="30">
        <v>0.0</v>
      </c>
      <c r="Y191" s="32"/>
      <c r="Z191" s="32"/>
      <c r="AA191" s="30"/>
      <c r="AB191" s="30"/>
      <c r="AC191" s="25" t="s">
        <v>71</v>
      </c>
      <c r="AD191" s="25" t="s">
        <v>103</v>
      </c>
      <c r="AE191" s="32">
        <f t="shared" si="4"/>
        <v>5.5</v>
      </c>
      <c r="AF191" s="29" t="s">
        <v>311</v>
      </c>
      <c r="AG191" s="30">
        <v>5.0</v>
      </c>
      <c r="AH191" s="30">
        <f t="shared" si="5"/>
        <v>182</v>
      </c>
      <c r="AI191" s="29"/>
    </row>
    <row r="192" ht="15.75" customHeight="1">
      <c r="A192" s="11">
        <f t="shared" si="1"/>
        <v>182</v>
      </c>
      <c r="B192" s="16">
        <f>ROUND(Guida!$B$22*H192/Guida!$B$29+Guida!$B$23*MAX(0,MIN(1,(AE192-5.4)/1.6))+Guida!$B$24*0+Guida!$B$25*0,1)</f>
        <v>1.8</v>
      </c>
      <c r="C192" s="17" t="s">
        <v>675</v>
      </c>
      <c r="D192" s="11" t="s">
        <v>253</v>
      </c>
      <c r="E192" s="18" t="s">
        <v>259</v>
      </c>
      <c r="F192" s="19">
        <v>1.0</v>
      </c>
      <c r="G192" s="19">
        <v>1.0</v>
      </c>
      <c r="H192" s="19">
        <v>1.0</v>
      </c>
      <c r="I192" s="19">
        <f>MAX(1,ROUND(H192^Guida!$B$18*Guida!$F$12,0))</f>
        <v>1</v>
      </c>
      <c r="J192" s="19">
        <f t="shared" si="2"/>
        <v>2</v>
      </c>
      <c r="K192" s="11" t="str">
        <f t="shared" si="3"/>
        <v>Scommessa</v>
      </c>
      <c r="L192" s="11" t="s">
        <v>332</v>
      </c>
      <c r="M192" s="36" t="s">
        <v>457</v>
      </c>
      <c r="N192" s="11" t="s">
        <v>71</v>
      </c>
      <c r="O192" s="11" t="s">
        <v>71</v>
      </c>
      <c r="P192" s="19"/>
      <c r="Q192" s="22"/>
      <c r="R192" s="22"/>
      <c r="S192" s="19"/>
      <c r="T192" s="19"/>
      <c r="U192" s="11"/>
      <c r="V192" s="19"/>
      <c r="W192" s="19"/>
      <c r="X192" s="19">
        <v>0.0</v>
      </c>
      <c r="Y192" s="22"/>
      <c r="Z192" s="22"/>
      <c r="AA192" s="19"/>
      <c r="AB192" s="19"/>
      <c r="AC192" s="11" t="s">
        <v>253</v>
      </c>
      <c r="AD192" s="11" t="s">
        <v>73</v>
      </c>
      <c r="AE192" s="22">
        <f t="shared" si="4"/>
        <v>5.5</v>
      </c>
      <c r="AF192" s="18" t="s">
        <v>196</v>
      </c>
      <c r="AG192" s="19">
        <v>4.0</v>
      </c>
      <c r="AH192" s="19">
        <f t="shared" si="5"/>
        <v>182</v>
      </c>
      <c r="AI192" s="18" t="s">
        <v>676</v>
      </c>
    </row>
    <row r="193" ht="15.75" customHeight="1"/>
    <row r="194" ht="15.75" customHeight="1">
      <c r="A194" s="39" t="s">
        <v>493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I$192"/>
  <conditionalFormatting sqref="B4:B19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4:AG19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4:L192">
    <cfRule type="cellIs" dxfId="0" priority="3" operator="equal">
      <formula>"Titolare"</formula>
    </cfRule>
  </conditionalFormatting>
  <conditionalFormatting sqref="L4:L192">
    <cfRule type="cellIs" dxfId="1" priority="4" operator="equal">
      <formula>"Riserva"</formula>
    </cfRule>
  </conditionalFormatting>
  <conditionalFormatting sqref="N4:N192">
    <cfRule type="cellIs" dxfId="2" priority="5" operator="equal">
      <formula>"1o"</formula>
    </cfRule>
  </conditionalFormatting>
  <conditionalFormatting sqref="X4:X192">
    <cfRule type="colorScale" priority="6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21.0"/>
    <col customWidth="1" min="4" max="4" width="12.0"/>
    <col customWidth="1" min="5" max="5" width="24.0"/>
    <col customWidth="1" min="6" max="7" width="6.0"/>
    <col customWidth="1" min="8" max="8" width="7.0"/>
    <col customWidth="1" min="9" max="9" width="11.0"/>
    <col customWidth="1" min="10" max="10" width="9.0"/>
    <col customWidth="1" min="11" max="11" width="11.0"/>
    <col customWidth="1" min="12" max="12" width="15.0"/>
    <col customWidth="1" min="13" max="13" width="34.0"/>
    <col customWidth="1" min="14" max="14" width="10.0"/>
    <col customWidth="1" min="15" max="15" width="12.0"/>
    <col customWidth="1" min="16" max="18" width="9.0"/>
    <col customWidth="1" min="19" max="19" width="8.0"/>
    <col customWidth="1" min="20" max="20" width="9.0"/>
    <col customWidth="1" min="21" max="21" width="11.0"/>
    <col customWidth="1" min="22" max="23" width="8.0"/>
    <col customWidth="1" min="24" max="24" width="10.0"/>
    <col customWidth="1" min="25" max="28" width="9.0"/>
    <col customWidth="1" min="29" max="29" width="13.0"/>
    <col customWidth="1" min="30" max="31" width="12.0"/>
    <col customWidth="1" min="32" max="32" width="27.0"/>
    <col customWidth="1" min="33" max="34" width="12.0"/>
    <col customWidth="1" min="35" max="35" width="70.0"/>
  </cols>
  <sheetData>
    <row r="1">
      <c r="A1" s="2" t="s">
        <v>4</v>
      </c>
    </row>
    <row r="2">
      <c r="A2" s="4" t="s">
        <v>8</v>
      </c>
    </row>
    <row r="3" ht="33.75" customHeight="1">
      <c r="A3" s="6" t="s">
        <v>7</v>
      </c>
      <c r="B3" s="6" t="s">
        <v>9</v>
      </c>
      <c r="C3" s="6" t="s">
        <v>10</v>
      </c>
      <c r="D3" s="6" t="s">
        <v>11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22</v>
      </c>
      <c r="N3" s="6" t="s">
        <v>23</v>
      </c>
      <c r="O3" s="6" t="s">
        <v>24</v>
      </c>
      <c r="P3" s="6" t="s">
        <v>25</v>
      </c>
      <c r="Q3" s="6" t="s">
        <v>26</v>
      </c>
      <c r="R3" s="6" t="s">
        <v>28</v>
      </c>
      <c r="S3" s="6" t="s">
        <v>29</v>
      </c>
      <c r="T3" s="6" t="s">
        <v>30</v>
      </c>
      <c r="U3" s="6" t="s">
        <v>32</v>
      </c>
      <c r="V3" s="6" t="s">
        <v>34</v>
      </c>
      <c r="W3" s="6" t="s">
        <v>35</v>
      </c>
      <c r="X3" s="6" t="s">
        <v>36</v>
      </c>
      <c r="Y3" s="6" t="s">
        <v>38</v>
      </c>
      <c r="Z3" s="6" t="s">
        <v>39</v>
      </c>
      <c r="AA3" s="6" t="s">
        <v>40</v>
      </c>
      <c r="AB3" s="6" t="s">
        <v>41</v>
      </c>
      <c r="AC3" s="6" t="s">
        <v>42</v>
      </c>
      <c r="AD3" s="6" t="s">
        <v>43</v>
      </c>
      <c r="AE3" s="6" t="s">
        <v>44</v>
      </c>
      <c r="AF3" s="6" t="s">
        <v>45</v>
      </c>
      <c r="AG3" s="6" t="s">
        <v>46</v>
      </c>
      <c r="AH3" s="6" t="s">
        <v>47</v>
      </c>
      <c r="AI3" s="6" t="s">
        <v>48</v>
      </c>
    </row>
    <row r="4">
      <c r="A4" s="11">
        <f t="shared" ref="A4:A196" si="1">RANK(B4,$B$4:$B$196)</f>
        <v>1</v>
      </c>
      <c r="B4" s="16">
        <f>ROUND(Guida!$B$22*H4/Guida!$B$30+Guida!$B$23*MAX(0,MIN(1,(AE4-5.4)/1.6))+Guida!$B$24*1+Guida!$B$25*1,1)</f>
        <v>99.5</v>
      </c>
      <c r="C4" s="17" t="s">
        <v>66</v>
      </c>
      <c r="D4" s="11" t="s">
        <v>64</v>
      </c>
      <c r="E4" s="18" t="s">
        <v>69</v>
      </c>
      <c r="F4" s="19">
        <v>27.0</v>
      </c>
      <c r="G4" s="19">
        <v>28.0</v>
      </c>
      <c r="H4" s="19">
        <v>243.0</v>
      </c>
      <c r="I4" s="19">
        <f>MAX(1,ROUND(H4^Guida!$B$18*Guida!$F$13,0))</f>
        <v>49</v>
      </c>
      <c r="J4" s="19">
        <f t="shared" ref="J4:J196" si="2">MAX(2,ROUND(I4*1.2,0))</f>
        <v>59</v>
      </c>
      <c r="K4" s="11" t="str">
        <f t="shared" ref="K4:K196" si="3">IF(I4&gt;=60,"Top",IF(I4&gt;=30,"1a fascia",IF(I4&gt;=15,"2a fascia",IF(I4&gt;=7,"3a fascia",IF(I4&gt;=3,"4a fascia","Scommessa")))))</f>
        <v>1a fascia</v>
      </c>
      <c r="L4" s="11" t="s">
        <v>68</v>
      </c>
      <c r="M4" s="21" t="s">
        <v>70</v>
      </c>
      <c r="N4" s="11" t="s">
        <v>84</v>
      </c>
      <c r="O4" s="11" t="s">
        <v>84</v>
      </c>
      <c r="P4" s="19">
        <v>22.0</v>
      </c>
      <c r="Q4" s="22">
        <v>6.52</v>
      </c>
      <c r="R4" s="22">
        <v>7.64</v>
      </c>
      <c r="S4" s="19">
        <v>9.0</v>
      </c>
      <c r="T4" s="19">
        <v>4.0</v>
      </c>
      <c r="U4" s="11" t="s">
        <v>91</v>
      </c>
      <c r="V4" s="19">
        <v>7.0</v>
      </c>
      <c r="W4" s="19">
        <v>0.0</v>
      </c>
      <c r="X4" s="19">
        <v>2.0</v>
      </c>
      <c r="Y4" s="22">
        <v>7.0</v>
      </c>
      <c r="Z4" s="22">
        <v>9.75</v>
      </c>
      <c r="AA4" s="19">
        <v>2.0</v>
      </c>
      <c r="AB4" s="19">
        <v>0.0</v>
      </c>
      <c r="AC4" s="11" t="s">
        <v>64</v>
      </c>
      <c r="AD4" s="11" t="s">
        <v>73</v>
      </c>
      <c r="AE4" s="22">
        <f t="shared" ref="AE4:AE196" si="4">ROUND(IF(P4="",5.5,R4*MIN(1,P4/25)+5.5*(1-MIN(1,P4/25))),2)</f>
        <v>7.38</v>
      </c>
      <c r="AF4" s="18" t="s">
        <v>106</v>
      </c>
      <c r="AG4" s="19">
        <v>0.0</v>
      </c>
      <c r="AH4" s="19">
        <f t="shared" ref="AH4:AH196" si="5">RANK(H4,$H$4:$H$196)</f>
        <v>2</v>
      </c>
      <c r="AI4" s="18"/>
    </row>
    <row r="5">
      <c r="A5" s="25">
        <f t="shared" si="1"/>
        <v>2</v>
      </c>
      <c r="B5" s="27">
        <f>ROUND(Guida!$B$22*H5/Guida!$B$30+Guida!$B$23*MAX(0,MIN(1,(AE5-5.4)/1.6))+Guida!$B$24*0.35+Guida!$B$25*1,1)</f>
        <v>93.5</v>
      </c>
      <c r="C5" s="28" t="s">
        <v>130</v>
      </c>
      <c r="D5" s="25" t="s">
        <v>133</v>
      </c>
      <c r="E5" s="29" t="s">
        <v>134</v>
      </c>
      <c r="F5" s="30">
        <v>30.0</v>
      </c>
      <c r="G5" s="30">
        <v>29.0</v>
      </c>
      <c r="H5" s="30">
        <v>245.0</v>
      </c>
      <c r="I5" s="30">
        <f>MAX(1,ROUND(H5^Guida!$B$18*Guida!$F$13,0))</f>
        <v>49</v>
      </c>
      <c r="J5" s="30">
        <f t="shared" si="2"/>
        <v>59</v>
      </c>
      <c r="K5" s="25" t="str">
        <f t="shared" si="3"/>
        <v>1a fascia</v>
      </c>
      <c r="L5" s="25" t="s">
        <v>68</v>
      </c>
      <c r="M5" s="21" t="s">
        <v>70</v>
      </c>
      <c r="N5" s="25" t="s">
        <v>160</v>
      </c>
      <c r="O5" s="25" t="s">
        <v>84</v>
      </c>
      <c r="P5" s="30">
        <v>35.0</v>
      </c>
      <c r="Q5" s="32">
        <v>6.37</v>
      </c>
      <c r="R5" s="32">
        <v>7.3</v>
      </c>
      <c r="S5" s="30">
        <v>12.0</v>
      </c>
      <c r="T5" s="30">
        <v>5.0</v>
      </c>
      <c r="U5" s="25" t="s">
        <v>166</v>
      </c>
      <c r="V5" s="30">
        <v>5.0</v>
      </c>
      <c r="W5" s="30">
        <v>0.0</v>
      </c>
      <c r="X5" s="30">
        <v>2.0</v>
      </c>
      <c r="Y5" s="32">
        <v>5.75</v>
      </c>
      <c r="Z5" s="32">
        <v>5.75</v>
      </c>
      <c r="AA5" s="30">
        <v>0.0</v>
      </c>
      <c r="AB5" s="30">
        <v>0.0</v>
      </c>
      <c r="AC5" s="25" t="s">
        <v>133</v>
      </c>
      <c r="AD5" s="25" t="s">
        <v>73</v>
      </c>
      <c r="AE5" s="32">
        <f t="shared" si="4"/>
        <v>7.3</v>
      </c>
      <c r="AF5" s="29" t="s">
        <v>176</v>
      </c>
      <c r="AG5" s="30">
        <v>7.0</v>
      </c>
      <c r="AH5" s="30">
        <f t="shared" si="5"/>
        <v>1</v>
      </c>
      <c r="AI5" s="29"/>
    </row>
    <row r="6">
      <c r="A6" s="11">
        <f t="shared" si="1"/>
        <v>3</v>
      </c>
      <c r="B6" s="16">
        <f>ROUND(Guida!$B$22*H6/Guida!$B$30+Guida!$B$23*MAX(0,MIN(1,(AE6-5.4)/1.6))+Guida!$B$24*1+Guida!$B$25*1,1)</f>
        <v>79.6</v>
      </c>
      <c r="C6" s="17" t="s">
        <v>180</v>
      </c>
      <c r="D6" s="11" t="s">
        <v>182</v>
      </c>
      <c r="E6" s="18" t="s">
        <v>183</v>
      </c>
      <c r="F6" s="19">
        <v>26.0</v>
      </c>
      <c r="G6" s="19">
        <v>25.0</v>
      </c>
      <c r="H6" s="19">
        <v>177.0</v>
      </c>
      <c r="I6" s="19">
        <f>MAX(1,ROUND(H6^Guida!$B$18*Guida!$F$13,0))</f>
        <v>40</v>
      </c>
      <c r="J6" s="19">
        <f t="shared" si="2"/>
        <v>48</v>
      </c>
      <c r="K6" s="11" t="str">
        <f t="shared" si="3"/>
        <v>1a fascia</v>
      </c>
      <c r="L6" s="11" t="s">
        <v>68</v>
      </c>
      <c r="M6" s="36" t="s">
        <v>187</v>
      </c>
      <c r="N6" s="11" t="s">
        <v>84</v>
      </c>
      <c r="O6" s="11" t="s">
        <v>84</v>
      </c>
      <c r="P6" s="19">
        <v>34.0</v>
      </c>
      <c r="Q6" s="22">
        <v>6.06</v>
      </c>
      <c r="R6" s="22">
        <v>6.76</v>
      </c>
      <c r="S6" s="19">
        <v>10.0</v>
      </c>
      <c r="T6" s="19">
        <v>1.0</v>
      </c>
      <c r="U6" s="11" t="s">
        <v>190</v>
      </c>
      <c r="V6" s="19">
        <v>2.0</v>
      </c>
      <c r="W6" s="19">
        <v>0.0</v>
      </c>
      <c r="X6" s="19">
        <v>2.0</v>
      </c>
      <c r="Y6" s="22">
        <v>5.75</v>
      </c>
      <c r="Z6" s="22">
        <v>5.75</v>
      </c>
      <c r="AA6" s="19">
        <v>0.0</v>
      </c>
      <c r="AB6" s="19">
        <v>0.0</v>
      </c>
      <c r="AC6" s="11" t="s">
        <v>182</v>
      </c>
      <c r="AD6" s="11" t="s">
        <v>73</v>
      </c>
      <c r="AE6" s="22">
        <f t="shared" si="4"/>
        <v>6.76</v>
      </c>
      <c r="AF6" s="18" t="s">
        <v>176</v>
      </c>
      <c r="AG6" s="19">
        <v>6.0</v>
      </c>
      <c r="AH6" s="19">
        <f t="shared" si="5"/>
        <v>4</v>
      </c>
      <c r="AI6" s="18" t="s">
        <v>192</v>
      </c>
    </row>
    <row r="7">
      <c r="A7" s="25">
        <f t="shared" si="1"/>
        <v>4</v>
      </c>
      <c r="B7" s="27">
        <f>ROUND(Guida!$B$22*H7/Guida!$B$30+Guida!$B$23*MAX(0,MIN(1,(AE7-5.4)/1.6))+Guida!$B$24*0+Guida!$B$25*0,1)</f>
        <v>78.9</v>
      </c>
      <c r="C7" s="28" t="s">
        <v>197</v>
      </c>
      <c r="D7" s="25" t="s">
        <v>191</v>
      </c>
      <c r="E7" s="29" t="s">
        <v>198</v>
      </c>
      <c r="F7" s="30">
        <v>28.0</v>
      </c>
      <c r="G7" s="30">
        <v>27.0</v>
      </c>
      <c r="H7" s="30">
        <v>220.0</v>
      </c>
      <c r="I7" s="30">
        <f>MAX(1,ROUND(H7^Guida!$B$18*Guida!$F$13,0))</f>
        <v>46</v>
      </c>
      <c r="J7" s="30">
        <f t="shared" si="2"/>
        <v>55</v>
      </c>
      <c r="K7" s="25" t="str">
        <f t="shared" si="3"/>
        <v>1a fascia</v>
      </c>
      <c r="L7" s="25" t="s">
        <v>68</v>
      </c>
      <c r="M7" s="36" t="s">
        <v>201</v>
      </c>
      <c r="N7" s="25" t="s">
        <v>71</v>
      </c>
      <c r="O7" s="25" t="s">
        <v>71</v>
      </c>
      <c r="P7" s="30">
        <v>33.0</v>
      </c>
      <c r="Q7" s="32">
        <v>6.39</v>
      </c>
      <c r="R7" s="32">
        <v>7.26</v>
      </c>
      <c r="S7" s="30">
        <v>10.0</v>
      </c>
      <c r="T7" s="30">
        <v>2.0</v>
      </c>
      <c r="U7" s="25" t="s">
        <v>202</v>
      </c>
      <c r="V7" s="30">
        <v>1.0</v>
      </c>
      <c r="W7" s="30">
        <v>0.0</v>
      </c>
      <c r="X7" s="30">
        <v>2.0</v>
      </c>
      <c r="Y7" s="32">
        <v>5.75</v>
      </c>
      <c r="Z7" s="32">
        <v>5.75</v>
      </c>
      <c r="AA7" s="30">
        <v>0.0</v>
      </c>
      <c r="AB7" s="30">
        <v>0.0</v>
      </c>
      <c r="AC7" s="25" t="s">
        <v>191</v>
      </c>
      <c r="AD7" s="25" t="s">
        <v>73</v>
      </c>
      <c r="AE7" s="32">
        <f t="shared" si="4"/>
        <v>7.26</v>
      </c>
      <c r="AF7" s="29" t="s">
        <v>203</v>
      </c>
      <c r="AG7" s="30">
        <v>6.0</v>
      </c>
      <c r="AH7" s="30">
        <f t="shared" si="5"/>
        <v>3</v>
      </c>
      <c r="AI7" s="29" t="s">
        <v>205</v>
      </c>
    </row>
    <row r="8">
      <c r="A8" s="11">
        <f t="shared" si="1"/>
        <v>5</v>
      </c>
      <c r="B8" s="16">
        <f>ROUND(Guida!$B$22*H8/Guida!$B$30+Guida!$B$23*MAX(0,MIN(1,(AE8-5.4)/1.6))+Guida!$B$24*0.6+Guida!$B$25*0.6,1)</f>
        <v>70.7</v>
      </c>
      <c r="C8" s="17" t="s">
        <v>209</v>
      </c>
      <c r="D8" s="11" t="s">
        <v>175</v>
      </c>
      <c r="E8" s="18" t="s">
        <v>134</v>
      </c>
      <c r="F8" s="19">
        <v>25.0</v>
      </c>
      <c r="G8" s="19">
        <v>24.0</v>
      </c>
      <c r="H8" s="19">
        <v>150.0</v>
      </c>
      <c r="I8" s="19">
        <f>MAX(1,ROUND(H8^Guida!$B$18*Guida!$F$13,0))</f>
        <v>37</v>
      </c>
      <c r="J8" s="19">
        <f t="shared" si="2"/>
        <v>44</v>
      </c>
      <c r="K8" s="11" t="str">
        <f t="shared" si="3"/>
        <v>1a fascia</v>
      </c>
      <c r="L8" s="11" t="s">
        <v>68</v>
      </c>
      <c r="M8" s="37" t="s">
        <v>146</v>
      </c>
      <c r="N8" s="11" t="s">
        <v>77</v>
      </c>
      <c r="O8" s="11" t="s">
        <v>77</v>
      </c>
      <c r="P8" s="19">
        <v>27.0</v>
      </c>
      <c r="Q8" s="22">
        <v>6.15</v>
      </c>
      <c r="R8" s="22">
        <v>7.07</v>
      </c>
      <c r="S8" s="19">
        <v>8.0</v>
      </c>
      <c r="T8" s="19">
        <v>4.0</v>
      </c>
      <c r="U8" s="11" t="s">
        <v>202</v>
      </c>
      <c r="V8" s="19">
        <v>0.0</v>
      </c>
      <c r="W8" s="19">
        <v>0.0</v>
      </c>
      <c r="X8" s="19">
        <v>0.0</v>
      </c>
      <c r="Y8" s="22"/>
      <c r="Z8" s="22"/>
      <c r="AA8" s="19"/>
      <c r="AB8" s="19"/>
      <c r="AC8" s="11" t="s">
        <v>175</v>
      </c>
      <c r="AD8" s="11" t="s">
        <v>73</v>
      </c>
      <c r="AE8" s="22">
        <f t="shared" si="4"/>
        <v>7.07</v>
      </c>
      <c r="AF8" s="18" t="s">
        <v>216</v>
      </c>
      <c r="AG8" s="19">
        <v>0.0</v>
      </c>
      <c r="AH8" s="19">
        <f t="shared" si="5"/>
        <v>5</v>
      </c>
      <c r="AI8" s="18"/>
    </row>
    <row r="9">
      <c r="A9" s="25">
        <f t="shared" si="1"/>
        <v>6</v>
      </c>
      <c r="B9" s="27">
        <f>ROUND(Guida!$B$22*H9/Guida!$B$30+Guida!$B$23*MAX(0,MIN(1,(AE9-5.4)/1.6))+Guida!$B$24*1+Guida!$B$25*1,1)</f>
        <v>61.4</v>
      </c>
      <c r="C9" s="28" t="s">
        <v>221</v>
      </c>
      <c r="D9" s="25" t="s">
        <v>191</v>
      </c>
      <c r="E9" s="29" t="s">
        <v>222</v>
      </c>
      <c r="F9" s="30">
        <v>15.0</v>
      </c>
      <c r="G9" s="30">
        <v>17.0</v>
      </c>
      <c r="H9" s="30">
        <v>108.0</v>
      </c>
      <c r="I9" s="30">
        <f>MAX(1,ROUND(H9^Guida!$B$18*Guida!$F$13,0))</f>
        <v>30</v>
      </c>
      <c r="J9" s="30">
        <f t="shared" si="2"/>
        <v>36</v>
      </c>
      <c r="K9" s="25" t="str">
        <f t="shared" si="3"/>
        <v>1a fascia</v>
      </c>
      <c r="L9" s="25" t="s">
        <v>68</v>
      </c>
      <c r="M9" s="21" t="s">
        <v>70</v>
      </c>
      <c r="N9" s="25" t="s">
        <v>84</v>
      </c>
      <c r="O9" s="25" t="s">
        <v>84</v>
      </c>
      <c r="P9" s="30">
        <v>17.0</v>
      </c>
      <c r="Q9" s="32">
        <v>6.26</v>
      </c>
      <c r="R9" s="32">
        <v>7.24</v>
      </c>
      <c r="S9" s="30">
        <v>5.0</v>
      </c>
      <c r="T9" s="30">
        <v>2.0</v>
      </c>
      <c r="U9" s="25" t="s">
        <v>225</v>
      </c>
      <c r="V9" s="30">
        <v>1.0</v>
      </c>
      <c r="W9" s="30">
        <v>0.0</v>
      </c>
      <c r="X9" s="30">
        <v>2.0</v>
      </c>
      <c r="Y9" s="32">
        <v>7.0</v>
      </c>
      <c r="Z9" s="32">
        <v>9.0</v>
      </c>
      <c r="AA9" s="30">
        <v>1.0</v>
      </c>
      <c r="AB9" s="30">
        <v>1.0</v>
      </c>
      <c r="AC9" s="25" t="s">
        <v>191</v>
      </c>
      <c r="AD9" s="25" t="s">
        <v>73</v>
      </c>
      <c r="AE9" s="32">
        <f t="shared" si="4"/>
        <v>6.68</v>
      </c>
      <c r="AF9" s="29" t="s">
        <v>203</v>
      </c>
      <c r="AG9" s="30">
        <v>6.0</v>
      </c>
      <c r="AH9" s="30">
        <f t="shared" si="5"/>
        <v>7</v>
      </c>
      <c r="AI9" s="29"/>
    </row>
    <row r="10">
      <c r="A10" s="11">
        <f t="shared" si="1"/>
        <v>7</v>
      </c>
      <c r="B10" s="16">
        <f>ROUND(Guida!$B$22*H10/Guida!$B$30+Guida!$B$23*MAX(0,MIN(1,(AE10-5.4)/1.6))+Guida!$B$24*0+Guida!$B$25*0,1)</f>
        <v>60.2</v>
      </c>
      <c r="C10" s="17" t="s">
        <v>233</v>
      </c>
      <c r="D10" s="11" t="s">
        <v>175</v>
      </c>
      <c r="E10" s="18" t="s">
        <v>198</v>
      </c>
      <c r="F10" s="19">
        <v>22.0</v>
      </c>
      <c r="G10" s="19">
        <v>23.0</v>
      </c>
      <c r="H10" s="19">
        <v>145.0</v>
      </c>
      <c r="I10" s="19">
        <f>MAX(1,ROUND(H10^Guida!$B$18*Guida!$F$13,0))</f>
        <v>36</v>
      </c>
      <c r="J10" s="19">
        <f t="shared" si="2"/>
        <v>43</v>
      </c>
      <c r="K10" s="11" t="str">
        <f t="shared" si="3"/>
        <v>1a fascia</v>
      </c>
      <c r="L10" s="11" t="s">
        <v>68</v>
      </c>
      <c r="M10" s="21" t="s">
        <v>70</v>
      </c>
      <c r="N10" s="11" t="s">
        <v>71</v>
      </c>
      <c r="O10" s="11" t="s">
        <v>71</v>
      </c>
      <c r="P10" s="19">
        <v>29.0</v>
      </c>
      <c r="Q10" s="22">
        <v>6.33</v>
      </c>
      <c r="R10" s="22">
        <v>6.98</v>
      </c>
      <c r="S10" s="19">
        <v>6.0</v>
      </c>
      <c r="T10" s="19">
        <v>4.0</v>
      </c>
      <c r="U10" s="11" t="s">
        <v>72</v>
      </c>
      <c r="V10" s="19">
        <v>4.0</v>
      </c>
      <c r="W10" s="19">
        <v>1.0</v>
      </c>
      <c r="X10" s="19">
        <v>2.0</v>
      </c>
      <c r="Y10" s="22">
        <v>6.75</v>
      </c>
      <c r="Z10" s="22">
        <v>8.75</v>
      </c>
      <c r="AA10" s="19">
        <v>1.0</v>
      </c>
      <c r="AB10" s="19">
        <v>1.0</v>
      </c>
      <c r="AC10" s="11" t="s">
        <v>175</v>
      </c>
      <c r="AD10" s="11" t="s">
        <v>73</v>
      </c>
      <c r="AE10" s="22">
        <f t="shared" si="4"/>
        <v>6.98</v>
      </c>
      <c r="AF10" s="18" t="s">
        <v>216</v>
      </c>
      <c r="AG10" s="19">
        <v>0.0</v>
      </c>
      <c r="AH10" s="19">
        <f t="shared" si="5"/>
        <v>6</v>
      </c>
      <c r="AI10" s="18"/>
    </row>
    <row r="11">
      <c r="A11" s="25">
        <f t="shared" si="1"/>
        <v>8</v>
      </c>
      <c r="B11" s="27">
        <f>ROUND(Guida!$B$22*H11/Guida!$B$30+Guida!$B$23*MAX(0,MIN(1,(AE11-5.4)/1.6))+Guida!$B$24*1+Guida!$B$25*0,1)</f>
        <v>54.9</v>
      </c>
      <c r="C11" s="28" t="s">
        <v>246</v>
      </c>
      <c r="D11" s="25" t="s">
        <v>133</v>
      </c>
      <c r="E11" s="29" t="s">
        <v>198</v>
      </c>
      <c r="F11" s="30">
        <v>18.0</v>
      </c>
      <c r="G11" s="30">
        <v>18.0</v>
      </c>
      <c r="H11" s="30">
        <v>87.0</v>
      </c>
      <c r="I11" s="30">
        <f>MAX(1,ROUND(H11^Guida!$B$18*Guida!$F$13,0))</f>
        <v>26</v>
      </c>
      <c r="J11" s="30">
        <f t="shared" si="2"/>
        <v>31</v>
      </c>
      <c r="K11" s="25" t="str">
        <f t="shared" si="3"/>
        <v>2a fascia</v>
      </c>
      <c r="L11" s="25" t="s">
        <v>68</v>
      </c>
      <c r="M11" s="21" t="s">
        <v>70</v>
      </c>
      <c r="N11" s="25" t="s">
        <v>84</v>
      </c>
      <c r="O11" s="25" t="s">
        <v>71</v>
      </c>
      <c r="P11" s="30">
        <v>35.0</v>
      </c>
      <c r="Q11" s="32">
        <v>6.34</v>
      </c>
      <c r="R11" s="32">
        <v>6.91</v>
      </c>
      <c r="S11" s="30">
        <v>6.0</v>
      </c>
      <c r="T11" s="30">
        <v>4.0</v>
      </c>
      <c r="U11" s="25" t="s">
        <v>250</v>
      </c>
      <c r="V11" s="30">
        <v>4.0</v>
      </c>
      <c r="W11" s="30">
        <v>0.0</v>
      </c>
      <c r="X11" s="30">
        <v>2.0</v>
      </c>
      <c r="Y11" s="32">
        <v>6.25</v>
      </c>
      <c r="Z11" s="32">
        <v>6.25</v>
      </c>
      <c r="AA11" s="30">
        <v>0.0</v>
      </c>
      <c r="AB11" s="30">
        <v>0.0</v>
      </c>
      <c r="AC11" s="25" t="s">
        <v>133</v>
      </c>
      <c r="AD11" s="25" t="s">
        <v>73</v>
      </c>
      <c r="AE11" s="32">
        <f t="shared" si="4"/>
        <v>6.91</v>
      </c>
      <c r="AF11" s="29" t="s">
        <v>254</v>
      </c>
      <c r="AG11" s="30">
        <v>6.0</v>
      </c>
      <c r="AH11" s="30">
        <f t="shared" si="5"/>
        <v>10</v>
      </c>
      <c r="AI11" s="29"/>
    </row>
    <row r="12">
      <c r="A12" s="11">
        <f t="shared" si="1"/>
        <v>9</v>
      </c>
      <c r="B12" s="16">
        <f>ROUND(Guida!$B$22*H12/Guida!$B$30+Guida!$B$23*MAX(0,MIN(1,(AE12-5.4)/1.6))+Guida!$B$24*0+Guida!$B$25*0.6,1)</f>
        <v>53.7</v>
      </c>
      <c r="C12" s="17" t="s">
        <v>257</v>
      </c>
      <c r="D12" s="11" t="s">
        <v>133</v>
      </c>
      <c r="E12" s="18" t="s">
        <v>222</v>
      </c>
      <c r="F12" s="19">
        <v>19.0</v>
      </c>
      <c r="G12" s="19">
        <v>20.0</v>
      </c>
      <c r="H12" s="19">
        <v>105.0</v>
      </c>
      <c r="I12" s="19">
        <f>MAX(1,ROUND(H12^Guida!$B$18*Guida!$F$13,0))</f>
        <v>30</v>
      </c>
      <c r="J12" s="19">
        <f t="shared" si="2"/>
        <v>36</v>
      </c>
      <c r="K12" s="11" t="str">
        <f t="shared" si="3"/>
        <v>1a fascia</v>
      </c>
      <c r="L12" s="11" t="s">
        <v>68</v>
      </c>
      <c r="M12" s="21" t="s">
        <v>70</v>
      </c>
      <c r="N12" s="11" t="s">
        <v>71</v>
      </c>
      <c r="O12" s="11" t="s">
        <v>77</v>
      </c>
      <c r="P12" s="19">
        <v>25.0</v>
      </c>
      <c r="Q12" s="22">
        <v>6.3</v>
      </c>
      <c r="R12" s="22">
        <v>7.14</v>
      </c>
      <c r="S12" s="19">
        <v>6.0</v>
      </c>
      <c r="T12" s="19">
        <v>3.0</v>
      </c>
      <c r="U12" s="11" t="s">
        <v>72</v>
      </c>
      <c r="V12" s="19">
        <v>0.0</v>
      </c>
      <c r="W12" s="19">
        <v>0.0</v>
      </c>
      <c r="X12" s="19">
        <v>2.0</v>
      </c>
      <c r="Y12" s="22">
        <v>6.5</v>
      </c>
      <c r="Z12" s="22">
        <v>8.0</v>
      </c>
      <c r="AA12" s="19">
        <v>1.0</v>
      </c>
      <c r="AB12" s="19">
        <v>0.0</v>
      </c>
      <c r="AC12" s="11" t="s">
        <v>133</v>
      </c>
      <c r="AD12" s="11" t="s">
        <v>73</v>
      </c>
      <c r="AE12" s="22">
        <f t="shared" si="4"/>
        <v>7.14</v>
      </c>
      <c r="AF12" s="18" t="s">
        <v>254</v>
      </c>
      <c r="AG12" s="19">
        <v>6.0</v>
      </c>
      <c r="AH12" s="19">
        <f t="shared" si="5"/>
        <v>8</v>
      </c>
      <c r="AI12" s="18"/>
    </row>
    <row r="13">
      <c r="A13" s="25">
        <f t="shared" si="1"/>
        <v>10</v>
      </c>
      <c r="B13" s="27">
        <f>ROUND(Guida!$B$22*H13/Guida!$B$30+Guida!$B$23*MAX(0,MIN(1,(AE13-5.4)/1.6))+Guida!$B$24*1+Guida!$B$25*1,1)</f>
        <v>52.6</v>
      </c>
      <c r="C13" s="28" t="s">
        <v>267</v>
      </c>
      <c r="D13" s="25" t="s">
        <v>212</v>
      </c>
      <c r="E13" s="29" t="s">
        <v>222</v>
      </c>
      <c r="F13" s="30">
        <v>14.0</v>
      </c>
      <c r="G13" s="30">
        <v>13.0</v>
      </c>
      <c r="H13" s="30">
        <v>73.0</v>
      </c>
      <c r="I13" s="30">
        <f>MAX(1,ROUND(H13^Guida!$B$18*Guida!$F$13,0))</f>
        <v>24</v>
      </c>
      <c r="J13" s="30">
        <f t="shared" si="2"/>
        <v>29</v>
      </c>
      <c r="K13" s="25" t="str">
        <f t="shared" si="3"/>
        <v>2a fascia</v>
      </c>
      <c r="L13" s="25" t="s">
        <v>68</v>
      </c>
      <c r="M13" s="21" t="s">
        <v>70</v>
      </c>
      <c r="N13" s="25" t="s">
        <v>84</v>
      </c>
      <c r="O13" s="25" t="s">
        <v>84</v>
      </c>
      <c r="P13" s="30">
        <v>37.0</v>
      </c>
      <c r="Q13" s="32">
        <v>6.03</v>
      </c>
      <c r="R13" s="32">
        <v>6.66</v>
      </c>
      <c r="S13" s="30">
        <v>8.0</v>
      </c>
      <c r="T13" s="30">
        <v>3.0</v>
      </c>
      <c r="U13" s="25" t="s">
        <v>273</v>
      </c>
      <c r="V13" s="30">
        <v>7.0</v>
      </c>
      <c r="W13" s="30">
        <v>0.0</v>
      </c>
      <c r="X13" s="30">
        <v>2.0</v>
      </c>
      <c r="Y13" s="32">
        <v>5.25</v>
      </c>
      <c r="Z13" s="32">
        <v>5.25</v>
      </c>
      <c r="AA13" s="30">
        <v>0.0</v>
      </c>
      <c r="AB13" s="30">
        <v>0.0</v>
      </c>
      <c r="AC13" s="25" t="s">
        <v>212</v>
      </c>
      <c r="AD13" s="25" t="s">
        <v>73</v>
      </c>
      <c r="AE13" s="32">
        <f t="shared" si="4"/>
        <v>6.66</v>
      </c>
      <c r="AF13" s="29" t="s">
        <v>275</v>
      </c>
      <c r="AG13" s="30">
        <v>0.0</v>
      </c>
      <c r="AH13" s="30">
        <f t="shared" si="5"/>
        <v>16</v>
      </c>
      <c r="AI13" s="29"/>
    </row>
    <row r="14">
      <c r="A14" s="11">
        <f t="shared" si="1"/>
        <v>11</v>
      </c>
      <c r="B14" s="16">
        <f>ROUND(Guida!$B$22*H14/Guida!$B$30+Guida!$B$23*MAX(0,MIN(1,(AE14-5.4)/1.6))+Guida!$B$24*0.35+Guida!$B$25*1,1)</f>
        <v>49.5</v>
      </c>
      <c r="C14" s="17" t="s">
        <v>280</v>
      </c>
      <c r="D14" s="11" t="s">
        <v>185</v>
      </c>
      <c r="E14" s="18" t="s">
        <v>134</v>
      </c>
      <c r="F14" s="19">
        <v>18.0</v>
      </c>
      <c r="G14" s="19">
        <v>18.0</v>
      </c>
      <c r="H14" s="19">
        <v>80.0</v>
      </c>
      <c r="I14" s="19">
        <f>MAX(1,ROUND(H14^Guida!$B$18*Guida!$F$13,0))</f>
        <v>25</v>
      </c>
      <c r="J14" s="19">
        <f t="shared" si="2"/>
        <v>30</v>
      </c>
      <c r="K14" s="11" t="str">
        <f t="shared" si="3"/>
        <v>2a fascia</v>
      </c>
      <c r="L14" s="11" t="s">
        <v>68</v>
      </c>
      <c r="M14" s="36" t="s">
        <v>284</v>
      </c>
      <c r="N14" s="11" t="s">
        <v>160</v>
      </c>
      <c r="O14" s="11" t="s">
        <v>84</v>
      </c>
      <c r="P14" s="19">
        <v>31.0</v>
      </c>
      <c r="Q14" s="22">
        <v>6.26</v>
      </c>
      <c r="R14" s="22">
        <v>6.77</v>
      </c>
      <c r="S14" s="19">
        <v>5.0</v>
      </c>
      <c r="T14" s="19">
        <v>5.0</v>
      </c>
      <c r="U14" s="11" t="s">
        <v>72</v>
      </c>
      <c r="V14" s="19">
        <v>8.0</v>
      </c>
      <c r="W14" s="19">
        <v>0.0</v>
      </c>
      <c r="X14" s="19">
        <v>1.0</v>
      </c>
      <c r="Y14" s="22">
        <v>6.5</v>
      </c>
      <c r="Z14" s="22">
        <v>6.5</v>
      </c>
      <c r="AA14" s="19">
        <v>0.0</v>
      </c>
      <c r="AB14" s="19">
        <v>0.0</v>
      </c>
      <c r="AC14" s="11" t="s">
        <v>185</v>
      </c>
      <c r="AD14" s="11" t="s">
        <v>73</v>
      </c>
      <c r="AE14" s="22">
        <f t="shared" si="4"/>
        <v>6.77</v>
      </c>
      <c r="AF14" s="18" t="s">
        <v>106</v>
      </c>
      <c r="AG14" s="19">
        <v>7.0</v>
      </c>
      <c r="AH14" s="19">
        <f t="shared" si="5"/>
        <v>13</v>
      </c>
      <c r="AI14" s="18" t="s">
        <v>289</v>
      </c>
    </row>
    <row r="15">
      <c r="A15" s="25">
        <f t="shared" si="1"/>
        <v>12</v>
      </c>
      <c r="B15" s="27">
        <f>ROUND(Guida!$B$22*H15/Guida!$B$30+Guida!$B$23*MAX(0,MIN(1,(AE15-5.4)/1.6))+Guida!$B$24*0+Guida!$B$25*0.35,1)</f>
        <v>44</v>
      </c>
      <c r="C15" s="28" t="s">
        <v>296</v>
      </c>
      <c r="D15" s="25" t="s">
        <v>208</v>
      </c>
      <c r="E15" s="29" t="s">
        <v>198</v>
      </c>
      <c r="F15" s="30">
        <v>17.0</v>
      </c>
      <c r="G15" s="30">
        <v>15.0</v>
      </c>
      <c r="H15" s="30">
        <v>78.0</v>
      </c>
      <c r="I15" s="30">
        <f>MAX(1,ROUND(H15^Guida!$B$18*Guida!$F$13,0))</f>
        <v>25</v>
      </c>
      <c r="J15" s="30">
        <f t="shared" si="2"/>
        <v>30</v>
      </c>
      <c r="K15" s="25" t="str">
        <f t="shared" si="3"/>
        <v>2a fascia</v>
      </c>
      <c r="L15" s="25" t="s">
        <v>68</v>
      </c>
      <c r="M15" s="21" t="s">
        <v>100</v>
      </c>
      <c r="N15" s="25" t="s">
        <v>71</v>
      </c>
      <c r="O15" s="25" t="s">
        <v>160</v>
      </c>
      <c r="P15" s="30">
        <v>32.0</v>
      </c>
      <c r="Q15" s="32">
        <v>6.36</v>
      </c>
      <c r="R15" s="32">
        <v>6.88</v>
      </c>
      <c r="S15" s="30">
        <v>5.0</v>
      </c>
      <c r="T15" s="30">
        <v>3.0</v>
      </c>
      <c r="U15" s="25" t="s">
        <v>72</v>
      </c>
      <c r="V15" s="30">
        <v>3.0</v>
      </c>
      <c r="W15" s="30">
        <v>0.0</v>
      </c>
      <c r="X15" s="30">
        <v>2.0</v>
      </c>
      <c r="Y15" s="32">
        <v>4.5</v>
      </c>
      <c r="Z15" s="32">
        <v>4.5</v>
      </c>
      <c r="AA15" s="30">
        <v>0.0</v>
      </c>
      <c r="AB15" s="30">
        <v>0.0</v>
      </c>
      <c r="AC15" s="25" t="s">
        <v>185</v>
      </c>
      <c r="AD15" s="25" t="s">
        <v>103</v>
      </c>
      <c r="AE15" s="32">
        <f t="shared" si="4"/>
        <v>6.88</v>
      </c>
      <c r="AF15" s="29" t="s">
        <v>303</v>
      </c>
      <c r="AG15" s="30">
        <v>6.0</v>
      </c>
      <c r="AH15" s="30">
        <f t="shared" si="5"/>
        <v>14</v>
      </c>
      <c r="AI15" s="29"/>
    </row>
    <row r="16">
      <c r="A16" s="11">
        <f t="shared" si="1"/>
        <v>13</v>
      </c>
      <c r="B16" s="16">
        <f>ROUND(Guida!$B$22*H16/Guida!$B$30+Guida!$B$23*MAX(0,MIN(1,(AE16-5.4)/1.6))+Guida!$B$24*1+Guida!$B$25*0.6,1)</f>
        <v>43.1</v>
      </c>
      <c r="C16" s="17" t="s">
        <v>308</v>
      </c>
      <c r="D16" s="11" t="s">
        <v>195</v>
      </c>
      <c r="E16" s="18" t="s">
        <v>183</v>
      </c>
      <c r="F16" s="19">
        <v>16.0</v>
      </c>
      <c r="G16" s="19">
        <v>16.0</v>
      </c>
      <c r="H16" s="19">
        <v>87.0</v>
      </c>
      <c r="I16" s="19">
        <f>MAX(1,ROUND(H16^Guida!$B$18*Guida!$F$13,0))</f>
        <v>26</v>
      </c>
      <c r="J16" s="19">
        <f t="shared" si="2"/>
        <v>31</v>
      </c>
      <c r="K16" s="11" t="str">
        <f t="shared" si="3"/>
        <v>2a fascia</v>
      </c>
      <c r="L16" s="11" t="s">
        <v>68</v>
      </c>
      <c r="M16" s="21" t="s">
        <v>70</v>
      </c>
      <c r="N16" s="11" t="s">
        <v>84</v>
      </c>
      <c r="O16" s="11" t="s">
        <v>77</v>
      </c>
      <c r="P16" s="19">
        <v>26.0</v>
      </c>
      <c r="Q16" s="22">
        <v>5.88</v>
      </c>
      <c r="R16" s="22">
        <v>5.96</v>
      </c>
      <c r="S16" s="19">
        <v>3.0</v>
      </c>
      <c r="T16" s="19">
        <v>0.0</v>
      </c>
      <c r="U16" s="11" t="s">
        <v>202</v>
      </c>
      <c r="V16" s="19">
        <v>6.0</v>
      </c>
      <c r="W16" s="19">
        <v>1.0</v>
      </c>
      <c r="X16" s="19">
        <v>2.0</v>
      </c>
      <c r="Y16" s="22">
        <v>6.0</v>
      </c>
      <c r="Z16" s="22">
        <v>5.75</v>
      </c>
      <c r="AA16" s="19">
        <v>0.0</v>
      </c>
      <c r="AB16" s="19">
        <v>0.0</v>
      </c>
      <c r="AC16" s="11" t="s">
        <v>195</v>
      </c>
      <c r="AD16" s="11" t="s">
        <v>73</v>
      </c>
      <c r="AE16" s="22">
        <f t="shared" si="4"/>
        <v>5.96</v>
      </c>
      <c r="AF16" s="18" t="s">
        <v>320</v>
      </c>
      <c r="AG16" s="19">
        <v>0.0</v>
      </c>
      <c r="AH16" s="19">
        <f t="shared" si="5"/>
        <v>10</v>
      </c>
      <c r="AI16" s="18"/>
    </row>
    <row r="17">
      <c r="A17" s="25">
        <f t="shared" si="1"/>
        <v>14</v>
      </c>
      <c r="B17" s="27">
        <f>ROUND(Guida!$B$22*H17/Guida!$B$30+Guida!$B$23*MAX(0,MIN(1,(AE17-5.4)/1.6))+Guida!$B$24*0.6+Guida!$B$25*0.35,1)</f>
        <v>40.6</v>
      </c>
      <c r="C17" s="28" t="s">
        <v>325</v>
      </c>
      <c r="D17" s="25" t="s">
        <v>64</v>
      </c>
      <c r="E17" s="29" t="s">
        <v>326</v>
      </c>
      <c r="F17" s="30">
        <v>10.0</v>
      </c>
      <c r="G17" s="30">
        <v>12.0</v>
      </c>
      <c r="H17" s="30">
        <v>45.0</v>
      </c>
      <c r="I17" s="30">
        <f>MAX(1,ROUND(H17^Guida!$B$18*Guida!$F$13,0))</f>
        <v>18</v>
      </c>
      <c r="J17" s="30">
        <f t="shared" si="2"/>
        <v>22</v>
      </c>
      <c r="K17" s="25" t="str">
        <f t="shared" si="3"/>
        <v>2a fascia</v>
      </c>
      <c r="L17" s="25" t="s">
        <v>68</v>
      </c>
      <c r="M17" s="21" t="s">
        <v>70</v>
      </c>
      <c r="N17" s="25" t="s">
        <v>77</v>
      </c>
      <c r="O17" s="25" t="s">
        <v>160</v>
      </c>
      <c r="P17" s="30">
        <v>30.0</v>
      </c>
      <c r="Q17" s="32">
        <v>6.25</v>
      </c>
      <c r="R17" s="32">
        <v>6.8</v>
      </c>
      <c r="S17" s="30">
        <v>6.0</v>
      </c>
      <c r="T17" s="30">
        <v>2.0</v>
      </c>
      <c r="U17" s="25" t="s">
        <v>188</v>
      </c>
      <c r="V17" s="30">
        <v>3.0</v>
      </c>
      <c r="W17" s="30">
        <v>0.0</v>
      </c>
      <c r="X17" s="30">
        <v>2.0</v>
      </c>
      <c r="Y17" s="32">
        <v>6.75</v>
      </c>
      <c r="Z17" s="32">
        <v>8.25</v>
      </c>
      <c r="AA17" s="30">
        <v>1.0</v>
      </c>
      <c r="AB17" s="30">
        <v>0.0</v>
      </c>
      <c r="AC17" s="25" t="s">
        <v>64</v>
      </c>
      <c r="AD17" s="25" t="s">
        <v>73</v>
      </c>
      <c r="AE17" s="32">
        <f t="shared" si="4"/>
        <v>6.8</v>
      </c>
      <c r="AF17" s="29" t="s">
        <v>106</v>
      </c>
      <c r="AG17" s="30">
        <v>0.0</v>
      </c>
      <c r="AH17" s="30">
        <f t="shared" si="5"/>
        <v>26</v>
      </c>
      <c r="AI17" s="29"/>
    </row>
    <row r="18">
      <c r="A18" s="11">
        <f t="shared" si="1"/>
        <v>15</v>
      </c>
      <c r="B18" s="16">
        <f>ROUND(Guida!$B$22*H18/Guida!$B$30+Guida!$B$23*MAX(0,MIN(1,(AE18-5.4)/1.6))+Guida!$B$24*0+Guida!$B$25*0,1)</f>
        <v>40.3</v>
      </c>
      <c r="C18" s="17" t="s">
        <v>334</v>
      </c>
      <c r="D18" s="11" t="s">
        <v>64</v>
      </c>
      <c r="E18" s="18" t="s">
        <v>326</v>
      </c>
      <c r="F18" s="19">
        <v>17.0</v>
      </c>
      <c r="G18" s="19">
        <v>18.0</v>
      </c>
      <c r="H18" s="19">
        <v>81.0</v>
      </c>
      <c r="I18" s="19">
        <f>MAX(1,ROUND(H18^Guida!$B$18*Guida!$F$13,0))</f>
        <v>25</v>
      </c>
      <c r="J18" s="19">
        <f t="shared" si="2"/>
        <v>30</v>
      </c>
      <c r="K18" s="11" t="str">
        <f t="shared" si="3"/>
        <v>2a fascia</v>
      </c>
      <c r="L18" s="11" t="s">
        <v>68</v>
      </c>
      <c r="M18" s="21" t="s">
        <v>70</v>
      </c>
      <c r="N18" s="11" t="s">
        <v>71</v>
      </c>
      <c r="O18" s="11" t="s">
        <v>71</v>
      </c>
      <c r="P18" s="19">
        <v>34.0</v>
      </c>
      <c r="Q18" s="22">
        <v>6.28</v>
      </c>
      <c r="R18" s="22">
        <v>6.71</v>
      </c>
      <c r="S18" s="19">
        <v>3.0</v>
      </c>
      <c r="T18" s="19">
        <v>9.0</v>
      </c>
      <c r="U18" s="11" t="s">
        <v>72</v>
      </c>
      <c r="V18" s="19">
        <v>7.0</v>
      </c>
      <c r="W18" s="19">
        <v>0.0</v>
      </c>
      <c r="X18" s="19">
        <v>2.0</v>
      </c>
      <c r="Y18" s="22">
        <v>6.5</v>
      </c>
      <c r="Z18" s="22">
        <v>7.0</v>
      </c>
      <c r="AA18" s="19">
        <v>0.0</v>
      </c>
      <c r="AB18" s="19">
        <v>1.0</v>
      </c>
      <c r="AC18" s="11" t="s">
        <v>64</v>
      </c>
      <c r="AD18" s="11" t="s">
        <v>73</v>
      </c>
      <c r="AE18" s="22">
        <f t="shared" si="4"/>
        <v>6.71</v>
      </c>
      <c r="AF18" s="18" t="s">
        <v>106</v>
      </c>
      <c r="AG18" s="19">
        <v>0.0</v>
      </c>
      <c r="AH18" s="19">
        <f t="shared" si="5"/>
        <v>12</v>
      </c>
      <c r="AI18" s="18"/>
    </row>
    <row r="19">
      <c r="A19" s="25">
        <f t="shared" si="1"/>
        <v>16</v>
      </c>
      <c r="B19" s="27">
        <f>ROUND(Guida!$B$22*H19/Guida!$B$30+Guida!$B$23*MAX(0,MIN(1,(AE19-5.4)/1.6))+Guida!$B$24*0.35+Guida!$B$25*1,1)</f>
        <v>39.4</v>
      </c>
      <c r="C19" s="28" t="s">
        <v>344</v>
      </c>
      <c r="D19" s="25" t="s">
        <v>175</v>
      </c>
      <c r="E19" s="29" t="s">
        <v>69</v>
      </c>
      <c r="F19" s="30">
        <v>12.0</v>
      </c>
      <c r="G19" s="30">
        <v>12.0</v>
      </c>
      <c r="H19" s="30">
        <v>45.0</v>
      </c>
      <c r="I19" s="30">
        <f>MAX(1,ROUND(H19^Guida!$B$18*Guida!$F$13,0))</f>
        <v>18</v>
      </c>
      <c r="J19" s="30">
        <f t="shared" si="2"/>
        <v>22</v>
      </c>
      <c r="K19" s="25" t="str">
        <f t="shared" si="3"/>
        <v>2a fascia</v>
      </c>
      <c r="L19" s="25" t="s">
        <v>68</v>
      </c>
      <c r="M19" s="21" t="s">
        <v>70</v>
      </c>
      <c r="N19" s="25" t="s">
        <v>160</v>
      </c>
      <c r="O19" s="25" t="s">
        <v>84</v>
      </c>
      <c r="P19" s="30">
        <v>33.0</v>
      </c>
      <c r="Q19" s="32">
        <v>6.45</v>
      </c>
      <c r="R19" s="32">
        <v>6.67</v>
      </c>
      <c r="S19" s="30">
        <v>2.0</v>
      </c>
      <c r="T19" s="30">
        <v>3.0</v>
      </c>
      <c r="U19" s="25" t="s">
        <v>72</v>
      </c>
      <c r="V19" s="30">
        <v>4.0</v>
      </c>
      <c r="W19" s="30">
        <v>0.0</v>
      </c>
      <c r="X19" s="30">
        <v>2.0</v>
      </c>
      <c r="Y19" s="32">
        <v>6.0</v>
      </c>
      <c r="Z19" s="32">
        <v>6.0</v>
      </c>
      <c r="AA19" s="30">
        <v>0.0</v>
      </c>
      <c r="AB19" s="30">
        <v>0.0</v>
      </c>
      <c r="AC19" s="25" t="s">
        <v>175</v>
      </c>
      <c r="AD19" s="25" t="s">
        <v>73</v>
      </c>
      <c r="AE19" s="32">
        <f t="shared" si="4"/>
        <v>6.67</v>
      </c>
      <c r="AF19" s="29" t="s">
        <v>216</v>
      </c>
      <c r="AG19" s="30">
        <v>0.0</v>
      </c>
      <c r="AH19" s="30">
        <f t="shared" si="5"/>
        <v>26</v>
      </c>
      <c r="AI19" s="29"/>
    </row>
    <row r="20">
      <c r="A20" s="11">
        <f t="shared" si="1"/>
        <v>17</v>
      </c>
      <c r="B20" s="16">
        <f>ROUND(Guida!$B$22*H20/Guida!$B$30+Guida!$B$23*MAX(0,MIN(1,(AE20-5.4)/1.6))+Guida!$B$24*0+Guida!$B$25*0,1)</f>
        <v>37.1</v>
      </c>
      <c r="C20" s="17" t="s">
        <v>357</v>
      </c>
      <c r="D20" s="11" t="s">
        <v>93</v>
      </c>
      <c r="E20" s="18" t="s">
        <v>198</v>
      </c>
      <c r="F20" s="19">
        <v>17.0</v>
      </c>
      <c r="G20" s="19">
        <v>17.0</v>
      </c>
      <c r="H20" s="19">
        <v>70.0</v>
      </c>
      <c r="I20" s="19">
        <f>MAX(1,ROUND(H20^Guida!$B$18*Guida!$F$13,0))</f>
        <v>23</v>
      </c>
      <c r="J20" s="19">
        <f t="shared" si="2"/>
        <v>28</v>
      </c>
      <c r="K20" s="11" t="str">
        <f t="shared" si="3"/>
        <v>2a fascia</v>
      </c>
      <c r="L20" s="11" t="s">
        <v>68</v>
      </c>
      <c r="M20" s="38" t="s">
        <v>242</v>
      </c>
      <c r="N20" s="11" t="s">
        <v>71</v>
      </c>
      <c r="O20" s="11" t="s">
        <v>71</v>
      </c>
      <c r="P20" s="19">
        <v>34.0</v>
      </c>
      <c r="Q20" s="22">
        <v>6.13</v>
      </c>
      <c r="R20" s="22">
        <v>6.68</v>
      </c>
      <c r="S20" s="19">
        <v>5.0</v>
      </c>
      <c r="T20" s="19">
        <v>6.0</v>
      </c>
      <c r="U20" s="11" t="s">
        <v>72</v>
      </c>
      <c r="V20" s="19">
        <v>5.0</v>
      </c>
      <c r="W20" s="19">
        <v>0.0</v>
      </c>
      <c r="X20" s="19">
        <v>1.0</v>
      </c>
      <c r="Y20" s="22">
        <v>6.0</v>
      </c>
      <c r="Z20" s="22">
        <v>6.0</v>
      </c>
      <c r="AA20" s="19">
        <v>0.0</v>
      </c>
      <c r="AB20" s="19">
        <v>0.0</v>
      </c>
      <c r="AC20" s="11" t="s">
        <v>93</v>
      </c>
      <c r="AD20" s="11" t="s">
        <v>73</v>
      </c>
      <c r="AE20" s="22">
        <f t="shared" si="4"/>
        <v>6.68</v>
      </c>
      <c r="AF20" s="18" t="s">
        <v>363</v>
      </c>
      <c r="AG20" s="19">
        <v>0.0</v>
      </c>
      <c r="AH20" s="19">
        <f t="shared" si="5"/>
        <v>17</v>
      </c>
      <c r="AI20" s="18" t="s">
        <v>365</v>
      </c>
    </row>
    <row r="21" ht="15.75" customHeight="1">
      <c r="A21" s="25">
        <f t="shared" si="1"/>
        <v>18</v>
      </c>
      <c r="B21" s="27">
        <f>ROUND(Guida!$B$22*H21/Guida!$B$30+Guida!$B$23*MAX(0,MIN(1,(AE21-5.4)/1.6))+Guida!$B$24*0+Guida!$B$25*0,1)</f>
        <v>37</v>
      </c>
      <c r="C21" s="28" t="s">
        <v>370</v>
      </c>
      <c r="D21" s="25" t="s">
        <v>93</v>
      </c>
      <c r="E21" s="29" t="s">
        <v>183</v>
      </c>
      <c r="F21" s="30">
        <v>12.0</v>
      </c>
      <c r="G21" s="30">
        <v>13.0</v>
      </c>
      <c r="H21" s="30">
        <v>68.0</v>
      </c>
      <c r="I21" s="30">
        <f>MAX(1,ROUND(H21^Guida!$B$18*Guida!$F$13,0))</f>
        <v>23</v>
      </c>
      <c r="J21" s="30">
        <f t="shared" si="2"/>
        <v>28</v>
      </c>
      <c r="K21" s="25" t="str">
        <f t="shared" si="3"/>
        <v>2a fascia</v>
      </c>
      <c r="L21" s="25" t="s">
        <v>68</v>
      </c>
      <c r="M21" s="21" t="s">
        <v>70</v>
      </c>
      <c r="N21" s="25" t="s">
        <v>71</v>
      </c>
      <c r="O21" s="25" t="s">
        <v>71</v>
      </c>
      <c r="P21" s="30">
        <v>30.0</v>
      </c>
      <c r="Q21" s="32">
        <v>6.28</v>
      </c>
      <c r="R21" s="32">
        <v>6.7</v>
      </c>
      <c r="S21" s="30">
        <v>3.0</v>
      </c>
      <c r="T21" s="30">
        <v>5.0</v>
      </c>
      <c r="U21" s="25" t="s">
        <v>72</v>
      </c>
      <c r="V21" s="30">
        <v>3.0</v>
      </c>
      <c r="W21" s="30">
        <v>0.0</v>
      </c>
      <c r="X21" s="30">
        <v>2.0</v>
      </c>
      <c r="Y21" s="32">
        <v>6.5</v>
      </c>
      <c r="Z21" s="32">
        <v>7.0</v>
      </c>
      <c r="AA21" s="30">
        <v>0.0</v>
      </c>
      <c r="AB21" s="30">
        <v>1.0</v>
      </c>
      <c r="AC21" s="25" t="s">
        <v>93</v>
      </c>
      <c r="AD21" s="25" t="s">
        <v>73</v>
      </c>
      <c r="AE21" s="32">
        <f t="shared" si="4"/>
        <v>6.7</v>
      </c>
      <c r="AF21" s="29" t="s">
        <v>363</v>
      </c>
      <c r="AG21" s="30">
        <v>0.0</v>
      </c>
      <c r="AH21" s="30">
        <f t="shared" si="5"/>
        <v>18</v>
      </c>
      <c r="AI21" s="29"/>
    </row>
    <row r="22" ht="15.75" customHeight="1">
      <c r="A22" s="11">
        <f t="shared" si="1"/>
        <v>19</v>
      </c>
      <c r="B22" s="16">
        <f>ROUND(Guida!$B$22*H22/Guida!$B$30+Guida!$B$23*MAX(0,MIN(1,(AE22-5.4)/1.6))+Guida!$B$24*0+Guida!$B$25*0.6,1)</f>
        <v>35.9</v>
      </c>
      <c r="C22" s="17" t="s">
        <v>378</v>
      </c>
      <c r="D22" s="11" t="s">
        <v>185</v>
      </c>
      <c r="E22" s="18" t="s">
        <v>198</v>
      </c>
      <c r="F22" s="19">
        <v>10.0</v>
      </c>
      <c r="G22" s="19">
        <v>12.0</v>
      </c>
      <c r="H22" s="19">
        <v>57.0</v>
      </c>
      <c r="I22" s="19">
        <f>MAX(1,ROUND(H22^Guida!$B$18*Guida!$F$13,0))</f>
        <v>20</v>
      </c>
      <c r="J22" s="19">
        <f t="shared" si="2"/>
        <v>24</v>
      </c>
      <c r="K22" s="11" t="str">
        <f t="shared" si="3"/>
        <v>2a fascia</v>
      </c>
      <c r="L22" s="11" t="s">
        <v>68</v>
      </c>
      <c r="M22" s="21" t="s">
        <v>70</v>
      </c>
      <c r="N22" s="11" t="s">
        <v>71</v>
      </c>
      <c r="O22" s="11" t="s">
        <v>77</v>
      </c>
      <c r="P22" s="19">
        <v>31.0</v>
      </c>
      <c r="Q22" s="22">
        <v>6.05</v>
      </c>
      <c r="R22" s="22">
        <v>6.61</v>
      </c>
      <c r="S22" s="19">
        <v>5.0</v>
      </c>
      <c r="T22" s="19">
        <v>3.0</v>
      </c>
      <c r="U22" s="11" t="s">
        <v>72</v>
      </c>
      <c r="V22" s="19">
        <v>1.0</v>
      </c>
      <c r="W22" s="19">
        <v>0.0</v>
      </c>
      <c r="X22" s="19">
        <v>2.0</v>
      </c>
      <c r="Y22" s="22">
        <v>7.0</v>
      </c>
      <c r="Z22" s="22">
        <v>9.0</v>
      </c>
      <c r="AA22" s="19">
        <v>1.0</v>
      </c>
      <c r="AB22" s="19">
        <v>1.0</v>
      </c>
      <c r="AC22" s="11" t="s">
        <v>185</v>
      </c>
      <c r="AD22" s="11" t="s">
        <v>73</v>
      </c>
      <c r="AE22" s="22">
        <f t="shared" si="4"/>
        <v>6.61</v>
      </c>
      <c r="AF22" s="18" t="s">
        <v>106</v>
      </c>
      <c r="AG22" s="19">
        <v>7.0</v>
      </c>
      <c r="AH22" s="19">
        <f t="shared" si="5"/>
        <v>19</v>
      </c>
      <c r="AI22" s="18"/>
    </row>
    <row r="23" ht="15.75" customHeight="1">
      <c r="A23" s="25">
        <f t="shared" si="1"/>
        <v>20</v>
      </c>
      <c r="B23" s="27">
        <f>ROUND(Guida!$B$22*H23/Guida!$B$30+Guida!$B$23*MAX(0,MIN(1,(AE23-5.4)/1.6))+Guida!$B$24*0.6+Guida!$B$25*0.6,1)</f>
        <v>33.1</v>
      </c>
      <c r="C23" s="28" t="s">
        <v>386</v>
      </c>
      <c r="D23" s="25" t="s">
        <v>182</v>
      </c>
      <c r="E23" s="29" t="s">
        <v>387</v>
      </c>
      <c r="F23" s="30">
        <v>9.0</v>
      </c>
      <c r="G23" s="30">
        <v>10.0</v>
      </c>
      <c r="H23" s="30">
        <v>27.0</v>
      </c>
      <c r="I23" s="30">
        <f>MAX(1,ROUND(H23^Guida!$B$18*Guida!$F$13,0))</f>
        <v>13</v>
      </c>
      <c r="J23" s="30">
        <f t="shared" si="2"/>
        <v>16</v>
      </c>
      <c r="K23" s="25" t="str">
        <f t="shared" si="3"/>
        <v>3a fascia</v>
      </c>
      <c r="L23" s="25" t="s">
        <v>68</v>
      </c>
      <c r="M23" s="21" t="s">
        <v>70</v>
      </c>
      <c r="N23" s="25" t="s">
        <v>77</v>
      </c>
      <c r="O23" s="25" t="s">
        <v>77</v>
      </c>
      <c r="P23" s="30">
        <v>24.0</v>
      </c>
      <c r="Q23" s="32">
        <v>6.04</v>
      </c>
      <c r="R23" s="32">
        <v>6.56</v>
      </c>
      <c r="S23" s="30">
        <v>4.0</v>
      </c>
      <c r="T23" s="30">
        <v>2.0</v>
      </c>
      <c r="U23" s="25" t="s">
        <v>188</v>
      </c>
      <c r="V23" s="30">
        <v>3.0</v>
      </c>
      <c r="W23" s="30">
        <v>0.0</v>
      </c>
      <c r="X23" s="30">
        <v>2.0</v>
      </c>
      <c r="Y23" s="32">
        <v>6.5</v>
      </c>
      <c r="Z23" s="32">
        <v>6.5</v>
      </c>
      <c r="AA23" s="30">
        <v>0.0</v>
      </c>
      <c r="AB23" s="30">
        <v>0.0</v>
      </c>
      <c r="AC23" s="25" t="s">
        <v>182</v>
      </c>
      <c r="AD23" s="25" t="s">
        <v>73</v>
      </c>
      <c r="AE23" s="32">
        <f t="shared" si="4"/>
        <v>6.52</v>
      </c>
      <c r="AF23" s="29" t="s">
        <v>176</v>
      </c>
      <c r="AG23" s="30">
        <v>6.0</v>
      </c>
      <c r="AH23" s="30">
        <f t="shared" si="5"/>
        <v>51</v>
      </c>
      <c r="AI23" s="29"/>
    </row>
    <row r="24" ht="15.75" customHeight="1">
      <c r="A24" s="11">
        <f t="shared" si="1"/>
        <v>21</v>
      </c>
      <c r="B24" s="16">
        <f>ROUND(Guida!$B$22*H24/Guida!$B$30+Guida!$B$23*MAX(0,MIN(1,(AE24-5.4)/1.6))+Guida!$B$24*0.2+Guida!$B$25*1,1)</f>
        <v>32.2</v>
      </c>
      <c r="C24" s="17" t="s">
        <v>393</v>
      </c>
      <c r="D24" s="11" t="s">
        <v>283</v>
      </c>
      <c r="E24" s="18" t="s">
        <v>326</v>
      </c>
      <c r="F24" s="19">
        <v>7.0</v>
      </c>
      <c r="G24" s="19">
        <v>7.0</v>
      </c>
      <c r="H24" s="19">
        <v>34.0</v>
      </c>
      <c r="I24" s="19">
        <f>MAX(1,ROUND(H24^Guida!$B$18*Guida!$F$13,0))</f>
        <v>15</v>
      </c>
      <c r="J24" s="19">
        <f t="shared" si="2"/>
        <v>18</v>
      </c>
      <c r="K24" s="11" t="str">
        <f t="shared" si="3"/>
        <v>2a fascia</v>
      </c>
      <c r="L24" s="11" t="s">
        <v>68</v>
      </c>
      <c r="M24" s="21" t="s">
        <v>70</v>
      </c>
      <c r="N24" s="11" t="s">
        <v>345</v>
      </c>
      <c r="O24" s="11" t="s">
        <v>84</v>
      </c>
      <c r="P24" s="19">
        <v>32.0</v>
      </c>
      <c r="Q24" s="22">
        <v>6.17</v>
      </c>
      <c r="R24" s="22">
        <v>6.48</v>
      </c>
      <c r="S24" s="19">
        <v>3.0</v>
      </c>
      <c r="T24" s="19">
        <v>1.0</v>
      </c>
      <c r="U24" s="11" t="s">
        <v>72</v>
      </c>
      <c r="V24" s="19">
        <v>0.0</v>
      </c>
      <c r="W24" s="19">
        <v>0.0</v>
      </c>
      <c r="X24" s="19">
        <v>2.0</v>
      </c>
      <c r="Y24" s="22">
        <v>5.75</v>
      </c>
      <c r="Z24" s="22">
        <v>5.75</v>
      </c>
      <c r="AA24" s="19">
        <v>0.0</v>
      </c>
      <c r="AB24" s="19">
        <v>0.0</v>
      </c>
      <c r="AC24" s="11" t="s">
        <v>283</v>
      </c>
      <c r="AD24" s="11" t="s">
        <v>73</v>
      </c>
      <c r="AE24" s="22">
        <f t="shared" si="4"/>
        <v>6.48</v>
      </c>
      <c r="AF24" s="18" t="s">
        <v>397</v>
      </c>
      <c r="AG24" s="19">
        <v>4.0</v>
      </c>
      <c r="AH24" s="19">
        <f t="shared" si="5"/>
        <v>41</v>
      </c>
      <c r="AI24" s="18"/>
    </row>
    <row r="25" ht="15.75" customHeight="1">
      <c r="A25" s="25">
        <f t="shared" si="1"/>
        <v>22</v>
      </c>
      <c r="B25" s="27">
        <f>ROUND(Guida!$B$22*H25/Guida!$B$30+Guida!$B$23*MAX(0,MIN(1,(AE25-5.4)/1.6))+Guida!$B$24*0.35+Guida!$B$25*0.6,1)</f>
        <v>30.6</v>
      </c>
      <c r="C25" s="28" t="s">
        <v>402</v>
      </c>
      <c r="D25" s="25" t="s">
        <v>191</v>
      </c>
      <c r="E25" s="29" t="s">
        <v>403</v>
      </c>
      <c r="F25" s="30">
        <v>10.0</v>
      </c>
      <c r="G25" s="30">
        <v>9.0</v>
      </c>
      <c r="H25" s="30">
        <v>37.0</v>
      </c>
      <c r="I25" s="30">
        <f>MAX(1,ROUND(H25^Guida!$B$18*Guida!$F$13,0))</f>
        <v>16</v>
      </c>
      <c r="J25" s="30">
        <f t="shared" si="2"/>
        <v>19</v>
      </c>
      <c r="K25" s="25" t="str">
        <f t="shared" si="3"/>
        <v>2a fascia</v>
      </c>
      <c r="L25" s="25" t="s">
        <v>226</v>
      </c>
      <c r="M25" s="29" t="s">
        <v>277</v>
      </c>
      <c r="N25" s="25" t="s">
        <v>160</v>
      </c>
      <c r="O25" s="25" t="s">
        <v>77</v>
      </c>
      <c r="P25" s="30">
        <v>33.0</v>
      </c>
      <c r="Q25" s="32">
        <v>6.09</v>
      </c>
      <c r="R25" s="32">
        <v>6.36</v>
      </c>
      <c r="S25" s="30">
        <v>2.0</v>
      </c>
      <c r="T25" s="30">
        <v>5.0</v>
      </c>
      <c r="U25" s="25" t="s">
        <v>72</v>
      </c>
      <c r="V25" s="30">
        <v>4.0</v>
      </c>
      <c r="W25" s="30">
        <v>0.0</v>
      </c>
      <c r="X25" s="30">
        <v>2.0</v>
      </c>
      <c r="Y25" s="32">
        <v>5.5</v>
      </c>
      <c r="Z25" s="32">
        <v>5.25</v>
      </c>
      <c r="AA25" s="30">
        <v>0.0</v>
      </c>
      <c r="AB25" s="30">
        <v>0.0</v>
      </c>
      <c r="AC25" s="25" t="s">
        <v>191</v>
      </c>
      <c r="AD25" s="25" t="s">
        <v>73</v>
      </c>
      <c r="AE25" s="32">
        <f t="shared" si="4"/>
        <v>6.36</v>
      </c>
      <c r="AF25" s="29" t="s">
        <v>320</v>
      </c>
      <c r="AG25" s="30">
        <v>3.0</v>
      </c>
      <c r="AH25" s="30">
        <f t="shared" si="5"/>
        <v>38</v>
      </c>
      <c r="AI25" s="29"/>
    </row>
    <row r="26" ht="15.75" customHeight="1">
      <c r="A26" s="11">
        <f t="shared" si="1"/>
        <v>23</v>
      </c>
      <c r="B26" s="16">
        <f>ROUND(Guida!$B$22*H26/Guida!$B$30+Guida!$B$23*MAX(0,MIN(1,(AE26-5.4)/1.6))+Guida!$B$24*0.35+Guida!$B$25*0.6,1)</f>
        <v>29.2</v>
      </c>
      <c r="C26" s="17" t="s">
        <v>414</v>
      </c>
      <c r="D26" s="11" t="s">
        <v>143</v>
      </c>
      <c r="E26" s="18" t="s">
        <v>198</v>
      </c>
      <c r="F26" s="19">
        <v>12.0</v>
      </c>
      <c r="G26" s="19">
        <v>13.0</v>
      </c>
      <c r="H26" s="19">
        <v>44.0</v>
      </c>
      <c r="I26" s="19">
        <f>MAX(1,ROUND(H26^Guida!$B$18*Guida!$F$13,0))</f>
        <v>18</v>
      </c>
      <c r="J26" s="19">
        <f t="shared" si="2"/>
        <v>22</v>
      </c>
      <c r="K26" s="11" t="str">
        <f t="shared" si="3"/>
        <v>2a fascia</v>
      </c>
      <c r="L26" s="11" t="s">
        <v>68</v>
      </c>
      <c r="M26" s="21" t="s">
        <v>70</v>
      </c>
      <c r="N26" s="11" t="s">
        <v>160</v>
      </c>
      <c r="O26" s="11" t="s">
        <v>77</v>
      </c>
      <c r="P26" s="19">
        <v>21.0</v>
      </c>
      <c r="Q26" s="22">
        <v>5.93</v>
      </c>
      <c r="R26" s="22">
        <v>6.29</v>
      </c>
      <c r="S26" s="19">
        <v>2.0</v>
      </c>
      <c r="T26" s="19">
        <v>2.0</v>
      </c>
      <c r="U26" s="11" t="s">
        <v>72</v>
      </c>
      <c r="V26" s="19">
        <v>1.0</v>
      </c>
      <c r="W26" s="19">
        <v>0.0</v>
      </c>
      <c r="X26" s="19">
        <v>2.0</v>
      </c>
      <c r="Y26" s="22">
        <v>6.5</v>
      </c>
      <c r="Z26" s="22">
        <v>8.0</v>
      </c>
      <c r="AA26" s="19">
        <v>1.0</v>
      </c>
      <c r="AB26" s="19">
        <v>0.0</v>
      </c>
      <c r="AC26" s="11" t="s">
        <v>143</v>
      </c>
      <c r="AD26" s="11" t="s">
        <v>73</v>
      </c>
      <c r="AE26" s="22">
        <f t="shared" si="4"/>
        <v>6.16</v>
      </c>
      <c r="AF26" s="18" t="s">
        <v>419</v>
      </c>
      <c r="AG26" s="19">
        <v>5.0</v>
      </c>
      <c r="AH26" s="19">
        <f t="shared" si="5"/>
        <v>30</v>
      </c>
      <c r="AI26" s="18"/>
    </row>
    <row r="27" ht="15.75" customHeight="1">
      <c r="A27" s="25">
        <f t="shared" si="1"/>
        <v>24</v>
      </c>
      <c r="B27" s="27">
        <f>ROUND(Guida!$B$22*H27/Guida!$B$30+Guida!$B$23*MAX(0,MIN(1,(AE27-5.4)/1.6))+Guida!$B$24*0+Guida!$B$25*0,1)</f>
        <v>28.4</v>
      </c>
      <c r="C27" s="28" t="s">
        <v>423</v>
      </c>
      <c r="D27" s="25" t="s">
        <v>143</v>
      </c>
      <c r="E27" s="29" t="s">
        <v>387</v>
      </c>
      <c r="F27" s="30">
        <v>11.0</v>
      </c>
      <c r="G27" s="30">
        <v>10.0</v>
      </c>
      <c r="H27" s="30">
        <v>40.0</v>
      </c>
      <c r="I27" s="30">
        <f>MAX(1,ROUND(H27^Guida!$B$18*Guida!$F$13,0))</f>
        <v>17</v>
      </c>
      <c r="J27" s="30">
        <f t="shared" si="2"/>
        <v>20</v>
      </c>
      <c r="K27" s="25" t="str">
        <f t="shared" si="3"/>
        <v>2a fascia</v>
      </c>
      <c r="L27" s="25" t="s">
        <v>68</v>
      </c>
      <c r="M27" s="29" t="s">
        <v>294</v>
      </c>
      <c r="N27" s="25" t="s">
        <v>71</v>
      </c>
      <c r="O27" s="25" t="s">
        <v>71</v>
      </c>
      <c r="P27" s="30">
        <v>28.0</v>
      </c>
      <c r="Q27" s="32">
        <v>6.2</v>
      </c>
      <c r="R27" s="32">
        <v>6.59</v>
      </c>
      <c r="S27" s="30">
        <v>3.0</v>
      </c>
      <c r="T27" s="30">
        <v>3.0</v>
      </c>
      <c r="U27" s="25" t="s">
        <v>72</v>
      </c>
      <c r="V27" s="30">
        <v>2.0</v>
      </c>
      <c r="W27" s="30">
        <v>0.0</v>
      </c>
      <c r="X27" s="30">
        <v>1.0</v>
      </c>
      <c r="Y27" s="32">
        <v>5.5</v>
      </c>
      <c r="Z27" s="32">
        <v>5.5</v>
      </c>
      <c r="AA27" s="30">
        <v>0.0</v>
      </c>
      <c r="AB27" s="30">
        <v>0.0</v>
      </c>
      <c r="AC27" s="25" t="s">
        <v>182</v>
      </c>
      <c r="AD27" s="25" t="s">
        <v>103</v>
      </c>
      <c r="AE27" s="32">
        <f t="shared" si="4"/>
        <v>6.59</v>
      </c>
      <c r="AF27" s="29" t="s">
        <v>419</v>
      </c>
      <c r="AG27" s="30">
        <v>5.0</v>
      </c>
      <c r="AH27" s="30">
        <f t="shared" si="5"/>
        <v>35</v>
      </c>
      <c r="AI27" s="29"/>
    </row>
    <row r="28" ht="15.75" customHeight="1">
      <c r="A28" s="11">
        <f t="shared" si="1"/>
        <v>25</v>
      </c>
      <c r="B28" s="16">
        <f>ROUND(Guida!$B$22*H28/Guida!$B$30+Guida!$B$23*MAX(0,MIN(1,(AE28-5.4)/1.6))+Guida!$B$24*0+Guida!$B$25*0,1)</f>
        <v>27.9</v>
      </c>
      <c r="C28" s="17" t="s">
        <v>429</v>
      </c>
      <c r="D28" s="11" t="s">
        <v>60</v>
      </c>
      <c r="E28" s="18" t="s">
        <v>69</v>
      </c>
      <c r="F28" s="19">
        <v>10.0</v>
      </c>
      <c r="G28" s="19">
        <v>10.0</v>
      </c>
      <c r="H28" s="19">
        <v>42.0</v>
      </c>
      <c r="I28" s="19">
        <f>MAX(1,ROUND(H28^Guida!$B$18*Guida!$F$13,0))</f>
        <v>17</v>
      </c>
      <c r="J28" s="19">
        <f t="shared" si="2"/>
        <v>20</v>
      </c>
      <c r="K28" s="11" t="str">
        <f t="shared" si="3"/>
        <v>2a fascia</v>
      </c>
      <c r="L28" s="11" t="s">
        <v>68</v>
      </c>
      <c r="M28" s="21" t="s">
        <v>70</v>
      </c>
      <c r="N28" s="11" t="s">
        <v>71</v>
      </c>
      <c r="O28" s="11" t="s">
        <v>71</v>
      </c>
      <c r="P28" s="19">
        <v>29.0</v>
      </c>
      <c r="Q28" s="22">
        <v>6.26</v>
      </c>
      <c r="R28" s="22">
        <v>6.53</v>
      </c>
      <c r="S28" s="19">
        <v>2.0</v>
      </c>
      <c r="T28" s="19">
        <v>3.0</v>
      </c>
      <c r="U28" s="11" t="s">
        <v>72</v>
      </c>
      <c r="V28" s="19">
        <v>2.0</v>
      </c>
      <c r="W28" s="19">
        <v>0.0</v>
      </c>
      <c r="X28" s="19">
        <v>2.0</v>
      </c>
      <c r="Y28" s="22">
        <v>6.5</v>
      </c>
      <c r="Z28" s="22">
        <v>6.25</v>
      </c>
      <c r="AA28" s="19">
        <v>0.0</v>
      </c>
      <c r="AB28" s="19">
        <v>0.0</v>
      </c>
      <c r="AC28" s="11" t="s">
        <v>60</v>
      </c>
      <c r="AD28" s="11" t="s">
        <v>73</v>
      </c>
      <c r="AE28" s="22">
        <f t="shared" si="4"/>
        <v>6.53</v>
      </c>
      <c r="AF28" s="18" t="s">
        <v>434</v>
      </c>
      <c r="AG28" s="19">
        <v>0.0</v>
      </c>
      <c r="AH28" s="19">
        <f t="shared" si="5"/>
        <v>32</v>
      </c>
      <c r="AI28" s="18"/>
    </row>
    <row r="29" ht="15.75" customHeight="1">
      <c r="A29" s="25">
        <f t="shared" si="1"/>
        <v>26</v>
      </c>
      <c r="B29" s="27">
        <f>ROUND(Guida!$B$22*H29/Guida!$B$30+Guida!$B$23*MAX(0,MIN(1,(AE29-5.4)/1.6))+Guida!$B$24*0+Guida!$B$25*0,1)</f>
        <v>27.4</v>
      </c>
      <c r="C29" s="28" t="s">
        <v>441</v>
      </c>
      <c r="D29" s="25" t="s">
        <v>143</v>
      </c>
      <c r="E29" s="29" t="s">
        <v>69</v>
      </c>
      <c r="F29" s="30">
        <v>12.0</v>
      </c>
      <c r="G29" s="30">
        <v>12.0</v>
      </c>
      <c r="H29" s="30">
        <v>46.0</v>
      </c>
      <c r="I29" s="30">
        <f>MAX(1,ROUND(H29^Guida!$B$18*Guida!$F$13,0))</f>
        <v>18</v>
      </c>
      <c r="J29" s="30">
        <f t="shared" si="2"/>
        <v>22</v>
      </c>
      <c r="K29" s="25" t="str">
        <f t="shared" si="3"/>
        <v>2a fascia</v>
      </c>
      <c r="L29" s="25" t="s">
        <v>68</v>
      </c>
      <c r="M29" s="21" t="s">
        <v>70</v>
      </c>
      <c r="N29" s="25" t="s">
        <v>71</v>
      </c>
      <c r="O29" s="25" t="s">
        <v>71</v>
      </c>
      <c r="P29" s="30">
        <v>30.0</v>
      </c>
      <c r="Q29" s="32">
        <v>6.25</v>
      </c>
      <c r="R29" s="32">
        <v>6.43</v>
      </c>
      <c r="S29" s="30">
        <v>2.0</v>
      </c>
      <c r="T29" s="30">
        <v>1.0</v>
      </c>
      <c r="U29" s="25" t="s">
        <v>188</v>
      </c>
      <c r="V29" s="30">
        <v>3.0</v>
      </c>
      <c r="W29" s="30">
        <v>0.0</v>
      </c>
      <c r="X29" s="30">
        <v>2.0</v>
      </c>
      <c r="Y29" s="32">
        <v>5.75</v>
      </c>
      <c r="Z29" s="32">
        <v>5.75</v>
      </c>
      <c r="AA29" s="30">
        <v>0.0</v>
      </c>
      <c r="AB29" s="30">
        <v>0.0</v>
      </c>
      <c r="AC29" s="25" t="s">
        <v>143</v>
      </c>
      <c r="AD29" s="25" t="s">
        <v>73</v>
      </c>
      <c r="AE29" s="32">
        <f t="shared" si="4"/>
        <v>6.43</v>
      </c>
      <c r="AF29" s="29" t="s">
        <v>419</v>
      </c>
      <c r="AG29" s="30">
        <v>5.0</v>
      </c>
      <c r="AH29" s="30">
        <f t="shared" si="5"/>
        <v>25</v>
      </c>
      <c r="AI29" s="29"/>
    </row>
    <row r="30" ht="15.75" customHeight="1">
      <c r="A30" s="11">
        <f t="shared" si="1"/>
        <v>27</v>
      </c>
      <c r="B30" s="16">
        <f>ROUND(Guida!$B$22*H30/Guida!$B$30+Guida!$B$23*MAX(0,MIN(1,(AE30-5.4)/1.6))+Guida!$B$24*0+Guida!$B$25*0,1)</f>
        <v>27.3</v>
      </c>
      <c r="C30" s="17" t="s">
        <v>448</v>
      </c>
      <c r="D30" s="11" t="s">
        <v>133</v>
      </c>
      <c r="E30" s="18" t="s">
        <v>183</v>
      </c>
      <c r="F30" s="19">
        <v>12.0</v>
      </c>
      <c r="G30" s="19">
        <v>11.0</v>
      </c>
      <c r="H30" s="19">
        <v>31.0</v>
      </c>
      <c r="I30" s="19">
        <f>MAX(1,ROUND(H30^Guida!$B$18*Guida!$F$13,0))</f>
        <v>14</v>
      </c>
      <c r="J30" s="19">
        <f t="shared" si="2"/>
        <v>17</v>
      </c>
      <c r="K30" s="11" t="str">
        <f t="shared" si="3"/>
        <v>3a fascia</v>
      </c>
      <c r="L30" s="11" t="s">
        <v>68</v>
      </c>
      <c r="M30" s="18" t="s">
        <v>148</v>
      </c>
      <c r="N30" s="11" t="s">
        <v>71</v>
      </c>
      <c r="O30" s="11" t="s">
        <v>71</v>
      </c>
      <c r="P30" s="19">
        <v>28.0</v>
      </c>
      <c r="Q30" s="22">
        <v>6.25</v>
      </c>
      <c r="R30" s="22">
        <v>6.66</v>
      </c>
      <c r="S30" s="19">
        <v>2.0</v>
      </c>
      <c r="T30" s="19">
        <v>8.0</v>
      </c>
      <c r="U30" s="11" t="s">
        <v>72</v>
      </c>
      <c r="V30" s="19">
        <v>3.0</v>
      </c>
      <c r="W30" s="19">
        <v>1.0</v>
      </c>
      <c r="X30" s="19">
        <v>1.0</v>
      </c>
      <c r="Y30" s="22">
        <v>5.5</v>
      </c>
      <c r="Z30" s="22">
        <v>5.5</v>
      </c>
      <c r="AA30" s="19">
        <v>0.0</v>
      </c>
      <c r="AB30" s="19">
        <v>0.0</v>
      </c>
      <c r="AC30" s="11" t="s">
        <v>133</v>
      </c>
      <c r="AD30" s="11" t="s">
        <v>73</v>
      </c>
      <c r="AE30" s="22">
        <f t="shared" si="4"/>
        <v>6.66</v>
      </c>
      <c r="AF30" s="18" t="s">
        <v>254</v>
      </c>
      <c r="AG30" s="19">
        <v>6.0</v>
      </c>
      <c r="AH30" s="19">
        <f t="shared" si="5"/>
        <v>44</v>
      </c>
      <c r="AI30" s="18"/>
    </row>
    <row r="31" ht="15.75" customHeight="1">
      <c r="A31" s="25">
        <f t="shared" si="1"/>
        <v>28</v>
      </c>
      <c r="B31" s="27">
        <f>ROUND(Guida!$B$22*H31/Guida!$B$30+Guida!$B$23*MAX(0,MIN(1,(AE31-5.4)/1.6))+Guida!$B$24*0+Guida!$B$25*0,1)</f>
        <v>26.9</v>
      </c>
      <c r="C31" s="28" t="s">
        <v>455</v>
      </c>
      <c r="D31" s="25" t="s">
        <v>191</v>
      </c>
      <c r="E31" s="29" t="s">
        <v>326</v>
      </c>
      <c r="F31" s="30">
        <v>11.0</v>
      </c>
      <c r="G31" s="30">
        <v>10.0</v>
      </c>
      <c r="H31" s="30">
        <v>41.0</v>
      </c>
      <c r="I31" s="30">
        <f>MAX(1,ROUND(H31^Guida!$B$18*Guida!$F$13,0))</f>
        <v>17</v>
      </c>
      <c r="J31" s="30">
        <f t="shared" si="2"/>
        <v>20</v>
      </c>
      <c r="K31" s="25" t="str">
        <f t="shared" si="3"/>
        <v>2a fascia</v>
      </c>
      <c r="L31" s="25" t="s">
        <v>68</v>
      </c>
      <c r="M31" s="21" t="s">
        <v>70</v>
      </c>
      <c r="N31" s="25" t="s">
        <v>71</v>
      </c>
      <c r="O31" s="25" t="s">
        <v>71</v>
      </c>
      <c r="P31" s="30">
        <v>18.0</v>
      </c>
      <c r="Q31" s="32">
        <v>6.17</v>
      </c>
      <c r="R31" s="32">
        <v>6.86</v>
      </c>
      <c r="S31" s="30">
        <v>4.0</v>
      </c>
      <c r="T31" s="30">
        <v>1.0</v>
      </c>
      <c r="U31" s="25" t="s">
        <v>72</v>
      </c>
      <c r="V31" s="30">
        <v>1.0</v>
      </c>
      <c r="W31" s="30">
        <v>0.0</v>
      </c>
      <c r="X31" s="30">
        <v>2.0</v>
      </c>
      <c r="Y31" s="32">
        <v>5.25</v>
      </c>
      <c r="Z31" s="32">
        <v>5.25</v>
      </c>
      <c r="AA31" s="30">
        <v>0.0</v>
      </c>
      <c r="AB31" s="30">
        <v>0.0</v>
      </c>
      <c r="AC31" s="25" t="s">
        <v>191</v>
      </c>
      <c r="AD31" s="25" t="s">
        <v>73</v>
      </c>
      <c r="AE31" s="32">
        <f t="shared" si="4"/>
        <v>6.48</v>
      </c>
      <c r="AF31" s="29" t="s">
        <v>320</v>
      </c>
      <c r="AG31" s="30">
        <v>3.0</v>
      </c>
      <c r="AH31" s="30">
        <f t="shared" si="5"/>
        <v>34</v>
      </c>
      <c r="AI31" s="29"/>
    </row>
    <row r="32" ht="15.75" customHeight="1">
      <c r="A32" s="11">
        <f t="shared" si="1"/>
        <v>28</v>
      </c>
      <c r="B32" s="16">
        <f>ROUND(Guida!$B$22*H32/Guida!$B$30+Guida!$B$23*MAX(0,MIN(1,(AE32-5.4)/1.6))+Guida!$B$24*0.35+Guida!$B$25*0.6,1)</f>
        <v>26.9</v>
      </c>
      <c r="C32" s="17" t="s">
        <v>464</v>
      </c>
      <c r="D32" s="11" t="s">
        <v>93</v>
      </c>
      <c r="E32" s="18" t="s">
        <v>69</v>
      </c>
      <c r="F32" s="19">
        <v>8.0</v>
      </c>
      <c r="G32" s="19">
        <v>9.0</v>
      </c>
      <c r="H32" s="19">
        <v>33.0</v>
      </c>
      <c r="I32" s="19">
        <f>MAX(1,ROUND(H32^Guida!$B$18*Guida!$F$13,0))</f>
        <v>15</v>
      </c>
      <c r="J32" s="19">
        <f t="shared" si="2"/>
        <v>18</v>
      </c>
      <c r="K32" s="11" t="str">
        <f t="shared" si="3"/>
        <v>2a fascia</v>
      </c>
      <c r="L32" s="11" t="s">
        <v>226</v>
      </c>
      <c r="M32" s="18" t="s">
        <v>277</v>
      </c>
      <c r="N32" s="11" t="s">
        <v>160</v>
      </c>
      <c r="O32" s="11" t="s">
        <v>77</v>
      </c>
      <c r="P32" s="19">
        <v>36.0</v>
      </c>
      <c r="Q32" s="22">
        <v>6.26</v>
      </c>
      <c r="R32" s="22">
        <v>6.19</v>
      </c>
      <c r="S32" s="19">
        <v>1.0</v>
      </c>
      <c r="T32" s="19">
        <v>2.0</v>
      </c>
      <c r="U32" s="11" t="s">
        <v>202</v>
      </c>
      <c r="V32" s="19">
        <v>9.0</v>
      </c>
      <c r="W32" s="19">
        <v>0.0</v>
      </c>
      <c r="X32" s="19">
        <v>2.0</v>
      </c>
      <c r="Y32" s="22">
        <v>6.5</v>
      </c>
      <c r="Z32" s="22">
        <v>6.75</v>
      </c>
      <c r="AA32" s="19">
        <v>0.0</v>
      </c>
      <c r="AB32" s="19">
        <v>1.0</v>
      </c>
      <c r="AC32" s="11" t="s">
        <v>93</v>
      </c>
      <c r="AD32" s="11" t="s">
        <v>73</v>
      </c>
      <c r="AE32" s="22">
        <f t="shared" si="4"/>
        <v>6.19</v>
      </c>
      <c r="AF32" s="18" t="s">
        <v>363</v>
      </c>
      <c r="AG32" s="19">
        <v>0.0</v>
      </c>
      <c r="AH32" s="19">
        <f t="shared" si="5"/>
        <v>43</v>
      </c>
      <c r="AI32" s="18"/>
    </row>
    <row r="33" ht="15.75" customHeight="1">
      <c r="A33" s="25">
        <f t="shared" si="1"/>
        <v>30</v>
      </c>
      <c r="B33" s="27">
        <f>ROUND(Guida!$B$22*H33/Guida!$B$30+Guida!$B$23*MAX(0,MIN(1,(AE33-5.4)/1.6))+Guida!$B$24*0.6+Guida!$B$25*0.35,1)</f>
        <v>26.5</v>
      </c>
      <c r="C33" s="28" t="s">
        <v>474</v>
      </c>
      <c r="D33" s="25" t="s">
        <v>195</v>
      </c>
      <c r="E33" s="29" t="s">
        <v>69</v>
      </c>
      <c r="F33" s="30">
        <v>4.0</v>
      </c>
      <c r="G33" s="30">
        <v>4.0</v>
      </c>
      <c r="H33" s="30">
        <v>12.0</v>
      </c>
      <c r="I33" s="30">
        <f>MAX(1,ROUND(H33^Guida!$B$18*Guida!$F$13,0))</f>
        <v>8</v>
      </c>
      <c r="J33" s="30">
        <f t="shared" si="2"/>
        <v>10</v>
      </c>
      <c r="K33" s="25" t="str">
        <f t="shared" si="3"/>
        <v>3a fascia</v>
      </c>
      <c r="L33" s="25" t="s">
        <v>332</v>
      </c>
      <c r="M33" s="36" t="s">
        <v>477</v>
      </c>
      <c r="N33" s="25" t="s">
        <v>77</v>
      </c>
      <c r="O33" s="25" t="s">
        <v>160</v>
      </c>
      <c r="P33" s="30">
        <v>27.0</v>
      </c>
      <c r="Q33" s="32">
        <v>6.07</v>
      </c>
      <c r="R33" s="32">
        <v>6.41</v>
      </c>
      <c r="S33" s="30">
        <v>3.0</v>
      </c>
      <c r="T33" s="30">
        <v>3.0</v>
      </c>
      <c r="U33" s="25" t="s">
        <v>297</v>
      </c>
      <c r="V33" s="30">
        <v>6.0</v>
      </c>
      <c r="W33" s="30">
        <v>0.0</v>
      </c>
      <c r="X33" s="30">
        <v>0.0</v>
      </c>
      <c r="Y33" s="32"/>
      <c r="Z33" s="32"/>
      <c r="AA33" s="30"/>
      <c r="AB33" s="30"/>
      <c r="AC33" s="25" t="s">
        <v>195</v>
      </c>
      <c r="AD33" s="25" t="s">
        <v>73</v>
      </c>
      <c r="AE33" s="32">
        <f t="shared" si="4"/>
        <v>6.41</v>
      </c>
      <c r="AF33" s="29" t="s">
        <v>320</v>
      </c>
      <c r="AG33" s="30">
        <v>0.0</v>
      </c>
      <c r="AH33" s="30">
        <f t="shared" si="5"/>
        <v>118</v>
      </c>
      <c r="AI33" s="29" t="s">
        <v>479</v>
      </c>
    </row>
    <row r="34" ht="15.75" customHeight="1">
      <c r="A34" s="11">
        <f t="shared" si="1"/>
        <v>31</v>
      </c>
      <c r="B34" s="16">
        <f>ROUND(Guida!$B$22*H34/Guida!$B$30+Guida!$B$23*MAX(0,MIN(1,(AE34-5.4)/1.6))+Guida!$B$24*0+Guida!$B$25*0,1)</f>
        <v>26.4</v>
      </c>
      <c r="C34" s="17" t="s">
        <v>484</v>
      </c>
      <c r="D34" s="11" t="s">
        <v>253</v>
      </c>
      <c r="E34" s="18" t="s">
        <v>198</v>
      </c>
      <c r="F34" s="19">
        <v>10.0</v>
      </c>
      <c r="G34" s="19">
        <v>10.0</v>
      </c>
      <c r="H34" s="19">
        <v>39.0</v>
      </c>
      <c r="I34" s="19">
        <f>MAX(1,ROUND(H34^Guida!$B$18*Guida!$F$13,0))</f>
        <v>16</v>
      </c>
      <c r="J34" s="19">
        <f t="shared" si="2"/>
        <v>19</v>
      </c>
      <c r="K34" s="11" t="str">
        <f t="shared" si="3"/>
        <v>2a fascia</v>
      </c>
      <c r="L34" s="11" t="s">
        <v>68</v>
      </c>
      <c r="M34" s="21" t="s">
        <v>70</v>
      </c>
      <c r="N34" s="11" t="s">
        <v>71</v>
      </c>
      <c r="O34" s="11" t="s">
        <v>71</v>
      </c>
      <c r="P34" s="19">
        <v>31.0</v>
      </c>
      <c r="Q34" s="22">
        <v>6.15</v>
      </c>
      <c r="R34" s="22">
        <v>6.48</v>
      </c>
      <c r="S34" s="19">
        <v>4.0</v>
      </c>
      <c r="T34" s="19">
        <v>3.0</v>
      </c>
      <c r="U34" s="11" t="s">
        <v>72</v>
      </c>
      <c r="V34" s="19">
        <v>9.0</v>
      </c>
      <c r="W34" s="19">
        <v>0.0</v>
      </c>
      <c r="X34" s="19">
        <v>2.0</v>
      </c>
      <c r="Y34" s="22">
        <v>6.0</v>
      </c>
      <c r="Z34" s="22">
        <v>6.0</v>
      </c>
      <c r="AA34" s="19">
        <v>0.0</v>
      </c>
      <c r="AB34" s="19">
        <v>0.0</v>
      </c>
      <c r="AC34" s="11" t="s">
        <v>253</v>
      </c>
      <c r="AD34" s="11" t="s">
        <v>73</v>
      </c>
      <c r="AE34" s="22">
        <f t="shared" si="4"/>
        <v>6.48</v>
      </c>
      <c r="AF34" s="18" t="s">
        <v>216</v>
      </c>
      <c r="AG34" s="19">
        <v>4.0</v>
      </c>
      <c r="AH34" s="19">
        <f t="shared" si="5"/>
        <v>37</v>
      </c>
      <c r="AI34" s="18"/>
    </row>
    <row r="35" ht="15.75" customHeight="1">
      <c r="A35" s="25">
        <f t="shared" si="1"/>
        <v>32</v>
      </c>
      <c r="B35" s="27">
        <f>ROUND(Guida!$B$22*H35/Guida!$B$30+Guida!$B$23*MAX(0,MIN(1,(AE35-5.4)/1.6))+Guida!$B$24*0+Guida!$B$25*0,1)</f>
        <v>26.1</v>
      </c>
      <c r="C35" s="28" t="s">
        <v>490</v>
      </c>
      <c r="D35" s="25" t="s">
        <v>60</v>
      </c>
      <c r="E35" s="29" t="s">
        <v>222</v>
      </c>
      <c r="F35" s="30">
        <v>19.0</v>
      </c>
      <c r="G35" s="30">
        <v>20.0</v>
      </c>
      <c r="H35" s="30">
        <v>100.0</v>
      </c>
      <c r="I35" s="30">
        <f>MAX(1,ROUND(H35^Guida!$B$18*Guida!$F$13,0))</f>
        <v>29</v>
      </c>
      <c r="J35" s="30">
        <f t="shared" si="2"/>
        <v>35</v>
      </c>
      <c r="K35" s="25" t="str">
        <f t="shared" si="3"/>
        <v>2a fascia</v>
      </c>
      <c r="L35" s="25" t="s">
        <v>68</v>
      </c>
      <c r="M35" s="21" t="s">
        <v>100</v>
      </c>
      <c r="N35" s="25" t="s">
        <v>71</v>
      </c>
      <c r="O35" s="25" t="s">
        <v>71</v>
      </c>
      <c r="P35" s="30"/>
      <c r="Q35" s="32"/>
      <c r="R35" s="32"/>
      <c r="S35" s="30"/>
      <c r="T35" s="30"/>
      <c r="U35" s="25"/>
      <c r="V35" s="30"/>
      <c r="W35" s="30"/>
      <c r="X35" s="30">
        <v>2.0</v>
      </c>
      <c r="Y35" s="32">
        <v>6.75</v>
      </c>
      <c r="Z35" s="32">
        <v>8.25</v>
      </c>
      <c r="AA35" s="30">
        <v>1.0</v>
      </c>
      <c r="AB35" s="30">
        <v>0.0</v>
      </c>
      <c r="AC35" s="25" t="s">
        <v>71</v>
      </c>
      <c r="AD35" s="25" t="s">
        <v>103</v>
      </c>
      <c r="AE35" s="32">
        <f t="shared" si="4"/>
        <v>5.5</v>
      </c>
      <c r="AF35" s="29" t="s">
        <v>434</v>
      </c>
      <c r="AG35" s="30">
        <v>0.0</v>
      </c>
      <c r="AH35" s="30">
        <f t="shared" si="5"/>
        <v>9</v>
      </c>
      <c r="AI35" s="29"/>
    </row>
    <row r="36" ht="15.75" customHeight="1">
      <c r="A36" s="11">
        <f t="shared" si="1"/>
        <v>32</v>
      </c>
      <c r="B36" s="16">
        <f>ROUND(Guida!$B$22*H36/Guida!$B$30+Guida!$B$23*MAX(0,MIN(1,(AE36-5.4)/1.6))+Guida!$B$24*0+Guida!$B$25*0.35,1)</f>
        <v>26.1</v>
      </c>
      <c r="C36" s="17" t="s">
        <v>497</v>
      </c>
      <c r="D36" s="11" t="s">
        <v>175</v>
      </c>
      <c r="E36" s="18" t="s">
        <v>65</v>
      </c>
      <c r="F36" s="19">
        <v>10.0</v>
      </c>
      <c r="G36" s="19">
        <v>11.0</v>
      </c>
      <c r="H36" s="19">
        <v>35.0</v>
      </c>
      <c r="I36" s="19">
        <f>MAX(1,ROUND(H36^Guida!$B$18*Guida!$F$13,0))</f>
        <v>15</v>
      </c>
      <c r="J36" s="19">
        <f t="shared" si="2"/>
        <v>18</v>
      </c>
      <c r="K36" s="11" t="str">
        <f t="shared" si="3"/>
        <v>2a fascia</v>
      </c>
      <c r="L36" s="11" t="s">
        <v>226</v>
      </c>
      <c r="M36" s="18" t="s">
        <v>277</v>
      </c>
      <c r="N36" s="11" t="s">
        <v>71</v>
      </c>
      <c r="O36" s="11" t="s">
        <v>160</v>
      </c>
      <c r="P36" s="19">
        <v>35.0</v>
      </c>
      <c r="Q36" s="22">
        <v>6.14</v>
      </c>
      <c r="R36" s="22">
        <v>6.41</v>
      </c>
      <c r="S36" s="19">
        <v>3.0</v>
      </c>
      <c r="T36" s="19">
        <v>3.0</v>
      </c>
      <c r="U36" s="11" t="s">
        <v>72</v>
      </c>
      <c r="V36" s="19">
        <v>5.0</v>
      </c>
      <c r="W36" s="19">
        <v>0.0</v>
      </c>
      <c r="X36" s="19">
        <v>2.0</v>
      </c>
      <c r="Y36" s="22">
        <v>6.5</v>
      </c>
      <c r="Z36" s="22">
        <v>7.0</v>
      </c>
      <c r="AA36" s="19">
        <v>0.0</v>
      </c>
      <c r="AB36" s="19">
        <v>1.0</v>
      </c>
      <c r="AC36" s="11" t="s">
        <v>175</v>
      </c>
      <c r="AD36" s="11" t="s">
        <v>73</v>
      </c>
      <c r="AE36" s="22">
        <f t="shared" si="4"/>
        <v>6.41</v>
      </c>
      <c r="AF36" s="18" t="s">
        <v>216</v>
      </c>
      <c r="AG36" s="19">
        <v>0.0</v>
      </c>
      <c r="AH36" s="19">
        <f t="shared" si="5"/>
        <v>39</v>
      </c>
      <c r="AI36" s="18"/>
    </row>
    <row r="37" ht="15.75" customHeight="1">
      <c r="A37" s="25">
        <f t="shared" si="1"/>
        <v>34</v>
      </c>
      <c r="B37" s="27">
        <f>ROUND(Guida!$B$22*H37/Guida!$B$30+Guida!$B$23*MAX(0,MIN(1,(AE37-5.4)/1.6))+Guida!$B$24*0+Guida!$B$25*0,1)</f>
        <v>25.8</v>
      </c>
      <c r="C37" s="28" t="s">
        <v>504</v>
      </c>
      <c r="D37" s="25" t="s">
        <v>195</v>
      </c>
      <c r="E37" s="29" t="s">
        <v>198</v>
      </c>
      <c r="F37" s="30">
        <v>13.0</v>
      </c>
      <c r="G37" s="30">
        <v>13.0</v>
      </c>
      <c r="H37" s="30">
        <v>53.0</v>
      </c>
      <c r="I37" s="30">
        <f>MAX(1,ROUND(H37^Guida!$B$18*Guida!$F$13,0))</f>
        <v>20</v>
      </c>
      <c r="J37" s="30">
        <f t="shared" si="2"/>
        <v>24</v>
      </c>
      <c r="K37" s="25" t="str">
        <f t="shared" si="3"/>
        <v>2a fascia</v>
      </c>
      <c r="L37" s="25" t="s">
        <v>68</v>
      </c>
      <c r="M37" s="21" t="s">
        <v>70</v>
      </c>
      <c r="N37" s="25" t="s">
        <v>71</v>
      </c>
      <c r="O37" s="25" t="s">
        <v>71</v>
      </c>
      <c r="P37" s="30">
        <v>17.0</v>
      </c>
      <c r="Q37" s="32">
        <v>6.06</v>
      </c>
      <c r="R37" s="32">
        <v>6.56</v>
      </c>
      <c r="S37" s="30">
        <v>3.0</v>
      </c>
      <c r="T37" s="30">
        <v>2.0</v>
      </c>
      <c r="U37" s="25" t="s">
        <v>72</v>
      </c>
      <c r="V37" s="30">
        <v>5.0</v>
      </c>
      <c r="W37" s="30">
        <v>0.0</v>
      </c>
      <c r="X37" s="30">
        <v>2.0</v>
      </c>
      <c r="Y37" s="32">
        <v>6.0</v>
      </c>
      <c r="Z37" s="32">
        <v>6.0</v>
      </c>
      <c r="AA37" s="30">
        <v>0.0</v>
      </c>
      <c r="AB37" s="30">
        <v>0.0</v>
      </c>
      <c r="AC37" s="25" t="s">
        <v>195</v>
      </c>
      <c r="AD37" s="25" t="s">
        <v>73</v>
      </c>
      <c r="AE37" s="32">
        <f t="shared" si="4"/>
        <v>6.22</v>
      </c>
      <c r="AF37" s="29" t="s">
        <v>320</v>
      </c>
      <c r="AG37" s="30">
        <v>0.0</v>
      </c>
      <c r="AH37" s="30">
        <f t="shared" si="5"/>
        <v>20</v>
      </c>
      <c r="AI37" s="29"/>
    </row>
    <row r="38" ht="15.75" customHeight="1">
      <c r="A38" s="11">
        <f t="shared" si="1"/>
        <v>35</v>
      </c>
      <c r="B38" s="16">
        <f>ROUND(Guida!$B$22*H38/Guida!$B$30+Guida!$B$23*MAX(0,MIN(1,(AE38-5.4)/1.6))+Guida!$B$24*0+Guida!$B$25*0,1)</f>
        <v>25</v>
      </c>
      <c r="C38" s="17" t="s">
        <v>511</v>
      </c>
      <c r="D38" s="11" t="s">
        <v>133</v>
      </c>
      <c r="E38" s="18" t="s">
        <v>69</v>
      </c>
      <c r="F38" s="19">
        <v>10.0</v>
      </c>
      <c r="G38" s="19">
        <v>10.0</v>
      </c>
      <c r="H38" s="19">
        <v>34.0</v>
      </c>
      <c r="I38" s="19">
        <f>MAX(1,ROUND(H38^Guida!$B$18*Guida!$F$13,0))</f>
        <v>15</v>
      </c>
      <c r="J38" s="19">
        <f t="shared" si="2"/>
        <v>18</v>
      </c>
      <c r="K38" s="11" t="str">
        <f t="shared" si="3"/>
        <v>2a fascia</v>
      </c>
      <c r="L38" s="11" t="s">
        <v>226</v>
      </c>
      <c r="M38" s="18" t="s">
        <v>277</v>
      </c>
      <c r="N38" s="11" t="s">
        <v>71</v>
      </c>
      <c r="O38" s="11" t="s">
        <v>71</v>
      </c>
      <c r="P38" s="19">
        <v>36.0</v>
      </c>
      <c r="Q38" s="22">
        <v>6.22</v>
      </c>
      <c r="R38" s="22">
        <v>6.47</v>
      </c>
      <c r="S38" s="19">
        <v>3.0</v>
      </c>
      <c r="T38" s="19">
        <v>4.0</v>
      </c>
      <c r="U38" s="11" t="s">
        <v>72</v>
      </c>
      <c r="V38" s="19">
        <v>8.0</v>
      </c>
      <c r="W38" s="19">
        <v>0.0</v>
      </c>
      <c r="X38" s="19">
        <v>2.0</v>
      </c>
      <c r="Y38" s="22">
        <v>6.0</v>
      </c>
      <c r="Z38" s="22">
        <v>6.0</v>
      </c>
      <c r="AA38" s="19">
        <v>0.0</v>
      </c>
      <c r="AB38" s="19">
        <v>0.0</v>
      </c>
      <c r="AC38" s="11" t="s">
        <v>133</v>
      </c>
      <c r="AD38" s="11" t="s">
        <v>73</v>
      </c>
      <c r="AE38" s="22">
        <f t="shared" si="4"/>
        <v>6.47</v>
      </c>
      <c r="AF38" s="18" t="s">
        <v>254</v>
      </c>
      <c r="AG38" s="19">
        <v>6.0</v>
      </c>
      <c r="AH38" s="19">
        <f t="shared" si="5"/>
        <v>41</v>
      </c>
      <c r="AI38" s="18"/>
    </row>
    <row r="39" ht="15.75" customHeight="1">
      <c r="A39" s="25">
        <f t="shared" si="1"/>
        <v>36</v>
      </c>
      <c r="B39" s="27">
        <f>ROUND(Guida!$B$22*H39/Guida!$B$30+Guida!$B$23*MAX(0,MIN(1,(AE39-5.4)/1.6))+Guida!$B$24*0+Guida!$B$25*0,1)</f>
        <v>24.7</v>
      </c>
      <c r="C39" s="28" t="s">
        <v>517</v>
      </c>
      <c r="D39" s="25" t="s">
        <v>212</v>
      </c>
      <c r="E39" s="29" t="s">
        <v>326</v>
      </c>
      <c r="F39" s="30">
        <v>9.0</v>
      </c>
      <c r="G39" s="30">
        <v>8.0</v>
      </c>
      <c r="H39" s="30">
        <v>23.0</v>
      </c>
      <c r="I39" s="30">
        <f>MAX(1,ROUND(H39^Guida!$B$18*Guida!$F$13,0))</f>
        <v>12</v>
      </c>
      <c r="J39" s="30">
        <f t="shared" si="2"/>
        <v>14</v>
      </c>
      <c r="K39" s="25" t="str">
        <f t="shared" si="3"/>
        <v>3a fascia</v>
      </c>
      <c r="L39" s="25" t="s">
        <v>68</v>
      </c>
      <c r="M39" s="21" t="s">
        <v>100</v>
      </c>
      <c r="N39" s="25" t="s">
        <v>71</v>
      </c>
      <c r="O39" s="25" t="s">
        <v>71</v>
      </c>
      <c r="P39" s="30">
        <v>34.0</v>
      </c>
      <c r="Q39" s="32">
        <v>6.04</v>
      </c>
      <c r="R39" s="32">
        <v>6.62</v>
      </c>
      <c r="S39" s="30">
        <v>7.0</v>
      </c>
      <c r="T39" s="30">
        <v>2.0</v>
      </c>
      <c r="U39" s="25" t="s">
        <v>188</v>
      </c>
      <c r="V39" s="30">
        <v>7.0</v>
      </c>
      <c r="W39" s="30">
        <v>0.0</v>
      </c>
      <c r="X39" s="30">
        <v>2.0</v>
      </c>
      <c r="Y39" s="32">
        <v>5.25</v>
      </c>
      <c r="Z39" s="32">
        <v>5.25</v>
      </c>
      <c r="AA39" s="30">
        <v>0.0</v>
      </c>
      <c r="AB39" s="30">
        <v>0.0</v>
      </c>
      <c r="AC39" s="25" t="s">
        <v>208</v>
      </c>
      <c r="AD39" s="25" t="s">
        <v>103</v>
      </c>
      <c r="AE39" s="32">
        <f t="shared" si="4"/>
        <v>6.62</v>
      </c>
      <c r="AF39" s="29" t="s">
        <v>275</v>
      </c>
      <c r="AG39" s="30">
        <v>0.0</v>
      </c>
      <c r="AH39" s="30">
        <f t="shared" si="5"/>
        <v>63</v>
      </c>
      <c r="AI39" s="29"/>
    </row>
    <row r="40" ht="15.75" customHeight="1">
      <c r="A40" s="11">
        <f t="shared" si="1"/>
        <v>37</v>
      </c>
      <c r="B40" s="16">
        <f>ROUND(Guida!$B$22*H40/Guida!$B$30+Guida!$B$23*MAX(0,MIN(1,(AE40-5.4)/1.6))+Guida!$B$24*0+Guida!$B$25*0,1)</f>
        <v>24.6</v>
      </c>
      <c r="C40" s="17" t="s">
        <v>525</v>
      </c>
      <c r="D40" s="11" t="s">
        <v>195</v>
      </c>
      <c r="E40" s="18" t="s">
        <v>183</v>
      </c>
      <c r="F40" s="19">
        <v>9.0</v>
      </c>
      <c r="G40" s="19">
        <v>9.0</v>
      </c>
      <c r="H40" s="19">
        <v>22.0</v>
      </c>
      <c r="I40" s="19">
        <f>MAX(1,ROUND(H40^Guida!$B$18*Guida!$F$13,0))</f>
        <v>12</v>
      </c>
      <c r="J40" s="19">
        <f t="shared" si="2"/>
        <v>14</v>
      </c>
      <c r="K40" s="11" t="str">
        <f t="shared" si="3"/>
        <v>3a fascia</v>
      </c>
      <c r="L40" s="11" t="s">
        <v>226</v>
      </c>
      <c r="M40" s="18" t="s">
        <v>277</v>
      </c>
      <c r="N40" s="11" t="s">
        <v>71</v>
      </c>
      <c r="O40" s="11" t="s">
        <v>71</v>
      </c>
      <c r="P40" s="19">
        <v>27.0</v>
      </c>
      <c r="Q40" s="22">
        <v>6.04</v>
      </c>
      <c r="R40" s="22">
        <v>6.63</v>
      </c>
      <c r="S40" s="19">
        <v>5.0</v>
      </c>
      <c r="T40" s="19">
        <v>1.0</v>
      </c>
      <c r="U40" s="11" t="s">
        <v>72</v>
      </c>
      <c r="V40" s="19">
        <v>0.0</v>
      </c>
      <c r="W40" s="19">
        <v>0.0</v>
      </c>
      <c r="X40" s="19">
        <v>2.0</v>
      </c>
      <c r="Y40" s="22">
        <v>6.0</v>
      </c>
      <c r="Z40" s="22">
        <v>6.0</v>
      </c>
      <c r="AA40" s="19">
        <v>0.0</v>
      </c>
      <c r="AB40" s="19">
        <v>0.0</v>
      </c>
      <c r="AC40" s="11" t="s">
        <v>195</v>
      </c>
      <c r="AD40" s="11" t="s">
        <v>73</v>
      </c>
      <c r="AE40" s="22">
        <f t="shared" si="4"/>
        <v>6.63</v>
      </c>
      <c r="AF40" s="18" t="s">
        <v>320</v>
      </c>
      <c r="AG40" s="19">
        <v>0.0</v>
      </c>
      <c r="AH40" s="19">
        <f t="shared" si="5"/>
        <v>68</v>
      </c>
      <c r="AI40" s="18"/>
    </row>
    <row r="41" ht="15.75" customHeight="1">
      <c r="A41" s="25">
        <f t="shared" si="1"/>
        <v>38</v>
      </c>
      <c r="B41" s="27">
        <f>ROUND(Guida!$B$22*H41/Guida!$B$30+Guida!$B$23*MAX(0,MIN(1,(AE41-5.4)/1.6))+Guida!$B$24*0+Guida!$B$25*0,1)</f>
        <v>24.5</v>
      </c>
      <c r="C41" s="28" t="s">
        <v>530</v>
      </c>
      <c r="D41" s="25" t="s">
        <v>195</v>
      </c>
      <c r="E41" s="29" t="s">
        <v>134</v>
      </c>
      <c r="F41" s="30">
        <v>13.0</v>
      </c>
      <c r="G41" s="30">
        <v>12.0</v>
      </c>
      <c r="H41" s="30">
        <v>40.0</v>
      </c>
      <c r="I41" s="30">
        <f>MAX(1,ROUND(H41^Guida!$B$18*Guida!$F$13,0))</f>
        <v>17</v>
      </c>
      <c r="J41" s="30">
        <f t="shared" si="2"/>
        <v>20</v>
      </c>
      <c r="K41" s="25" t="str">
        <f t="shared" si="3"/>
        <v>2a fascia</v>
      </c>
      <c r="L41" s="25" t="s">
        <v>68</v>
      </c>
      <c r="M41" s="29" t="s">
        <v>294</v>
      </c>
      <c r="N41" s="25" t="s">
        <v>71</v>
      </c>
      <c r="O41" s="25" t="s">
        <v>71</v>
      </c>
      <c r="P41" s="30">
        <v>32.0</v>
      </c>
      <c r="Q41" s="32">
        <v>5.88</v>
      </c>
      <c r="R41" s="32">
        <v>6.34</v>
      </c>
      <c r="S41" s="30">
        <v>5.0</v>
      </c>
      <c r="T41" s="30">
        <v>3.0</v>
      </c>
      <c r="U41" s="25" t="s">
        <v>225</v>
      </c>
      <c r="V41" s="30">
        <v>4.0</v>
      </c>
      <c r="W41" s="30">
        <v>1.0</v>
      </c>
      <c r="X41" s="30">
        <v>1.0</v>
      </c>
      <c r="Y41" s="32">
        <v>4.5</v>
      </c>
      <c r="Z41" s="32">
        <v>4.0</v>
      </c>
      <c r="AA41" s="30">
        <v>0.0</v>
      </c>
      <c r="AB41" s="30">
        <v>0.0</v>
      </c>
      <c r="AC41" s="25" t="s">
        <v>208</v>
      </c>
      <c r="AD41" s="25" t="s">
        <v>103</v>
      </c>
      <c r="AE41" s="32">
        <f t="shared" si="4"/>
        <v>6.34</v>
      </c>
      <c r="AF41" s="29" t="s">
        <v>320</v>
      </c>
      <c r="AG41" s="30">
        <v>0.0</v>
      </c>
      <c r="AH41" s="30">
        <f t="shared" si="5"/>
        <v>35</v>
      </c>
      <c r="AI41" s="29"/>
    </row>
    <row r="42" ht="15.75" customHeight="1">
      <c r="A42" s="11">
        <f t="shared" si="1"/>
        <v>38</v>
      </c>
      <c r="B42" s="16">
        <f>ROUND(Guida!$B$22*H42/Guida!$B$30+Guida!$B$23*MAX(0,MIN(1,(AE42-5.4)/1.6))+Guida!$B$24*0+Guida!$B$25*0.35,1)</f>
        <v>24.5</v>
      </c>
      <c r="C42" s="17" t="s">
        <v>537</v>
      </c>
      <c r="D42" s="11" t="s">
        <v>60</v>
      </c>
      <c r="E42" s="18" t="s">
        <v>198</v>
      </c>
      <c r="F42" s="19">
        <v>10.0</v>
      </c>
      <c r="G42" s="19">
        <v>9.0</v>
      </c>
      <c r="H42" s="19">
        <v>20.0</v>
      </c>
      <c r="I42" s="19">
        <f>MAX(1,ROUND(H42^Guida!$B$18*Guida!$F$13,0))</f>
        <v>11</v>
      </c>
      <c r="J42" s="19">
        <f t="shared" si="2"/>
        <v>13</v>
      </c>
      <c r="K42" s="11" t="str">
        <f t="shared" si="3"/>
        <v>3a fascia</v>
      </c>
      <c r="L42" s="11" t="s">
        <v>68</v>
      </c>
      <c r="M42" s="37" t="s">
        <v>146</v>
      </c>
      <c r="N42" s="11" t="s">
        <v>71</v>
      </c>
      <c r="O42" s="11" t="s">
        <v>160</v>
      </c>
      <c r="P42" s="19">
        <v>24.0</v>
      </c>
      <c r="Q42" s="22">
        <v>6.04</v>
      </c>
      <c r="R42" s="22">
        <v>6.58</v>
      </c>
      <c r="S42" s="19">
        <v>4.0</v>
      </c>
      <c r="T42" s="19">
        <v>2.0</v>
      </c>
      <c r="U42" s="11" t="s">
        <v>297</v>
      </c>
      <c r="V42" s="19">
        <v>2.0</v>
      </c>
      <c r="W42" s="19">
        <v>0.0</v>
      </c>
      <c r="X42" s="19">
        <v>0.0</v>
      </c>
      <c r="Y42" s="22"/>
      <c r="Z42" s="22"/>
      <c r="AA42" s="19"/>
      <c r="AB42" s="19"/>
      <c r="AC42" s="11" t="s">
        <v>60</v>
      </c>
      <c r="AD42" s="11" t="s">
        <v>73</v>
      </c>
      <c r="AE42" s="22">
        <f t="shared" si="4"/>
        <v>6.54</v>
      </c>
      <c r="AF42" s="18" t="s">
        <v>434</v>
      </c>
      <c r="AG42" s="19">
        <v>0.0</v>
      </c>
      <c r="AH42" s="19">
        <f t="shared" si="5"/>
        <v>76</v>
      </c>
      <c r="AI42" s="18"/>
    </row>
    <row r="43" ht="15.75" customHeight="1">
      <c r="A43" s="25">
        <f t="shared" si="1"/>
        <v>40</v>
      </c>
      <c r="B43" s="27">
        <f>ROUND(Guida!$B$22*H43/Guida!$B$30+Guida!$B$23*MAX(0,MIN(1,(AE43-5.4)/1.6))+Guida!$B$24*0+Guida!$B$25*0,1)</f>
        <v>24.1</v>
      </c>
      <c r="C43" s="28" t="s">
        <v>541</v>
      </c>
      <c r="D43" s="25" t="s">
        <v>253</v>
      </c>
      <c r="E43" s="29" t="s">
        <v>326</v>
      </c>
      <c r="F43" s="30">
        <v>9.0</v>
      </c>
      <c r="G43" s="30">
        <v>8.0</v>
      </c>
      <c r="H43" s="30">
        <v>20.0</v>
      </c>
      <c r="I43" s="30">
        <f>MAX(1,ROUND(H43^Guida!$B$18*Guida!$F$13,0))</f>
        <v>11</v>
      </c>
      <c r="J43" s="30">
        <f t="shared" si="2"/>
        <v>13</v>
      </c>
      <c r="K43" s="25" t="str">
        <f t="shared" si="3"/>
        <v>3a fascia</v>
      </c>
      <c r="L43" s="25" t="s">
        <v>68</v>
      </c>
      <c r="M43" s="36" t="s">
        <v>457</v>
      </c>
      <c r="N43" s="25" t="s">
        <v>71</v>
      </c>
      <c r="O43" s="25" t="s">
        <v>71</v>
      </c>
      <c r="P43" s="30">
        <v>35.0</v>
      </c>
      <c r="Q43" s="32">
        <v>6.19</v>
      </c>
      <c r="R43" s="32">
        <v>6.63</v>
      </c>
      <c r="S43" s="30">
        <v>6.0</v>
      </c>
      <c r="T43" s="30">
        <v>0.0</v>
      </c>
      <c r="U43" s="25" t="s">
        <v>72</v>
      </c>
      <c r="V43" s="30">
        <v>3.0</v>
      </c>
      <c r="W43" s="30">
        <v>1.0</v>
      </c>
      <c r="X43" s="30">
        <v>0.0</v>
      </c>
      <c r="Y43" s="32"/>
      <c r="Z43" s="32"/>
      <c r="AA43" s="30"/>
      <c r="AB43" s="30"/>
      <c r="AC43" s="25" t="s">
        <v>253</v>
      </c>
      <c r="AD43" s="25" t="s">
        <v>73</v>
      </c>
      <c r="AE43" s="32">
        <f t="shared" si="4"/>
        <v>6.63</v>
      </c>
      <c r="AF43" s="29" t="s">
        <v>216</v>
      </c>
      <c r="AG43" s="30">
        <v>4.0</v>
      </c>
      <c r="AH43" s="30">
        <f t="shared" si="5"/>
        <v>76</v>
      </c>
      <c r="AI43" s="29" t="s">
        <v>545</v>
      </c>
    </row>
    <row r="44" ht="15.75" customHeight="1">
      <c r="A44" s="11">
        <f t="shared" si="1"/>
        <v>41</v>
      </c>
      <c r="B44" s="16">
        <f>ROUND(Guida!$B$22*H44/Guida!$B$30+Guida!$B$23*MAX(0,MIN(1,(AE44-5.4)/1.6))+Guida!$B$24*0+Guida!$B$25*0,1)</f>
        <v>23.4</v>
      </c>
      <c r="C44" s="17" t="s">
        <v>546</v>
      </c>
      <c r="D44" s="11" t="s">
        <v>195</v>
      </c>
      <c r="E44" s="18" t="s">
        <v>198</v>
      </c>
      <c r="F44" s="19">
        <v>7.0</v>
      </c>
      <c r="G44" s="19">
        <v>10.0</v>
      </c>
      <c r="H44" s="19">
        <v>75.0</v>
      </c>
      <c r="I44" s="19">
        <f>MAX(1,ROUND(H44^Guida!$B$18*Guida!$F$13,0))</f>
        <v>24</v>
      </c>
      <c r="J44" s="19">
        <f t="shared" si="2"/>
        <v>29</v>
      </c>
      <c r="K44" s="11" t="str">
        <f t="shared" si="3"/>
        <v>2a fascia</v>
      </c>
      <c r="L44" s="11" t="s">
        <v>68</v>
      </c>
      <c r="M44" s="21" t="s">
        <v>100</v>
      </c>
      <c r="N44" s="11" t="s">
        <v>71</v>
      </c>
      <c r="O44" s="11" t="s">
        <v>71</v>
      </c>
      <c r="P44" s="19">
        <v>14.0</v>
      </c>
      <c r="Q44" s="22">
        <v>5.89</v>
      </c>
      <c r="R44" s="22">
        <v>5.89</v>
      </c>
      <c r="S44" s="19">
        <v>0.0</v>
      </c>
      <c r="T44" s="19">
        <v>0.0</v>
      </c>
      <c r="U44" s="11" t="s">
        <v>72</v>
      </c>
      <c r="V44" s="19">
        <v>0.0</v>
      </c>
      <c r="W44" s="19">
        <v>0.0</v>
      </c>
      <c r="X44" s="19">
        <v>2.0</v>
      </c>
      <c r="Y44" s="22">
        <v>7.25</v>
      </c>
      <c r="Z44" s="22">
        <v>10.25</v>
      </c>
      <c r="AA44" s="19">
        <v>2.0</v>
      </c>
      <c r="AB44" s="19">
        <v>0.0</v>
      </c>
      <c r="AC44" s="11" t="s">
        <v>64</v>
      </c>
      <c r="AD44" s="11" t="s">
        <v>103</v>
      </c>
      <c r="AE44" s="22">
        <f t="shared" si="4"/>
        <v>5.72</v>
      </c>
      <c r="AF44" s="18" t="s">
        <v>320</v>
      </c>
      <c r="AG44" s="19">
        <v>0.0</v>
      </c>
      <c r="AH44" s="19">
        <f t="shared" si="5"/>
        <v>15</v>
      </c>
      <c r="AI44" s="18"/>
    </row>
    <row r="45" ht="15.75" customHeight="1">
      <c r="A45" s="25">
        <f t="shared" si="1"/>
        <v>42</v>
      </c>
      <c r="B45" s="27">
        <f>ROUND(Guida!$B$22*H45/Guida!$B$30+Guida!$B$23*MAX(0,MIN(1,(AE45-5.4)/1.6))+Guida!$B$24*0+Guida!$B$25*0.35,1)</f>
        <v>23.3</v>
      </c>
      <c r="C45" s="28" t="s">
        <v>551</v>
      </c>
      <c r="D45" s="25" t="s">
        <v>143</v>
      </c>
      <c r="E45" s="29" t="s">
        <v>69</v>
      </c>
      <c r="F45" s="30">
        <v>7.0</v>
      </c>
      <c r="G45" s="30">
        <v>7.0</v>
      </c>
      <c r="H45" s="30">
        <v>30.0</v>
      </c>
      <c r="I45" s="30">
        <f>MAX(1,ROUND(H45^Guida!$B$18*Guida!$F$13,0))</f>
        <v>14</v>
      </c>
      <c r="J45" s="30">
        <f t="shared" si="2"/>
        <v>17</v>
      </c>
      <c r="K45" s="25" t="str">
        <f t="shared" si="3"/>
        <v>3a fascia</v>
      </c>
      <c r="L45" s="25" t="s">
        <v>226</v>
      </c>
      <c r="M45" s="29" t="s">
        <v>300</v>
      </c>
      <c r="N45" s="25" t="s">
        <v>71</v>
      </c>
      <c r="O45" s="25" t="s">
        <v>160</v>
      </c>
      <c r="P45" s="30">
        <v>32.0</v>
      </c>
      <c r="Q45" s="32">
        <v>6.06</v>
      </c>
      <c r="R45" s="32">
        <v>6.31</v>
      </c>
      <c r="S45" s="30">
        <v>2.0</v>
      </c>
      <c r="T45" s="30">
        <v>4.0</v>
      </c>
      <c r="U45" s="25" t="s">
        <v>72</v>
      </c>
      <c r="V45" s="30">
        <v>4.0</v>
      </c>
      <c r="W45" s="30">
        <v>0.0</v>
      </c>
      <c r="X45" s="30">
        <v>2.0</v>
      </c>
      <c r="Y45" s="32">
        <v>5.75</v>
      </c>
      <c r="Z45" s="32">
        <v>6.25</v>
      </c>
      <c r="AA45" s="30">
        <v>0.0</v>
      </c>
      <c r="AB45" s="30">
        <v>1.0</v>
      </c>
      <c r="AC45" s="25" t="s">
        <v>239</v>
      </c>
      <c r="AD45" s="25" t="s">
        <v>103</v>
      </c>
      <c r="AE45" s="32">
        <f t="shared" si="4"/>
        <v>6.31</v>
      </c>
      <c r="AF45" s="29" t="s">
        <v>419</v>
      </c>
      <c r="AG45" s="30">
        <v>5.0</v>
      </c>
      <c r="AH45" s="30">
        <f t="shared" si="5"/>
        <v>45</v>
      </c>
      <c r="AI45" s="29"/>
    </row>
    <row r="46" ht="15.75" customHeight="1">
      <c r="A46" s="11">
        <f t="shared" si="1"/>
        <v>43</v>
      </c>
      <c r="B46" s="16">
        <f>ROUND(Guida!$B$22*H46/Guida!$B$30+Guida!$B$23*MAX(0,MIN(1,(AE46-5.4)/1.6))+Guida!$B$24*1+Guida!$B$25*1,1)</f>
        <v>23.2</v>
      </c>
      <c r="C46" s="17" t="s">
        <v>560</v>
      </c>
      <c r="D46" s="11" t="s">
        <v>261</v>
      </c>
      <c r="E46" s="18" t="s">
        <v>69</v>
      </c>
      <c r="F46" s="19">
        <v>7.0</v>
      </c>
      <c r="G46" s="19">
        <v>8.0</v>
      </c>
      <c r="H46" s="19">
        <v>27.0</v>
      </c>
      <c r="I46" s="19">
        <f>MAX(1,ROUND(H46^Guida!$B$18*Guida!$F$13,0))</f>
        <v>13</v>
      </c>
      <c r="J46" s="19">
        <f t="shared" si="2"/>
        <v>16</v>
      </c>
      <c r="K46" s="11" t="str">
        <f t="shared" si="3"/>
        <v>3a fascia</v>
      </c>
      <c r="L46" s="11" t="s">
        <v>68</v>
      </c>
      <c r="M46" s="21" t="s">
        <v>100</v>
      </c>
      <c r="N46" s="11" t="s">
        <v>84</v>
      </c>
      <c r="O46" s="11" t="s">
        <v>84</v>
      </c>
      <c r="P46" s="19"/>
      <c r="Q46" s="22"/>
      <c r="R46" s="22"/>
      <c r="S46" s="19"/>
      <c r="T46" s="19"/>
      <c r="U46" s="11"/>
      <c r="V46" s="19"/>
      <c r="W46" s="19"/>
      <c r="X46" s="19">
        <v>2.0</v>
      </c>
      <c r="Y46" s="22">
        <v>6.25</v>
      </c>
      <c r="Z46" s="22">
        <v>6.75</v>
      </c>
      <c r="AA46" s="19">
        <v>0.0</v>
      </c>
      <c r="AB46" s="19">
        <v>1.0</v>
      </c>
      <c r="AC46" s="11" t="s">
        <v>71</v>
      </c>
      <c r="AD46" s="11" t="s">
        <v>103</v>
      </c>
      <c r="AE46" s="22">
        <f t="shared" si="4"/>
        <v>5.5</v>
      </c>
      <c r="AF46" s="18" t="s">
        <v>563</v>
      </c>
      <c r="AG46" s="19">
        <v>5.0</v>
      </c>
      <c r="AH46" s="19">
        <f t="shared" si="5"/>
        <v>51</v>
      </c>
      <c r="AI46" s="18"/>
    </row>
    <row r="47" ht="15.75" customHeight="1">
      <c r="A47" s="25">
        <f t="shared" si="1"/>
        <v>44</v>
      </c>
      <c r="B47" s="27">
        <f>ROUND(Guida!$B$22*H47/Guida!$B$30+Guida!$B$23*MAX(0,MIN(1,(AE47-5.4)/1.6))+Guida!$B$24*0+Guida!$B$25*0,1)</f>
        <v>23</v>
      </c>
      <c r="C47" s="28" t="s">
        <v>566</v>
      </c>
      <c r="D47" s="25" t="s">
        <v>212</v>
      </c>
      <c r="E47" s="29" t="s">
        <v>198</v>
      </c>
      <c r="F47" s="30">
        <v>10.0</v>
      </c>
      <c r="G47" s="30">
        <v>9.0</v>
      </c>
      <c r="H47" s="30">
        <v>27.0</v>
      </c>
      <c r="I47" s="30">
        <f>MAX(1,ROUND(H47^Guida!$B$18*Guida!$F$13,0))</f>
        <v>13</v>
      </c>
      <c r="J47" s="30">
        <f t="shared" si="2"/>
        <v>16</v>
      </c>
      <c r="K47" s="25" t="str">
        <f t="shared" si="3"/>
        <v>3a fascia</v>
      </c>
      <c r="L47" s="25" t="s">
        <v>68</v>
      </c>
      <c r="M47" s="38" t="s">
        <v>242</v>
      </c>
      <c r="N47" s="25" t="s">
        <v>71</v>
      </c>
      <c r="O47" s="25" t="s">
        <v>71</v>
      </c>
      <c r="P47" s="30">
        <v>32.0</v>
      </c>
      <c r="Q47" s="32">
        <v>5.97</v>
      </c>
      <c r="R47" s="32">
        <v>6.45</v>
      </c>
      <c r="S47" s="30">
        <v>6.0</v>
      </c>
      <c r="T47" s="30">
        <v>0.0</v>
      </c>
      <c r="U47" s="25" t="s">
        <v>72</v>
      </c>
      <c r="V47" s="30">
        <v>5.0</v>
      </c>
      <c r="W47" s="30">
        <v>0.0</v>
      </c>
      <c r="X47" s="30">
        <v>1.0</v>
      </c>
      <c r="Y47" s="32">
        <v>5.0</v>
      </c>
      <c r="Z47" s="32">
        <v>5.0</v>
      </c>
      <c r="AA47" s="30">
        <v>0.0</v>
      </c>
      <c r="AB47" s="30">
        <v>0.0</v>
      </c>
      <c r="AC47" s="25" t="s">
        <v>212</v>
      </c>
      <c r="AD47" s="25" t="s">
        <v>73</v>
      </c>
      <c r="AE47" s="32">
        <f t="shared" si="4"/>
        <v>6.45</v>
      </c>
      <c r="AF47" s="29" t="s">
        <v>275</v>
      </c>
      <c r="AG47" s="30">
        <v>0.0</v>
      </c>
      <c r="AH47" s="30">
        <f t="shared" si="5"/>
        <v>51</v>
      </c>
      <c r="AI47" s="29" t="s">
        <v>570</v>
      </c>
    </row>
    <row r="48" ht="15.75" customHeight="1">
      <c r="A48" s="11">
        <f t="shared" si="1"/>
        <v>45</v>
      </c>
      <c r="B48" s="16">
        <f>ROUND(Guida!$B$22*H48/Guida!$B$30+Guida!$B$23*MAX(0,MIN(1,(AE48-5.4)/1.6))+Guida!$B$24*0+Guida!$B$25*1,1)</f>
        <v>22.8</v>
      </c>
      <c r="C48" s="17" t="s">
        <v>573</v>
      </c>
      <c r="D48" s="11" t="s">
        <v>177</v>
      </c>
      <c r="E48" s="18" t="s">
        <v>222</v>
      </c>
      <c r="F48" s="19">
        <v>11.0</v>
      </c>
      <c r="G48" s="19">
        <v>11.0</v>
      </c>
      <c r="H48" s="19">
        <v>28.0</v>
      </c>
      <c r="I48" s="19">
        <f>MAX(1,ROUND(H48^Guida!$B$18*Guida!$F$13,0))</f>
        <v>13</v>
      </c>
      <c r="J48" s="19">
        <f t="shared" si="2"/>
        <v>16</v>
      </c>
      <c r="K48" s="11" t="str">
        <f t="shared" si="3"/>
        <v>3a fascia</v>
      </c>
      <c r="L48" s="11" t="s">
        <v>68</v>
      </c>
      <c r="M48" s="21" t="s">
        <v>70</v>
      </c>
      <c r="N48" s="11" t="s">
        <v>71</v>
      </c>
      <c r="O48" s="11" t="s">
        <v>84</v>
      </c>
      <c r="P48" s="19">
        <v>17.0</v>
      </c>
      <c r="Q48" s="22">
        <v>6.15</v>
      </c>
      <c r="R48" s="22">
        <v>6.38</v>
      </c>
      <c r="S48" s="19">
        <v>1.0</v>
      </c>
      <c r="T48" s="19">
        <v>2.0</v>
      </c>
      <c r="U48" s="11" t="s">
        <v>72</v>
      </c>
      <c r="V48" s="19">
        <v>2.0</v>
      </c>
      <c r="W48" s="19">
        <v>0.0</v>
      </c>
      <c r="X48" s="19">
        <v>2.0</v>
      </c>
      <c r="Y48" s="22">
        <v>5.75</v>
      </c>
      <c r="Z48" s="22">
        <v>5.75</v>
      </c>
      <c r="AA48" s="19">
        <v>0.0</v>
      </c>
      <c r="AB48" s="19">
        <v>0.0</v>
      </c>
      <c r="AC48" s="11" t="s">
        <v>177</v>
      </c>
      <c r="AD48" s="11" t="s">
        <v>73</v>
      </c>
      <c r="AE48" s="22">
        <f t="shared" si="4"/>
        <v>6.1</v>
      </c>
      <c r="AF48" s="18" t="s">
        <v>275</v>
      </c>
      <c r="AG48" s="19">
        <v>5.0</v>
      </c>
      <c r="AH48" s="19">
        <f t="shared" si="5"/>
        <v>48</v>
      </c>
      <c r="AI48" s="18"/>
    </row>
    <row r="49" ht="15.75" customHeight="1">
      <c r="A49" s="25">
        <f t="shared" si="1"/>
        <v>46</v>
      </c>
      <c r="B49" s="27">
        <f>ROUND(Guida!$B$22*H49/Guida!$B$30+Guida!$B$23*MAX(0,MIN(1,(AE49-5.4)/1.6))+Guida!$B$24*0+Guida!$B$25*0,1)</f>
        <v>21.7</v>
      </c>
      <c r="C49" s="28" t="s">
        <v>584</v>
      </c>
      <c r="D49" s="25" t="s">
        <v>93</v>
      </c>
      <c r="E49" s="29" t="s">
        <v>326</v>
      </c>
      <c r="F49" s="30">
        <v>10.0</v>
      </c>
      <c r="G49" s="30">
        <v>9.0</v>
      </c>
      <c r="H49" s="30">
        <v>25.0</v>
      </c>
      <c r="I49" s="30">
        <f>MAX(1,ROUND(H49^Guida!$B$18*Guida!$F$13,0))</f>
        <v>12</v>
      </c>
      <c r="J49" s="30">
        <f t="shared" si="2"/>
        <v>14</v>
      </c>
      <c r="K49" s="25" t="str">
        <f t="shared" si="3"/>
        <v>3a fascia</v>
      </c>
      <c r="L49" s="25" t="s">
        <v>226</v>
      </c>
      <c r="M49" s="38" t="s">
        <v>309</v>
      </c>
      <c r="N49" s="25" t="s">
        <v>71</v>
      </c>
      <c r="O49" s="25" t="s">
        <v>71</v>
      </c>
      <c r="P49" s="30">
        <v>34.0</v>
      </c>
      <c r="Q49" s="32">
        <v>6.1</v>
      </c>
      <c r="R49" s="32">
        <v>6.4</v>
      </c>
      <c r="S49" s="30">
        <v>3.0</v>
      </c>
      <c r="T49" s="30">
        <v>2.0</v>
      </c>
      <c r="U49" s="25" t="s">
        <v>72</v>
      </c>
      <c r="V49" s="30">
        <v>2.0</v>
      </c>
      <c r="W49" s="30">
        <v>0.0</v>
      </c>
      <c r="X49" s="30">
        <v>0.0</v>
      </c>
      <c r="Y49" s="32"/>
      <c r="Z49" s="32"/>
      <c r="AA49" s="30"/>
      <c r="AB49" s="30"/>
      <c r="AC49" s="25" t="s">
        <v>93</v>
      </c>
      <c r="AD49" s="25" t="s">
        <v>73</v>
      </c>
      <c r="AE49" s="32">
        <f t="shared" si="4"/>
        <v>6.4</v>
      </c>
      <c r="AF49" s="29" t="s">
        <v>363</v>
      </c>
      <c r="AG49" s="30">
        <v>0.0</v>
      </c>
      <c r="AH49" s="30">
        <f t="shared" si="5"/>
        <v>54</v>
      </c>
      <c r="AI49" s="29" t="s">
        <v>591</v>
      </c>
    </row>
    <row r="50" ht="15.75" customHeight="1">
      <c r="A50" s="11">
        <f t="shared" si="1"/>
        <v>47</v>
      </c>
      <c r="B50" s="16">
        <f>ROUND(Guida!$B$22*H50/Guida!$B$30+Guida!$B$23*MAX(0,MIN(1,(AE50-5.4)/1.6))+Guida!$B$24*0.35+Guida!$B$25*0.6,1)</f>
        <v>21.6</v>
      </c>
      <c r="C50" s="17" t="s">
        <v>596</v>
      </c>
      <c r="D50" s="11" t="s">
        <v>232</v>
      </c>
      <c r="E50" s="18" t="s">
        <v>198</v>
      </c>
      <c r="F50" s="19">
        <v>5.0</v>
      </c>
      <c r="G50" s="19">
        <v>4.0</v>
      </c>
      <c r="H50" s="19">
        <v>12.0</v>
      </c>
      <c r="I50" s="19">
        <f>MAX(1,ROUND(H50^Guida!$B$18*Guida!$F$13,0))</f>
        <v>8</v>
      </c>
      <c r="J50" s="19">
        <f t="shared" si="2"/>
        <v>10</v>
      </c>
      <c r="K50" s="11" t="str">
        <f t="shared" si="3"/>
        <v>3a fascia</v>
      </c>
      <c r="L50" s="11" t="s">
        <v>226</v>
      </c>
      <c r="M50" s="18" t="s">
        <v>281</v>
      </c>
      <c r="N50" s="11" t="s">
        <v>160</v>
      </c>
      <c r="O50" s="11" t="s">
        <v>77</v>
      </c>
      <c r="P50" s="19">
        <v>12.0</v>
      </c>
      <c r="Q50" s="22">
        <v>6.17</v>
      </c>
      <c r="R50" s="22">
        <v>6.92</v>
      </c>
      <c r="S50" s="19">
        <v>2.0</v>
      </c>
      <c r="T50" s="19">
        <v>3.0</v>
      </c>
      <c r="U50" s="11" t="s">
        <v>72</v>
      </c>
      <c r="V50" s="19">
        <v>0.0</v>
      </c>
      <c r="W50" s="19">
        <v>0.0</v>
      </c>
      <c r="X50" s="19">
        <v>0.0</v>
      </c>
      <c r="Y50" s="22"/>
      <c r="Z50" s="22"/>
      <c r="AA50" s="19"/>
      <c r="AB50" s="19"/>
      <c r="AC50" s="11" t="s">
        <v>232</v>
      </c>
      <c r="AD50" s="11" t="s">
        <v>73</v>
      </c>
      <c r="AE50" s="22">
        <f t="shared" si="4"/>
        <v>6.18</v>
      </c>
      <c r="AF50" s="18" t="s">
        <v>609</v>
      </c>
      <c r="AG50" s="19">
        <v>4.0</v>
      </c>
      <c r="AH50" s="19">
        <f t="shared" si="5"/>
        <v>118</v>
      </c>
      <c r="AI50" s="18"/>
    </row>
    <row r="51" ht="15.75" customHeight="1">
      <c r="A51" s="25">
        <f t="shared" si="1"/>
        <v>48</v>
      </c>
      <c r="B51" s="27">
        <f>ROUND(Guida!$B$22*H51/Guida!$B$30+Guida!$B$23*MAX(0,MIN(1,(AE51-5.4)/1.6))+Guida!$B$24*0+Guida!$B$25*0,1)</f>
        <v>21.4</v>
      </c>
      <c r="C51" s="28" t="s">
        <v>611</v>
      </c>
      <c r="D51" s="25" t="s">
        <v>182</v>
      </c>
      <c r="E51" s="29" t="s">
        <v>183</v>
      </c>
      <c r="F51" s="30">
        <v>8.0</v>
      </c>
      <c r="G51" s="30">
        <v>8.0</v>
      </c>
      <c r="H51" s="30">
        <v>25.0</v>
      </c>
      <c r="I51" s="30">
        <f>MAX(1,ROUND(H51^Guida!$B$18*Guida!$F$13,0))</f>
        <v>12</v>
      </c>
      <c r="J51" s="30">
        <f t="shared" si="2"/>
        <v>14</v>
      </c>
      <c r="K51" s="25" t="str">
        <f t="shared" si="3"/>
        <v>3a fascia</v>
      </c>
      <c r="L51" s="25" t="s">
        <v>68</v>
      </c>
      <c r="M51" s="21" t="s">
        <v>70</v>
      </c>
      <c r="N51" s="25" t="s">
        <v>71</v>
      </c>
      <c r="O51" s="25" t="s">
        <v>71</v>
      </c>
      <c r="P51" s="30">
        <v>24.0</v>
      </c>
      <c r="Q51" s="32">
        <v>5.98</v>
      </c>
      <c r="R51" s="32">
        <v>6.42</v>
      </c>
      <c r="S51" s="30">
        <v>3.0</v>
      </c>
      <c r="T51" s="30">
        <v>4.0</v>
      </c>
      <c r="U51" s="25" t="s">
        <v>72</v>
      </c>
      <c r="V51" s="30">
        <v>3.0</v>
      </c>
      <c r="W51" s="30">
        <v>1.0</v>
      </c>
      <c r="X51" s="30">
        <v>2.0</v>
      </c>
      <c r="Y51" s="32">
        <v>6.0</v>
      </c>
      <c r="Z51" s="32">
        <v>5.75</v>
      </c>
      <c r="AA51" s="30">
        <v>0.0</v>
      </c>
      <c r="AB51" s="30">
        <v>0.0</v>
      </c>
      <c r="AC51" s="25" t="s">
        <v>182</v>
      </c>
      <c r="AD51" s="25" t="s">
        <v>73</v>
      </c>
      <c r="AE51" s="32">
        <f t="shared" si="4"/>
        <v>6.38</v>
      </c>
      <c r="AF51" s="29" t="s">
        <v>616</v>
      </c>
      <c r="AG51" s="30">
        <v>6.0</v>
      </c>
      <c r="AH51" s="30">
        <f t="shared" si="5"/>
        <v>54</v>
      </c>
      <c r="AI51" s="29"/>
    </row>
    <row r="52" ht="15.75" customHeight="1">
      <c r="A52" s="11">
        <f t="shared" si="1"/>
        <v>49</v>
      </c>
      <c r="B52" s="16">
        <f>ROUND(Guida!$B$22*H52/Guida!$B$30+Guida!$B$23*MAX(0,MIN(1,(AE52-5.4)/1.6))+Guida!$B$24*0+Guida!$B$25*0,1)</f>
        <v>21.1</v>
      </c>
      <c r="C52" s="17" t="s">
        <v>619</v>
      </c>
      <c r="D52" s="11" t="s">
        <v>253</v>
      </c>
      <c r="E52" s="18" t="s">
        <v>387</v>
      </c>
      <c r="F52" s="19">
        <v>7.0</v>
      </c>
      <c r="G52" s="19">
        <v>9.0</v>
      </c>
      <c r="H52" s="19">
        <v>25.0</v>
      </c>
      <c r="I52" s="19">
        <f>MAX(1,ROUND(H52^Guida!$B$18*Guida!$F$13,0))</f>
        <v>12</v>
      </c>
      <c r="J52" s="19">
        <f t="shared" si="2"/>
        <v>14</v>
      </c>
      <c r="K52" s="11" t="str">
        <f t="shared" si="3"/>
        <v>3a fascia</v>
      </c>
      <c r="L52" s="11" t="s">
        <v>68</v>
      </c>
      <c r="M52" s="21" t="s">
        <v>70</v>
      </c>
      <c r="N52" s="11" t="s">
        <v>71</v>
      </c>
      <c r="O52" s="11" t="s">
        <v>71</v>
      </c>
      <c r="P52" s="19">
        <v>21.0</v>
      </c>
      <c r="Q52" s="22">
        <v>6.14</v>
      </c>
      <c r="R52" s="22">
        <v>6.52</v>
      </c>
      <c r="S52" s="19">
        <v>2.0</v>
      </c>
      <c r="T52" s="19">
        <v>4.0</v>
      </c>
      <c r="U52" s="11" t="s">
        <v>72</v>
      </c>
      <c r="V52" s="19">
        <v>4.0</v>
      </c>
      <c r="W52" s="19">
        <v>0.0</v>
      </c>
      <c r="X52" s="19">
        <v>2.0</v>
      </c>
      <c r="Y52" s="22">
        <v>6.75</v>
      </c>
      <c r="Z52" s="22">
        <v>8.0</v>
      </c>
      <c r="AA52" s="19">
        <v>1.0</v>
      </c>
      <c r="AB52" s="19">
        <v>0.0</v>
      </c>
      <c r="AC52" s="11" t="s">
        <v>253</v>
      </c>
      <c r="AD52" s="11" t="s">
        <v>73</v>
      </c>
      <c r="AE52" s="22">
        <f t="shared" si="4"/>
        <v>6.36</v>
      </c>
      <c r="AF52" s="18" t="s">
        <v>623</v>
      </c>
      <c r="AG52" s="19">
        <v>4.0</v>
      </c>
      <c r="AH52" s="19">
        <f t="shared" si="5"/>
        <v>54</v>
      </c>
      <c r="AI52" s="18"/>
    </row>
    <row r="53" ht="15.75" customHeight="1">
      <c r="A53" s="25">
        <f t="shared" si="1"/>
        <v>50</v>
      </c>
      <c r="B53" s="27">
        <f>ROUND(Guida!$B$22*H53/Guida!$B$30+Guida!$B$23*MAX(0,MIN(1,(AE53-5.4)/1.6))+Guida!$B$24*0+Guida!$B$25*0,1)</f>
        <v>21</v>
      </c>
      <c r="C53" s="28" t="s">
        <v>627</v>
      </c>
      <c r="D53" s="25" t="s">
        <v>182</v>
      </c>
      <c r="E53" s="29" t="s">
        <v>222</v>
      </c>
      <c r="F53" s="30">
        <v>8.0</v>
      </c>
      <c r="G53" s="30">
        <v>8.0</v>
      </c>
      <c r="H53" s="30">
        <v>17.0</v>
      </c>
      <c r="I53" s="30">
        <f>MAX(1,ROUND(H53^Guida!$B$18*Guida!$F$13,0))</f>
        <v>10</v>
      </c>
      <c r="J53" s="30">
        <f t="shared" si="2"/>
        <v>12</v>
      </c>
      <c r="K53" s="25" t="str">
        <f t="shared" si="3"/>
        <v>3a fascia</v>
      </c>
      <c r="L53" s="25" t="s">
        <v>226</v>
      </c>
      <c r="M53" s="29" t="s">
        <v>277</v>
      </c>
      <c r="N53" s="25" t="s">
        <v>71</v>
      </c>
      <c r="O53" s="25" t="s">
        <v>71</v>
      </c>
      <c r="P53" s="30">
        <v>22.0</v>
      </c>
      <c r="Q53" s="32">
        <v>5.91</v>
      </c>
      <c r="R53" s="32">
        <v>6.61</v>
      </c>
      <c r="S53" s="30">
        <v>5.0</v>
      </c>
      <c r="T53" s="30">
        <v>1.0</v>
      </c>
      <c r="U53" s="25" t="s">
        <v>72</v>
      </c>
      <c r="V53" s="30">
        <v>1.0</v>
      </c>
      <c r="W53" s="30">
        <v>0.0</v>
      </c>
      <c r="X53" s="30">
        <v>2.0</v>
      </c>
      <c r="Y53" s="32">
        <v>5.75</v>
      </c>
      <c r="Z53" s="32">
        <v>5.5</v>
      </c>
      <c r="AA53" s="30">
        <v>0.0</v>
      </c>
      <c r="AB53" s="30">
        <v>0.0</v>
      </c>
      <c r="AC53" s="25" t="s">
        <v>182</v>
      </c>
      <c r="AD53" s="25" t="s">
        <v>73</v>
      </c>
      <c r="AE53" s="32">
        <f t="shared" si="4"/>
        <v>6.48</v>
      </c>
      <c r="AF53" s="29" t="s">
        <v>616</v>
      </c>
      <c r="AG53" s="30">
        <v>6.0</v>
      </c>
      <c r="AH53" s="30">
        <f t="shared" si="5"/>
        <v>88</v>
      </c>
      <c r="AI53" s="29"/>
    </row>
    <row r="54" ht="15.75" customHeight="1">
      <c r="A54" s="11">
        <f t="shared" si="1"/>
        <v>51</v>
      </c>
      <c r="B54" s="16">
        <f>ROUND(Guida!$B$22*H54/Guida!$B$30+Guida!$B$23*MAX(0,MIN(1,(AE54-5.4)/1.6))+Guida!$B$24*0+Guida!$B$25*0,1)</f>
        <v>20.8</v>
      </c>
      <c r="C54" s="17" t="s">
        <v>634</v>
      </c>
      <c r="D54" s="11" t="s">
        <v>64</v>
      </c>
      <c r="E54" s="18" t="s">
        <v>326</v>
      </c>
      <c r="F54" s="19">
        <v>5.0</v>
      </c>
      <c r="G54" s="19">
        <v>4.0</v>
      </c>
      <c r="H54" s="19">
        <v>9.0</v>
      </c>
      <c r="I54" s="19">
        <f>MAX(1,ROUND(H54^Guida!$B$18*Guida!$F$13,0))</f>
        <v>7</v>
      </c>
      <c r="J54" s="19">
        <f t="shared" si="2"/>
        <v>8</v>
      </c>
      <c r="K54" s="11" t="str">
        <f t="shared" si="3"/>
        <v>3a fascia</v>
      </c>
      <c r="L54" s="11" t="s">
        <v>332</v>
      </c>
      <c r="M54" s="18" t="s">
        <v>333</v>
      </c>
      <c r="N54" s="11" t="s">
        <v>71</v>
      </c>
      <c r="O54" s="11" t="s">
        <v>71</v>
      </c>
      <c r="P54" s="19">
        <v>28.0</v>
      </c>
      <c r="Q54" s="22">
        <v>6.21</v>
      </c>
      <c r="R54" s="22">
        <v>6.59</v>
      </c>
      <c r="S54" s="19">
        <v>4.0</v>
      </c>
      <c r="T54" s="19">
        <v>1.0</v>
      </c>
      <c r="U54" s="11" t="s">
        <v>72</v>
      </c>
      <c r="V54" s="19">
        <v>5.0</v>
      </c>
      <c r="W54" s="19">
        <v>0.0</v>
      </c>
      <c r="X54" s="19">
        <v>0.0</v>
      </c>
      <c r="Y54" s="22"/>
      <c r="Z54" s="22"/>
      <c r="AA54" s="19"/>
      <c r="AB54" s="19"/>
      <c r="AC54" s="11" t="s">
        <v>64</v>
      </c>
      <c r="AD54" s="11" t="s">
        <v>73</v>
      </c>
      <c r="AE54" s="22">
        <f t="shared" si="4"/>
        <v>6.59</v>
      </c>
      <c r="AF54" s="18" t="s">
        <v>638</v>
      </c>
      <c r="AG54" s="19">
        <v>0.0</v>
      </c>
      <c r="AH54" s="19">
        <f t="shared" si="5"/>
        <v>153</v>
      </c>
      <c r="AI54" s="18"/>
    </row>
    <row r="55" ht="15.75" customHeight="1">
      <c r="A55" s="25">
        <f t="shared" si="1"/>
        <v>52</v>
      </c>
      <c r="B55" s="27">
        <f>ROUND(Guida!$B$22*H55/Guida!$B$30+Guida!$B$23*MAX(0,MIN(1,(AE55-5.4)/1.6))+Guida!$B$24*1+Guida!$B$25*1,1)</f>
        <v>20.2</v>
      </c>
      <c r="C55" s="28" t="s">
        <v>640</v>
      </c>
      <c r="D55" s="25" t="s">
        <v>272</v>
      </c>
      <c r="E55" s="29" t="s">
        <v>69</v>
      </c>
      <c r="F55" s="30">
        <v>7.0</v>
      </c>
      <c r="G55" s="30">
        <v>6.0</v>
      </c>
      <c r="H55" s="30">
        <v>15.0</v>
      </c>
      <c r="I55" s="30">
        <f>MAX(1,ROUND(H55^Guida!$B$18*Guida!$F$13,0))</f>
        <v>9</v>
      </c>
      <c r="J55" s="30">
        <f t="shared" si="2"/>
        <v>11</v>
      </c>
      <c r="K55" s="25" t="str">
        <f t="shared" si="3"/>
        <v>3a fascia</v>
      </c>
      <c r="L55" s="25" t="s">
        <v>68</v>
      </c>
      <c r="M55" s="36" t="s">
        <v>498</v>
      </c>
      <c r="N55" s="25" t="s">
        <v>84</v>
      </c>
      <c r="O55" s="25" t="s">
        <v>84</v>
      </c>
      <c r="P55" s="30"/>
      <c r="Q55" s="32"/>
      <c r="R55" s="32"/>
      <c r="S55" s="30"/>
      <c r="T55" s="30"/>
      <c r="U55" s="25"/>
      <c r="V55" s="30"/>
      <c r="W55" s="30"/>
      <c r="X55" s="30">
        <v>0.0</v>
      </c>
      <c r="Y55" s="32"/>
      <c r="Z55" s="32"/>
      <c r="AA55" s="30"/>
      <c r="AB55" s="30"/>
      <c r="AC55" s="25" t="s">
        <v>71</v>
      </c>
      <c r="AD55" s="25" t="s">
        <v>103</v>
      </c>
      <c r="AE55" s="32">
        <f t="shared" si="4"/>
        <v>5.5</v>
      </c>
      <c r="AF55" s="29" t="s">
        <v>644</v>
      </c>
      <c r="AG55" s="30">
        <v>6.0</v>
      </c>
      <c r="AH55" s="30">
        <f t="shared" si="5"/>
        <v>99</v>
      </c>
      <c r="AI55" s="29" t="s">
        <v>645</v>
      </c>
    </row>
    <row r="56" ht="15.75" customHeight="1">
      <c r="A56" s="11">
        <f t="shared" si="1"/>
        <v>53</v>
      </c>
      <c r="B56" s="16">
        <f>ROUND(Guida!$B$22*H56/Guida!$B$30+Guida!$B$23*MAX(0,MIN(1,(AE56-5.4)/1.6))+Guida!$B$24*0+Guida!$B$25*0,1)</f>
        <v>20</v>
      </c>
      <c r="C56" s="17" t="s">
        <v>648</v>
      </c>
      <c r="D56" s="11" t="s">
        <v>195</v>
      </c>
      <c r="E56" s="18" t="s">
        <v>183</v>
      </c>
      <c r="F56" s="19">
        <v>9.0</v>
      </c>
      <c r="G56" s="19">
        <v>9.0</v>
      </c>
      <c r="H56" s="19">
        <v>25.0</v>
      </c>
      <c r="I56" s="19">
        <f>MAX(1,ROUND(H56^Guida!$B$18*Guida!$F$13,0))</f>
        <v>12</v>
      </c>
      <c r="J56" s="19">
        <f t="shared" si="2"/>
        <v>14</v>
      </c>
      <c r="K56" s="11" t="str">
        <f t="shared" si="3"/>
        <v>3a fascia</v>
      </c>
      <c r="L56" s="11" t="s">
        <v>226</v>
      </c>
      <c r="M56" s="18" t="s">
        <v>277</v>
      </c>
      <c r="N56" s="11" t="s">
        <v>71</v>
      </c>
      <c r="O56" s="11" t="s">
        <v>71</v>
      </c>
      <c r="P56" s="19">
        <v>28.0</v>
      </c>
      <c r="Q56" s="22">
        <v>5.93</v>
      </c>
      <c r="R56" s="22">
        <v>6.29</v>
      </c>
      <c r="S56" s="19">
        <v>4.0</v>
      </c>
      <c r="T56" s="19">
        <v>1.0</v>
      </c>
      <c r="U56" s="11" t="s">
        <v>72</v>
      </c>
      <c r="V56" s="19">
        <v>6.0</v>
      </c>
      <c r="W56" s="19">
        <v>0.0</v>
      </c>
      <c r="X56" s="19">
        <v>2.0</v>
      </c>
      <c r="Y56" s="22">
        <v>5.75</v>
      </c>
      <c r="Z56" s="22">
        <v>5.5</v>
      </c>
      <c r="AA56" s="19">
        <v>0.0</v>
      </c>
      <c r="AB56" s="19">
        <v>0.0</v>
      </c>
      <c r="AC56" s="11" t="s">
        <v>195</v>
      </c>
      <c r="AD56" s="11" t="s">
        <v>73</v>
      </c>
      <c r="AE56" s="22">
        <f t="shared" si="4"/>
        <v>6.29</v>
      </c>
      <c r="AF56" s="18" t="s">
        <v>320</v>
      </c>
      <c r="AG56" s="19">
        <v>0.0</v>
      </c>
      <c r="AH56" s="19">
        <f t="shared" si="5"/>
        <v>54</v>
      </c>
      <c r="AI56" s="18"/>
    </row>
    <row r="57" ht="15.75" customHeight="1">
      <c r="A57" s="25">
        <f t="shared" si="1"/>
        <v>53</v>
      </c>
      <c r="B57" s="27">
        <f>ROUND(Guida!$B$22*H57/Guida!$B$30+Guida!$B$23*MAX(0,MIN(1,(AE57-5.4)/1.6))+Guida!$B$24*0+Guida!$B$25*0,1)</f>
        <v>20</v>
      </c>
      <c r="C57" s="28" t="s">
        <v>652</v>
      </c>
      <c r="D57" s="25" t="s">
        <v>143</v>
      </c>
      <c r="E57" s="29" t="s">
        <v>403</v>
      </c>
      <c r="F57" s="30">
        <v>6.0</v>
      </c>
      <c r="G57" s="30">
        <v>7.0</v>
      </c>
      <c r="H57" s="30">
        <v>18.0</v>
      </c>
      <c r="I57" s="30">
        <f>MAX(1,ROUND(H57^Guida!$B$18*Guida!$F$13,0))</f>
        <v>10</v>
      </c>
      <c r="J57" s="30">
        <f t="shared" si="2"/>
        <v>12</v>
      </c>
      <c r="K57" s="25" t="str">
        <f t="shared" si="3"/>
        <v>3a fascia</v>
      </c>
      <c r="L57" s="25" t="s">
        <v>332</v>
      </c>
      <c r="M57" s="29" t="s">
        <v>392</v>
      </c>
      <c r="N57" s="25" t="s">
        <v>71</v>
      </c>
      <c r="O57" s="25" t="s">
        <v>71</v>
      </c>
      <c r="P57" s="30">
        <v>31.0</v>
      </c>
      <c r="Q57" s="32">
        <v>6.1</v>
      </c>
      <c r="R57" s="32">
        <v>6.4</v>
      </c>
      <c r="S57" s="30">
        <v>2.0</v>
      </c>
      <c r="T57" s="30">
        <v>5.0</v>
      </c>
      <c r="U57" s="25" t="s">
        <v>72</v>
      </c>
      <c r="V57" s="30">
        <v>3.0</v>
      </c>
      <c r="W57" s="30">
        <v>0.0</v>
      </c>
      <c r="X57" s="30">
        <v>2.0</v>
      </c>
      <c r="Y57" s="32">
        <v>6.25</v>
      </c>
      <c r="Z57" s="32">
        <v>6.75</v>
      </c>
      <c r="AA57" s="30">
        <v>0.0</v>
      </c>
      <c r="AB57" s="30">
        <v>1.0</v>
      </c>
      <c r="AC57" s="25" t="s">
        <v>143</v>
      </c>
      <c r="AD57" s="25" t="s">
        <v>73</v>
      </c>
      <c r="AE57" s="32">
        <f t="shared" si="4"/>
        <v>6.4</v>
      </c>
      <c r="AF57" s="29" t="s">
        <v>419</v>
      </c>
      <c r="AG57" s="30">
        <v>5.0</v>
      </c>
      <c r="AH57" s="30">
        <f t="shared" si="5"/>
        <v>85</v>
      </c>
      <c r="AI57" s="29"/>
    </row>
    <row r="58" ht="15.75" customHeight="1">
      <c r="A58" s="11">
        <f t="shared" si="1"/>
        <v>53</v>
      </c>
      <c r="B58" s="16">
        <f>ROUND(Guida!$B$22*H58/Guida!$B$30+Guida!$B$23*MAX(0,MIN(1,(AE58-5.4)/1.6))+Guida!$B$24*1+Guida!$B$25*1,1)</f>
        <v>20</v>
      </c>
      <c r="C58" s="17" t="s">
        <v>667</v>
      </c>
      <c r="D58" s="11" t="s">
        <v>264</v>
      </c>
      <c r="E58" s="18" t="s">
        <v>69</v>
      </c>
      <c r="F58" s="19">
        <v>5.0</v>
      </c>
      <c r="G58" s="19">
        <v>5.0</v>
      </c>
      <c r="H58" s="19">
        <v>14.0</v>
      </c>
      <c r="I58" s="19">
        <f>MAX(1,ROUND(H58^Guida!$B$18*Guida!$F$13,0))</f>
        <v>9</v>
      </c>
      <c r="J58" s="19">
        <f t="shared" si="2"/>
        <v>11</v>
      </c>
      <c r="K58" s="11" t="str">
        <f t="shared" si="3"/>
        <v>3a fascia</v>
      </c>
      <c r="L58" s="11" t="s">
        <v>68</v>
      </c>
      <c r="M58" s="21" t="s">
        <v>100</v>
      </c>
      <c r="N58" s="11" t="s">
        <v>84</v>
      </c>
      <c r="O58" s="11" t="s">
        <v>84</v>
      </c>
      <c r="P58" s="19"/>
      <c r="Q58" s="22"/>
      <c r="R58" s="22"/>
      <c r="S58" s="19"/>
      <c r="T58" s="19"/>
      <c r="U58" s="11"/>
      <c r="V58" s="19"/>
      <c r="W58" s="19"/>
      <c r="X58" s="19">
        <v>2.0</v>
      </c>
      <c r="Y58" s="22">
        <v>5.75</v>
      </c>
      <c r="Z58" s="22">
        <v>5.75</v>
      </c>
      <c r="AA58" s="19">
        <v>0.0</v>
      </c>
      <c r="AB58" s="19">
        <v>0.0</v>
      </c>
      <c r="AC58" s="11" t="s">
        <v>71</v>
      </c>
      <c r="AD58" s="11" t="s">
        <v>103</v>
      </c>
      <c r="AE58" s="22">
        <f t="shared" si="4"/>
        <v>5.5</v>
      </c>
      <c r="AF58" s="18" t="s">
        <v>678</v>
      </c>
      <c r="AG58" s="19">
        <v>6.0</v>
      </c>
      <c r="AH58" s="19">
        <f t="shared" si="5"/>
        <v>110</v>
      </c>
      <c r="AI58" s="18"/>
    </row>
    <row r="59" ht="15.75" customHeight="1">
      <c r="A59" s="25">
        <f t="shared" si="1"/>
        <v>56</v>
      </c>
      <c r="B59" s="27">
        <f>ROUND(Guida!$B$22*H59/Guida!$B$30+Guida!$B$23*MAX(0,MIN(1,(AE59-5.4)/1.6))+Guida!$B$24*0+Guida!$B$25*0,1)</f>
        <v>19.9</v>
      </c>
      <c r="C59" s="28" t="s">
        <v>690</v>
      </c>
      <c r="D59" s="25" t="s">
        <v>60</v>
      </c>
      <c r="E59" s="29" t="s">
        <v>69</v>
      </c>
      <c r="F59" s="30">
        <v>8.0</v>
      </c>
      <c r="G59" s="30">
        <v>9.0</v>
      </c>
      <c r="H59" s="30">
        <v>29.0</v>
      </c>
      <c r="I59" s="30">
        <f>MAX(1,ROUND(H59^Guida!$B$18*Guida!$F$13,0))</f>
        <v>14</v>
      </c>
      <c r="J59" s="30">
        <f t="shared" si="2"/>
        <v>17</v>
      </c>
      <c r="K59" s="25" t="str">
        <f t="shared" si="3"/>
        <v>3a fascia</v>
      </c>
      <c r="L59" s="25" t="s">
        <v>68</v>
      </c>
      <c r="M59" s="21" t="s">
        <v>70</v>
      </c>
      <c r="N59" s="25" t="s">
        <v>71</v>
      </c>
      <c r="O59" s="25" t="s">
        <v>71</v>
      </c>
      <c r="P59" s="30">
        <v>37.0</v>
      </c>
      <c r="Q59" s="32">
        <v>6.11</v>
      </c>
      <c r="R59" s="32">
        <v>6.22</v>
      </c>
      <c r="S59" s="30">
        <v>2.0</v>
      </c>
      <c r="T59" s="30">
        <v>1.0</v>
      </c>
      <c r="U59" s="25" t="s">
        <v>72</v>
      </c>
      <c r="V59" s="30">
        <v>6.0</v>
      </c>
      <c r="W59" s="30">
        <v>0.0</v>
      </c>
      <c r="X59" s="30">
        <v>2.0</v>
      </c>
      <c r="Y59" s="32">
        <v>6.5</v>
      </c>
      <c r="Z59" s="32">
        <v>6.5</v>
      </c>
      <c r="AA59" s="30">
        <v>0.0</v>
      </c>
      <c r="AB59" s="30">
        <v>0.0</v>
      </c>
      <c r="AC59" s="25" t="s">
        <v>60</v>
      </c>
      <c r="AD59" s="25" t="s">
        <v>73</v>
      </c>
      <c r="AE59" s="32">
        <f t="shared" si="4"/>
        <v>6.22</v>
      </c>
      <c r="AF59" s="29" t="s">
        <v>705</v>
      </c>
      <c r="AG59" s="30">
        <v>0.0</v>
      </c>
      <c r="AH59" s="30">
        <f t="shared" si="5"/>
        <v>47</v>
      </c>
      <c r="AI59" s="29"/>
    </row>
    <row r="60" ht="15.75" customHeight="1">
      <c r="A60" s="11">
        <f t="shared" si="1"/>
        <v>56</v>
      </c>
      <c r="B60" s="16">
        <f>ROUND(Guida!$B$22*H60/Guida!$B$30+Guida!$B$23*MAX(0,MIN(1,(AE60-5.4)/1.6))+Guida!$B$24*0+Guida!$B$25*0,1)</f>
        <v>19.9</v>
      </c>
      <c r="C60" s="17" t="s">
        <v>712</v>
      </c>
      <c r="D60" s="11" t="s">
        <v>133</v>
      </c>
      <c r="E60" s="18" t="s">
        <v>198</v>
      </c>
      <c r="F60" s="19">
        <v>6.0</v>
      </c>
      <c r="G60" s="19">
        <v>6.0</v>
      </c>
      <c r="H60" s="19">
        <v>17.0</v>
      </c>
      <c r="I60" s="19">
        <f>MAX(1,ROUND(H60^Guida!$B$18*Guida!$F$13,0))</f>
        <v>10</v>
      </c>
      <c r="J60" s="19">
        <f t="shared" si="2"/>
        <v>12</v>
      </c>
      <c r="K60" s="11" t="str">
        <f t="shared" si="3"/>
        <v>3a fascia</v>
      </c>
      <c r="L60" s="11" t="s">
        <v>332</v>
      </c>
      <c r="M60" s="18" t="s">
        <v>408</v>
      </c>
      <c r="N60" s="11" t="s">
        <v>71</v>
      </c>
      <c r="O60" s="11" t="s">
        <v>71</v>
      </c>
      <c r="P60" s="19">
        <v>28.0</v>
      </c>
      <c r="Q60" s="22">
        <v>6.11</v>
      </c>
      <c r="R60" s="22">
        <v>6.41</v>
      </c>
      <c r="S60" s="19">
        <v>2.0</v>
      </c>
      <c r="T60" s="19">
        <v>4.0</v>
      </c>
      <c r="U60" s="11" t="s">
        <v>72</v>
      </c>
      <c r="V60" s="19">
        <v>3.0</v>
      </c>
      <c r="W60" s="19">
        <v>0.0</v>
      </c>
      <c r="X60" s="19">
        <v>1.0</v>
      </c>
      <c r="Y60" s="22">
        <v>6.0</v>
      </c>
      <c r="Z60" s="22">
        <v>6.0</v>
      </c>
      <c r="AA60" s="19">
        <v>0.0</v>
      </c>
      <c r="AB60" s="19">
        <v>0.0</v>
      </c>
      <c r="AC60" s="11" t="s">
        <v>133</v>
      </c>
      <c r="AD60" s="11" t="s">
        <v>73</v>
      </c>
      <c r="AE60" s="22">
        <f t="shared" si="4"/>
        <v>6.41</v>
      </c>
      <c r="AF60" s="18" t="s">
        <v>419</v>
      </c>
      <c r="AG60" s="19">
        <v>6.0</v>
      </c>
      <c r="AH60" s="19">
        <f t="shared" si="5"/>
        <v>88</v>
      </c>
      <c r="AI60" s="18"/>
    </row>
    <row r="61" ht="15.75" customHeight="1">
      <c r="A61" s="25">
        <f t="shared" si="1"/>
        <v>58</v>
      </c>
      <c r="B61" s="27">
        <f>ROUND(Guida!$B$22*H61/Guida!$B$30+Guida!$B$23*MAX(0,MIN(1,(AE61-5.4)/1.6))+Guida!$B$24*0+Guida!$B$25*0,1)</f>
        <v>19.7</v>
      </c>
      <c r="C61" s="28" t="s">
        <v>722</v>
      </c>
      <c r="D61" s="25" t="s">
        <v>264</v>
      </c>
      <c r="E61" s="29" t="s">
        <v>69</v>
      </c>
      <c r="F61" s="30">
        <v>6.0</v>
      </c>
      <c r="G61" s="30">
        <v>6.0</v>
      </c>
      <c r="H61" s="30">
        <v>19.0</v>
      </c>
      <c r="I61" s="30">
        <f>MAX(1,ROUND(H61^Guida!$B$18*Guida!$F$13,0))</f>
        <v>11</v>
      </c>
      <c r="J61" s="30">
        <f t="shared" si="2"/>
        <v>13</v>
      </c>
      <c r="K61" s="25" t="str">
        <f t="shared" si="3"/>
        <v>3a fascia</v>
      </c>
      <c r="L61" s="25" t="s">
        <v>68</v>
      </c>
      <c r="M61" s="21" t="s">
        <v>100</v>
      </c>
      <c r="N61" s="25" t="s">
        <v>71</v>
      </c>
      <c r="O61" s="25" t="s">
        <v>71</v>
      </c>
      <c r="P61" s="30">
        <v>23.0</v>
      </c>
      <c r="Q61" s="32">
        <v>6.09</v>
      </c>
      <c r="R61" s="32">
        <v>6.43</v>
      </c>
      <c r="S61" s="30">
        <v>2.0</v>
      </c>
      <c r="T61" s="30">
        <v>3.0</v>
      </c>
      <c r="U61" s="25" t="s">
        <v>72</v>
      </c>
      <c r="V61" s="30">
        <v>0.0</v>
      </c>
      <c r="W61" s="30">
        <v>1.0</v>
      </c>
      <c r="X61" s="30">
        <v>2.0</v>
      </c>
      <c r="Y61" s="32">
        <v>5.75</v>
      </c>
      <c r="Z61" s="32">
        <v>5.75</v>
      </c>
      <c r="AA61" s="30">
        <v>0.0</v>
      </c>
      <c r="AB61" s="30">
        <v>0.0</v>
      </c>
      <c r="AC61" s="25" t="s">
        <v>195</v>
      </c>
      <c r="AD61" s="25" t="s">
        <v>103</v>
      </c>
      <c r="AE61" s="32">
        <f t="shared" si="4"/>
        <v>6.36</v>
      </c>
      <c r="AF61" s="29" t="s">
        <v>678</v>
      </c>
      <c r="AG61" s="30">
        <v>6.0</v>
      </c>
      <c r="AH61" s="30">
        <f t="shared" si="5"/>
        <v>81</v>
      </c>
      <c r="AI61" s="29"/>
    </row>
    <row r="62" ht="15.75" customHeight="1">
      <c r="A62" s="11">
        <f t="shared" si="1"/>
        <v>58</v>
      </c>
      <c r="B62" s="16">
        <f>ROUND(Guida!$B$22*H62/Guida!$B$30+Guida!$B$23*MAX(0,MIN(1,(AE62-5.4)/1.6))+Guida!$B$24*0+Guida!$B$25*0,1)</f>
        <v>19.7</v>
      </c>
      <c r="C62" s="17" t="s">
        <v>725</v>
      </c>
      <c r="D62" s="11" t="s">
        <v>60</v>
      </c>
      <c r="E62" s="18" t="s">
        <v>326</v>
      </c>
      <c r="F62" s="19">
        <v>5.0</v>
      </c>
      <c r="G62" s="19">
        <v>7.0</v>
      </c>
      <c r="H62" s="19">
        <v>19.0</v>
      </c>
      <c r="I62" s="19">
        <f>MAX(1,ROUND(H62^Guida!$B$18*Guida!$F$13,0))</f>
        <v>11</v>
      </c>
      <c r="J62" s="19">
        <f t="shared" si="2"/>
        <v>13</v>
      </c>
      <c r="K62" s="11" t="str">
        <f t="shared" si="3"/>
        <v>3a fascia</v>
      </c>
      <c r="L62" s="11" t="s">
        <v>226</v>
      </c>
      <c r="M62" s="18" t="s">
        <v>277</v>
      </c>
      <c r="N62" s="11" t="s">
        <v>71</v>
      </c>
      <c r="O62" s="11" t="s">
        <v>71</v>
      </c>
      <c r="P62" s="19">
        <v>22.0</v>
      </c>
      <c r="Q62" s="22">
        <v>6.09</v>
      </c>
      <c r="R62" s="22">
        <v>6.48</v>
      </c>
      <c r="S62" s="19">
        <v>2.0</v>
      </c>
      <c r="T62" s="19">
        <v>4.0</v>
      </c>
      <c r="U62" s="11" t="s">
        <v>72</v>
      </c>
      <c r="V62" s="19">
        <v>3.0</v>
      </c>
      <c r="W62" s="19">
        <v>0.0</v>
      </c>
      <c r="X62" s="19">
        <v>2.0</v>
      </c>
      <c r="Y62" s="22">
        <v>6.5</v>
      </c>
      <c r="Z62" s="22">
        <v>8.0</v>
      </c>
      <c r="AA62" s="19">
        <v>1.0</v>
      </c>
      <c r="AB62" s="19">
        <v>0.0</v>
      </c>
      <c r="AC62" s="11" t="s">
        <v>60</v>
      </c>
      <c r="AD62" s="11" t="s">
        <v>73</v>
      </c>
      <c r="AE62" s="22">
        <f t="shared" si="4"/>
        <v>6.36</v>
      </c>
      <c r="AF62" s="18" t="s">
        <v>705</v>
      </c>
      <c r="AG62" s="19">
        <v>0.0</v>
      </c>
      <c r="AH62" s="19">
        <f t="shared" si="5"/>
        <v>81</v>
      </c>
      <c r="AI62" s="18"/>
    </row>
    <row r="63" ht="15.75" customHeight="1">
      <c r="A63" s="25">
        <f t="shared" si="1"/>
        <v>60</v>
      </c>
      <c r="B63" s="27">
        <f>ROUND(Guida!$B$22*H63/Guida!$B$30+Guida!$B$23*MAX(0,MIN(1,(AE63-5.4)/1.6))+Guida!$B$24*0+Guida!$B$25*0,1)</f>
        <v>19</v>
      </c>
      <c r="C63" s="28" t="s">
        <v>728</v>
      </c>
      <c r="D63" s="25" t="s">
        <v>143</v>
      </c>
      <c r="E63" s="29" t="s">
        <v>198</v>
      </c>
      <c r="F63" s="30">
        <v>9.0</v>
      </c>
      <c r="G63" s="30">
        <v>8.0</v>
      </c>
      <c r="H63" s="30">
        <v>22.0</v>
      </c>
      <c r="I63" s="30">
        <f>MAX(1,ROUND(H63^Guida!$B$18*Guida!$F$13,0))</f>
        <v>12</v>
      </c>
      <c r="J63" s="30">
        <f t="shared" si="2"/>
        <v>14</v>
      </c>
      <c r="K63" s="25" t="str">
        <f t="shared" si="3"/>
        <v>3a fascia</v>
      </c>
      <c r="L63" s="25" t="s">
        <v>226</v>
      </c>
      <c r="M63" s="29" t="s">
        <v>277</v>
      </c>
      <c r="N63" s="25" t="s">
        <v>71</v>
      </c>
      <c r="O63" s="25" t="s">
        <v>71</v>
      </c>
      <c r="P63" s="30">
        <v>31.0</v>
      </c>
      <c r="Q63" s="32">
        <v>5.94</v>
      </c>
      <c r="R63" s="32">
        <v>6.27</v>
      </c>
      <c r="S63" s="30">
        <v>3.0</v>
      </c>
      <c r="T63" s="30">
        <v>3.0</v>
      </c>
      <c r="U63" s="25" t="s">
        <v>72</v>
      </c>
      <c r="V63" s="30">
        <v>3.0</v>
      </c>
      <c r="W63" s="30">
        <v>0.0</v>
      </c>
      <c r="X63" s="30">
        <v>2.0</v>
      </c>
      <c r="Y63" s="32">
        <v>5.5</v>
      </c>
      <c r="Z63" s="32">
        <v>5.5</v>
      </c>
      <c r="AA63" s="30">
        <v>0.0</v>
      </c>
      <c r="AB63" s="30">
        <v>0.0</v>
      </c>
      <c r="AC63" s="25" t="s">
        <v>143</v>
      </c>
      <c r="AD63" s="25" t="s">
        <v>73</v>
      </c>
      <c r="AE63" s="32">
        <f t="shared" si="4"/>
        <v>6.27</v>
      </c>
      <c r="AF63" s="29" t="s">
        <v>419</v>
      </c>
      <c r="AG63" s="30">
        <v>5.0</v>
      </c>
      <c r="AH63" s="30">
        <f t="shared" si="5"/>
        <v>68</v>
      </c>
      <c r="AI63" s="29"/>
    </row>
    <row r="64" ht="15.75" customHeight="1">
      <c r="A64" s="11">
        <f t="shared" si="1"/>
        <v>61</v>
      </c>
      <c r="B64" s="16">
        <f>ROUND(Guida!$B$22*H64/Guida!$B$30+Guida!$B$23*MAX(0,MIN(1,(AE64-5.4)/1.6))+Guida!$B$24*0+Guida!$B$25*0,1)</f>
        <v>18.9</v>
      </c>
      <c r="C64" s="17" t="s">
        <v>731</v>
      </c>
      <c r="D64" s="11" t="s">
        <v>175</v>
      </c>
      <c r="E64" s="18" t="s">
        <v>198</v>
      </c>
      <c r="F64" s="19">
        <v>4.0</v>
      </c>
      <c r="G64" s="19">
        <v>4.0</v>
      </c>
      <c r="H64" s="19">
        <v>16.0</v>
      </c>
      <c r="I64" s="19">
        <f>MAX(1,ROUND(H64^Guida!$B$18*Guida!$F$13,0))</f>
        <v>10</v>
      </c>
      <c r="J64" s="19">
        <f t="shared" si="2"/>
        <v>12</v>
      </c>
      <c r="K64" s="11" t="str">
        <f t="shared" si="3"/>
        <v>3a fascia</v>
      </c>
      <c r="L64" s="11" t="s">
        <v>332</v>
      </c>
      <c r="M64" s="18" t="s">
        <v>392</v>
      </c>
      <c r="N64" s="11" t="s">
        <v>71</v>
      </c>
      <c r="O64" s="11" t="s">
        <v>71</v>
      </c>
      <c r="P64" s="19">
        <v>21.0</v>
      </c>
      <c r="Q64" s="22">
        <v>6.1</v>
      </c>
      <c r="R64" s="22">
        <v>6.52</v>
      </c>
      <c r="S64" s="19">
        <v>3.0</v>
      </c>
      <c r="T64" s="19">
        <v>1.0</v>
      </c>
      <c r="U64" s="11" t="s">
        <v>72</v>
      </c>
      <c r="V64" s="19">
        <v>2.0</v>
      </c>
      <c r="W64" s="19">
        <v>0.0</v>
      </c>
      <c r="X64" s="19">
        <v>2.0</v>
      </c>
      <c r="Y64" s="22">
        <v>6.0</v>
      </c>
      <c r="Z64" s="22">
        <v>5.75</v>
      </c>
      <c r="AA64" s="19">
        <v>0.0</v>
      </c>
      <c r="AB64" s="19">
        <v>0.0</v>
      </c>
      <c r="AC64" s="11" t="s">
        <v>175</v>
      </c>
      <c r="AD64" s="11" t="s">
        <v>73</v>
      </c>
      <c r="AE64" s="22">
        <f t="shared" si="4"/>
        <v>6.36</v>
      </c>
      <c r="AF64" s="18" t="s">
        <v>735</v>
      </c>
      <c r="AG64" s="19">
        <v>0.0</v>
      </c>
      <c r="AH64" s="19">
        <f t="shared" si="5"/>
        <v>93</v>
      </c>
      <c r="AI64" s="18"/>
    </row>
    <row r="65" ht="15.75" customHeight="1">
      <c r="A65" s="25">
        <f t="shared" si="1"/>
        <v>62</v>
      </c>
      <c r="B65" s="27">
        <f>ROUND(Guida!$B$22*H65/Guida!$B$30+Guida!$B$23*MAX(0,MIN(1,(AE65-5.4)/1.6))+Guida!$B$24*0+Guida!$B$25*0,1)</f>
        <v>18.7</v>
      </c>
      <c r="C65" s="28" t="s">
        <v>738</v>
      </c>
      <c r="D65" s="25" t="s">
        <v>64</v>
      </c>
      <c r="E65" s="29" t="s">
        <v>326</v>
      </c>
      <c r="F65" s="30">
        <v>8.0</v>
      </c>
      <c r="G65" s="30">
        <v>9.0</v>
      </c>
      <c r="H65" s="30">
        <v>21.0</v>
      </c>
      <c r="I65" s="30">
        <f>MAX(1,ROUND(H65^Guida!$B$18*Guida!$F$13,0))</f>
        <v>11</v>
      </c>
      <c r="J65" s="30">
        <f t="shared" si="2"/>
        <v>13</v>
      </c>
      <c r="K65" s="25" t="str">
        <f t="shared" si="3"/>
        <v>3a fascia</v>
      </c>
      <c r="L65" s="25" t="s">
        <v>226</v>
      </c>
      <c r="M65" s="29" t="s">
        <v>277</v>
      </c>
      <c r="N65" s="25" t="s">
        <v>71</v>
      </c>
      <c r="O65" s="25" t="s">
        <v>71</v>
      </c>
      <c r="P65" s="30">
        <v>28.0</v>
      </c>
      <c r="Q65" s="32">
        <v>6.07</v>
      </c>
      <c r="R65" s="32">
        <v>6.27</v>
      </c>
      <c r="S65" s="30">
        <v>2.0</v>
      </c>
      <c r="T65" s="30">
        <v>2.0</v>
      </c>
      <c r="U65" s="25" t="s">
        <v>72</v>
      </c>
      <c r="V65" s="30">
        <v>5.0</v>
      </c>
      <c r="W65" s="30">
        <v>0.0</v>
      </c>
      <c r="X65" s="30">
        <v>2.0</v>
      </c>
      <c r="Y65" s="32">
        <v>6.5</v>
      </c>
      <c r="Z65" s="32">
        <v>6.5</v>
      </c>
      <c r="AA65" s="30">
        <v>0.0</v>
      </c>
      <c r="AB65" s="30">
        <v>0.0</v>
      </c>
      <c r="AC65" s="25" t="s">
        <v>64</v>
      </c>
      <c r="AD65" s="25" t="s">
        <v>73</v>
      </c>
      <c r="AE65" s="32">
        <f t="shared" si="4"/>
        <v>6.27</v>
      </c>
      <c r="AF65" s="29" t="s">
        <v>740</v>
      </c>
      <c r="AG65" s="30">
        <v>0.0</v>
      </c>
      <c r="AH65" s="30">
        <f t="shared" si="5"/>
        <v>73</v>
      </c>
      <c r="AI65" s="29"/>
    </row>
    <row r="66" ht="15.75" customHeight="1">
      <c r="A66" s="11">
        <f t="shared" si="1"/>
        <v>63</v>
      </c>
      <c r="B66" s="16">
        <f>ROUND(Guida!$B$22*H66/Guida!$B$30+Guida!$B$23*MAX(0,MIN(1,(AE66-5.4)/1.6))+Guida!$B$24*0+Guida!$B$25*0,1)</f>
        <v>18.1</v>
      </c>
      <c r="C66" s="17" t="s">
        <v>747</v>
      </c>
      <c r="D66" s="11" t="s">
        <v>232</v>
      </c>
      <c r="E66" s="18" t="s">
        <v>69</v>
      </c>
      <c r="F66" s="19">
        <v>6.0</v>
      </c>
      <c r="G66" s="19">
        <v>7.0</v>
      </c>
      <c r="H66" s="19">
        <v>17.0</v>
      </c>
      <c r="I66" s="19">
        <f>MAX(1,ROUND(H66^Guida!$B$18*Guida!$F$13,0))</f>
        <v>10</v>
      </c>
      <c r="J66" s="19">
        <f t="shared" si="2"/>
        <v>12</v>
      </c>
      <c r="K66" s="11" t="str">
        <f t="shared" si="3"/>
        <v>3a fascia</v>
      </c>
      <c r="L66" s="11" t="s">
        <v>68</v>
      </c>
      <c r="M66" s="21" t="s">
        <v>70</v>
      </c>
      <c r="N66" s="11" t="s">
        <v>71</v>
      </c>
      <c r="O66" s="11" t="s">
        <v>71</v>
      </c>
      <c r="P66" s="19">
        <v>33.0</v>
      </c>
      <c r="Q66" s="22">
        <v>6.05</v>
      </c>
      <c r="R66" s="22">
        <v>6.29</v>
      </c>
      <c r="S66" s="19">
        <v>3.0</v>
      </c>
      <c r="T66" s="19">
        <v>1.0</v>
      </c>
      <c r="U66" s="11" t="s">
        <v>72</v>
      </c>
      <c r="V66" s="19">
        <v>4.0</v>
      </c>
      <c r="W66" s="19">
        <v>0.0</v>
      </c>
      <c r="X66" s="19">
        <v>2.0</v>
      </c>
      <c r="Y66" s="22">
        <v>6.0</v>
      </c>
      <c r="Z66" s="22">
        <v>6.5</v>
      </c>
      <c r="AA66" s="19">
        <v>0.0</v>
      </c>
      <c r="AB66" s="19">
        <v>1.0</v>
      </c>
      <c r="AC66" s="11" t="s">
        <v>232</v>
      </c>
      <c r="AD66" s="11" t="s">
        <v>73</v>
      </c>
      <c r="AE66" s="22">
        <f t="shared" si="4"/>
        <v>6.29</v>
      </c>
      <c r="AF66" s="18" t="s">
        <v>320</v>
      </c>
      <c r="AG66" s="19">
        <v>6.0</v>
      </c>
      <c r="AH66" s="19">
        <f t="shared" si="5"/>
        <v>88</v>
      </c>
      <c r="AI66" s="18"/>
    </row>
    <row r="67" ht="15.75" customHeight="1">
      <c r="A67" s="25">
        <f t="shared" si="1"/>
        <v>64</v>
      </c>
      <c r="B67" s="27">
        <f>ROUND(Guida!$B$22*H67/Guida!$B$30+Guida!$B$23*MAX(0,MIN(1,(AE67-5.4)/1.6))+Guida!$B$24*0+Guida!$B$25*0,1)</f>
        <v>18</v>
      </c>
      <c r="C67" s="28" t="s">
        <v>757</v>
      </c>
      <c r="D67" s="25" t="s">
        <v>64</v>
      </c>
      <c r="E67" s="29" t="s">
        <v>758</v>
      </c>
      <c r="F67" s="30">
        <v>8.0</v>
      </c>
      <c r="G67" s="30">
        <v>9.0</v>
      </c>
      <c r="H67" s="30">
        <v>43.0</v>
      </c>
      <c r="I67" s="30">
        <f>MAX(1,ROUND(H67^Guida!$B$18*Guida!$F$13,0))</f>
        <v>17</v>
      </c>
      <c r="J67" s="30">
        <f t="shared" si="2"/>
        <v>20</v>
      </c>
      <c r="K67" s="25" t="str">
        <f t="shared" si="3"/>
        <v>2a fascia</v>
      </c>
      <c r="L67" s="25" t="s">
        <v>226</v>
      </c>
      <c r="M67" s="29" t="s">
        <v>301</v>
      </c>
      <c r="N67" s="25" t="s">
        <v>71</v>
      </c>
      <c r="O67" s="25" t="s">
        <v>71</v>
      </c>
      <c r="P67" s="30">
        <v>10.0</v>
      </c>
      <c r="Q67" s="32">
        <v>6.15</v>
      </c>
      <c r="R67" s="32">
        <v>6.45</v>
      </c>
      <c r="S67" s="30">
        <v>1.0</v>
      </c>
      <c r="T67" s="30">
        <v>0.0</v>
      </c>
      <c r="U67" s="25" t="s">
        <v>72</v>
      </c>
      <c r="V67" s="30">
        <v>1.0</v>
      </c>
      <c r="W67" s="30">
        <v>0.0</v>
      </c>
      <c r="X67" s="30">
        <v>1.0</v>
      </c>
      <c r="Y67" s="32">
        <v>7.0</v>
      </c>
      <c r="Z67" s="32">
        <v>9.0</v>
      </c>
      <c r="AA67" s="30">
        <v>0.0</v>
      </c>
      <c r="AB67" s="30">
        <v>2.0</v>
      </c>
      <c r="AC67" s="25" t="s">
        <v>64</v>
      </c>
      <c r="AD67" s="25" t="s">
        <v>73</v>
      </c>
      <c r="AE67" s="32">
        <f t="shared" si="4"/>
        <v>5.88</v>
      </c>
      <c r="AF67" s="29" t="s">
        <v>740</v>
      </c>
      <c r="AG67" s="30">
        <v>0.0</v>
      </c>
      <c r="AH67" s="30">
        <f t="shared" si="5"/>
        <v>31</v>
      </c>
      <c r="AI67" s="29"/>
    </row>
    <row r="68" ht="15.75" customHeight="1">
      <c r="A68" s="11">
        <f t="shared" si="1"/>
        <v>65</v>
      </c>
      <c r="B68" s="16">
        <f>ROUND(Guida!$B$22*H68/Guida!$B$30+Guida!$B$23*MAX(0,MIN(1,(AE68-5.4)/1.6))+Guida!$B$24*0+Guida!$B$25*0,1)</f>
        <v>17.9</v>
      </c>
      <c r="C68" s="17" t="s">
        <v>769</v>
      </c>
      <c r="D68" s="11" t="s">
        <v>208</v>
      </c>
      <c r="E68" s="18" t="s">
        <v>69</v>
      </c>
      <c r="F68" s="19">
        <v>8.0</v>
      </c>
      <c r="G68" s="19">
        <v>7.0</v>
      </c>
      <c r="H68" s="19">
        <v>20.0</v>
      </c>
      <c r="I68" s="19">
        <f>MAX(1,ROUND(H68^Guida!$B$18*Guida!$F$13,0))</f>
        <v>11</v>
      </c>
      <c r="J68" s="19">
        <f t="shared" si="2"/>
        <v>13</v>
      </c>
      <c r="K68" s="11" t="str">
        <f t="shared" si="3"/>
        <v>3a fascia</v>
      </c>
      <c r="L68" s="11" t="s">
        <v>226</v>
      </c>
      <c r="M68" s="18" t="s">
        <v>277</v>
      </c>
      <c r="N68" s="11" t="s">
        <v>71</v>
      </c>
      <c r="O68" s="11" t="s">
        <v>71</v>
      </c>
      <c r="P68" s="19">
        <v>33.0</v>
      </c>
      <c r="Q68" s="22">
        <v>6.03</v>
      </c>
      <c r="R68" s="22">
        <v>6.23</v>
      </c>
      <c r="S68" s="19">
        <v>2.0</v>
      </c>
      <c r="T68" s="19">
        <v>3.0</v>
      </c>
      <c r="U68" s="11" t="s">
        <v>72</v>
      </c>
      <c r="V68" s="19">
        <v>5.0</v>
      </c>
      <c r="W68" s="19">
        <v>0.0</v>
      </c>
      <c r="X68" s="19">
        <v>2.0</v>
      </c>
      <c r="Y68" s="22">
        <v>5.5</v>
      </c>
      <c r="Z68" s="22">
        <v>5.25</v>
      </c>
      <c r="AA68" s="19">
        <v>0.0</v>
      </c>
      <c r="AB68" s="19">
        <v>0.0</v>
      </c>
      <c r="AC68" s="11" t="s">
        <v>208</v>
      </c>
      <c r="AD68" s="11" t="s">
        <v>73</v>
      </c>
      <c r="AE68" s="22">
        <f t="shared" si="4"/>
        <v>6.23</v>
      </c>
      <c r="AF68" s="18" t="s">
        <v>772</v>
      </c>
      <c r="AG68" s="19">
        <v>6.0</v>
      </c>
      <c r="AH68" s="19">
        <f t="shared" si="5"/>
        <v>76</v>
      </c>
      <c r="AI68" s="18"/>
    </row>
    <row r="69" ht="15.75" customHeight="1">
      <c r="A69" s="25">
        <f t="shared" si="1"/>
        <v>66</v>
      </c>
      <c r="B69" s="27">
        <f>ROUND(Guida!$B$22*H69/Guida!$B$30+Guida!$B$23*MAX(0,MIN(1,(AE69-5.4)/1.6))+Guida!$B$24*0+Guida!$B$25*0,1)</f>
        <v>17.6</v>
      </c>
      <c r="C69" s="28" t="s">
        <v>774</v>
      </c>
      <c r="D69" s="25" t="s">
        <v>177</v>
      </c>
      <c r="E69" s="29" t="s">
        <v>387</v>
      </c>
      <c r="F69" s="30">
        <v>3.0</v>
      </c>
      <c r="G69" s="30">
        <v>4.0</v>
      </c>
      <c r="H69" s="30">
        <v>8.0</v>
      </c>
      <c r="I69" s="30">
        <f>MAX(1,ROUND(H69^Guida!$B$18*Guida!$F$13,0))</f>
        <v>6</v>
      </c>
      <c r="J69" s="30">
        <f t="shared" si="2"/>
        <v>7</v>
      </c>
      <c r="K69" s="25" t="str">
        <f t="shared" si="3"/>
        <v>4a fascia</v>
      </c>
      <c r="L69" s="25" t="s">
        <v>332</v>
      </c>
      <c r="M69" s="29" t="s">
        <v>392</v>
      </c>
      <c r="N69" s="25" t="s">
        <v>71</v>
      </c>
      <c r="O69" s="25" t="s">
        <v>71</v>
      </c>
      <c r="P69" s="30">
        <v>19.0</v>
      </c>
      <c r="Q69" s="32">
        <v>6.18</v>
      </c>
      <c r="R69" s="32">
        <v>6.68</v>
      </c>
      <c r="S69" s="30">
        <v>3.0</v>
      </c>
      <c r="T69" s="30">
        <v>1.0</v>
      </c>
      <c r="U69" s="25" t="s">
        <v>188</v>
      </c>
      <c r="V69" s="30">
        <v>1.0</v>
      </c>
      <c r="W69" s="30">
        <v>0.0</v>
      </c>
      <c r="X69" s="30">
        <v>2.0</v>
      </c>
      <c r="Y69" s="32">
        <v>6.0</v>
      </c>
      <c r="Z69" s="32">
        <v>6.0</v>
      </c>
      <c r="AA69" s="30">
        <v>0.0</v>
      </c>
      <c r="AB69" s="30">
        <v>0.0</v>
      </c>
      <c r="AC69" s="25" t="s">
        <v>177</v>
      </c>
      <c r="AD69" s="25" t="s">
        <v>73</v>
      </c>
      <c r="AE69" s="32">
        <f t="shared" si="4"/>
        <v>6.4</v>
      </c>
      <c r="AF69" s="29" t="s">
        <v>776</v>
      </c>
      <c r="AG69" s="30">
        <v>5.0</v>
      </c>
      <c r="AH69" s="30">
        <f t="shared" si="5"/>
        <v>154</v>
      </c>
      <c r="AI69" s="29"/>
    </row>
    <row r="70" ht="15.75" customHeight="1">
      <c r="A70" s="11">
        <f t="shared" si="1"/>
        <v>67</v>
      </c>
      <c r="B70" s="16">
        <f>ROUND(Guida!$B$22*H70/Guida!$B$30+Guida!$B$23*MAX(0,MIN(1,(AE70-5.4)/1.6))+Guida!$B$24*0+Guida!$B$25*0.6,1)</f>
        <v>16.8</v>
      </c>
      <c r="C70" s="17" t="s">
        <v>778</v>
      </c>
      <c r="D70" s="11" t="s">
        <v>208</v>
      </c>
      <c r="E70" s="18" t="s">
        <v>387</v>
      </c>
      <c r="F70" s="19">
        <v>12.0</v>
      </c>
      <c r="G70" s="19">
        <v>11.0</v>
      </c>
      <c r="H70" s="19">
        <v>50.0</v>
      </c>
      <c r="I70" s="19">
        <f>MAX(1,ROUND(H70^Guida!$B$18*Guida!$F$13,0))</f>
        <v>19</v>
      </c>
      <c r="J70" s="19">
        <f t="shared" si="2"/>
        <v>23</v>
      </c>
      <c r="K70" s="11" t="str">
        <f t="shared" si="3"/>
        <v>2a fascia</v>
      </c>
      <c r="L70" s="11" t="s">
        <v>68</v>
      </c>
      <c r="M70" s="21" t="s">
        <v>100</v>
      </c>
      <c r="N70" s="11" t="s">
        <v>71</v>
      </c>
      <c r="O70" s="11" t="s">
        <v>77</v>
      </c>
      <c r="P70" s="19"/>
      <c r="Q70" s="22"/>
      <c r="R70" s="22"/>
      <c r="S70" s="19"/>
      <c r="T70" s="19"/>
      <c r="U70" s="11"/>
      <c r="V70" s="19"/>
      <c r="W70" s="19"/>
      <c r="X70" s="19">
        <v>2.0</v>
      </c>
      <c r="Y70" s="22">
        <v>5.25</v>
      </c>
      <c r="Z70" s="22">
        <v>5.25</v>
      </c>
      <c r="AA70" s="19">
        <v>0.0</v>
      </c>
      <c r="AB70" s="19">
        <v>0.0</v>
      </c>
      <c r="AC70" s="11" t="s">
        <v>71</v>
      </c>
      <c r="AD70" s="11" t="s">
        <v>103</v>
      </c>
      <c r="AE70" s="22">
        <f t="shared" si="4"/>
        <v>5.5</v>
      </c>
      <c r="AF70" s="18" t="s">
        <v>772</v>
      </c>
      <c r="AG70" s="19">
        <v>6.0</v>
      </c>
      <c r="AH70" s="19">
        <f t="shared" si="5"/>
        <v>21</v>
      </c>
      <c r="AI70" s="18"/>
    </row>
    <row r="71" ht="15.75" customHeight="1">
      <c r="A71" s="25">
        <f t="shared" si="1"/>
        <v>67</v>
      </c>
      <c r="B71" s="27">
        <f>ROUND(Guida!$B$22*H71/Guida!$B$30+Guida!$B$23*MAX(0,MIN(1,(AE71-5.4)/1.6))+Guida!$B$24*0+Guida!$B$25*0,1)</f>
        <v>16.8</v>
      </c>
      <c r="C71" s="28" t="s">
        <v>780</v>
      </c>
      <c r="D71" s="25" t="s">
        <v>272</v>
      </c>
      <c r="E71" s="29" t="s">
        <v>198</v>
      </c>
      <c r="F71" s="30">
        <v>4.0</v>
      </c>
      <c r="G71" s="30">
        <v>4.0</v>
      </c>
      <c r="H71" s="30">
        <v>17.0</v>
      </c>
      <c r="I71" s="30">
        <f>MAX(1,ROUND(H71^Guida!$B$18*Guida!$F$13,0))</f>
        <v>10</v>
      </c>
      <c r="J71" s="30">
        <f t="shared" si="2"/>
        <v>12</v>
      </c>
      <c r="K71" s="25" t="str">
        <f t="shared" si="3"/>
        <v>3a fascia</v>
      </c>
      <c r="L71" s="25" t="s">
        <v>226</v>
      </c>
      <c r="M71" s="29" t="s">
        <v>495</v>
      </c>
      <c r="N71" s="25" t="s">
        <v>71</v>
      </c>
      <c r="O71" s="25" t="s">
        <v>71</v>
      </c>
      <c r="P71" s="30">
        <v>26.0</v>
      </c>
      <c r="Q71" s="32">
        <v>6.04</v>
      </c>
      <c r="R71" s="32">
        <v>6.21</v>
      </c>
      <c r="S71" s="30">
        <v>2.0</v>
      </c>
      <c r="T71" s="30">
        <v>0.0</v>
      </c>
      <c r="U71" s="25" t="s">
        <v>72</v>
      </c>
      <c r="V71" s="30">
        <v>3.0</v>
      </c>
      <c r="W71" s="30">
        <v>0.0</v>
      </c>
      <c r="X71" s="30">
        <v>1.0</v>
      </c>
      <c r="Y71" s="32">
        <v>6.0</v>
      </c>
      <c r="Z71" s="32">
        <v>6.0</v>
      </c>
      <c r="AA71" s="30">
        <v>0.0</v>
      </c>
      <c r="AB71" s="30">
        <v>0.0</v>
      </c>
      <c r="AC71" s="25" t="s">
        <v>239</v>
      </c>
      <c r="AD71" s="25" t="s">
        <v>103</v>
      </c>
      <c r="AE71" s="32">
        <f t="shared" si="4"/>
        <v>6.21</v>
      </c>
      <c r="AF71" s="29" t="s">
        <v>644</v>
      </c>
      <c r="AG71" s="30">
        <v>6.0</v>
      </c>
      <c r="AH71" s="30">
        <f t="shared" si="5"/>
        <v>88</v>
      </c>
      <c r="AI71" s="29"/>
    </row>
    <row r="72" ht="15.75" customHeight="1">
      <c r="A72" s="11">
        <f t="shared" si="1"/>
        <v>69</v>
      </c>
      <c r="B72" s="16">
        <f>ROUND(Guida!$B$22*H72/Guida!$B$30+Guida!$B$23*MAX(0,MIN(1,(AE72-5.4)/1.6))+Guida!$B$24*0.6+Guida!$B$25*0.6,1)</f>
        <v>16.7</v>
      </c>
      <c r="C72" s="17" t="s">
        <v>782</v>
      </c>
      <c r="D72" s="11" t="s">
        <v>261</v>
      </c>
      <c r="E72" s="18" t="s">
        <v>387</v>
      </c>
      <c r="F72" s="19">
        <v>8.0</v>
      </c>
      <c r="G72" s="19">
        <v>8.0</v>
      </c>
      <c r="H72" s="19">
        <v>25.0</v>
      </c>
      <c r="I72" s="19">
        <f>MAX(1,ROUND(H72^Guida!$B$18*Guida!$F$13,0))</f>
        <v>12</v>
      </c>
      <c r="J72" s="19">
        <f t="shared" si="2"/>
        <v>14</v>
      </c>
      <c r="K72" s="11" t="str">
        <f t="shared" si="3"/>
        <v>3a fascia</v>
      </c>
      <c r="L72" s="11" t="s">
        <v>68</v>
      </c>
      <c r="M72" s="21" t="s">
        <v>100</v>
      </c>
      <c r="N72" s="11" t="s">
        <v>77</v>
      </c>
      <c r="O72" s="11" t="s">
        <v>77</v>
      </c>
      <c r="P72" s="19"/>
      <c r="Q72" s="22"/>
      <c r="R72" s="22"/>
      <c r="S72" s="19"/>
      <c r="T72" s="19"/>
      <c r="U72" s="11"/>
      <c r="V72" s="19"/>
      <c r="W72" s="19"/>
      <c r="X72" s="19">
        <v>2.0</v>
      </c>
      <c r="Y72" s="22">
        <v>5.75</v>
      </c>
      <c r="Z72" s="22">
        <v>5.5</v>
      </c>
      <c r="AA72" s="19">
        <v>0.0</v>
      </c>
      <c r="AB72" s="19">
        <v>0.0</v>
      </c>
      <c r="AC72" s="11" t="s">
        <v>71</v>
      </c>
      <c r="AD72" s="11" t="s">
        <v>103</v>
      </c>
      <c r="AE72" s="22">
        <f t="shared" si="4"/>
        <v>5.5</v>
      </c>
      <c r="AF72" s="18" t="s">
        <v>784</v>
      </c>
      <c r="AG72" s="19">
        <v>5.0</v>
      </c>
      <c r="AH72" s="19">
        <f t="shared" si="5"/>
        <v>54</v>
      </c>
      <c r="AI72" s="18"/>
    </row>
    <row r="73" ht="15.75" customHeight="1">
      <c r="A73" s="25">
        <f t="shared" si="1"/>
        <v>69</v>
      </c>
      <c r="B73" s="27">
        <f>ROUND(Guida!$B$22*H73/Guida!$B$30+Guida!$B$23*MAX(0,MIN(1,(AE73-5.4)/1.6))+Guida!$B$24*0+Guida!$B$25*1,1)</f>
        <v>16.7</v>
      </c>
      <c r="C73" s="28" t="s">
        <v>785</v>
      </c>
      <c r="D73" s="25" t="s">
        <v>232</v>
      </c>
      <c r="E73" s="29" t="s">
        <v>403</v>
      </c>
      <c r="F73" s="30">
        <v>6.0</v>
      </c>
      <c r="G73" s="30">
        <v>6.0</v>
      </c>
      <c r="H73" s="30">
        <v>19.0</v>
      </c>
      <c r="I73" s="30">
        <f>MAX(1,ROUND(H73^Guida!$B$18*Guida!$F$13,0))</f>
        <v>11</v>
      </c>
      <c r="J73" s="30">
        <f t="shared" si="2"/>
        <v>13</v>
      </c>
      <c r="K73" s="25" t="str">
        <f t="shared" si="3"/>
        <v>3a fascia</v>
      </c>
      <c r="L73" s="25" t="s">
        <v>68</v>
      </c>
      <c r="M73" s="21" t="s">
        <v>70</v>
      </c>
      <c r="N73" s="25" t="s">
        <v>71</v>
      </c>
      <c r="O73" s="25" t="s">
        <v>84</v>
      </c>
      <c r="P73" s="30">
        <v>37.0</v>
      </c>
      <c r="Q73" s="32">
        <v>5.8</v>
      </c>
      <c r="R73" s="32">
        <v>5.85</v>
      </c>
      <c r="S73" s="30">
        <v>1.0</v>
      </c>
      <c r="T73" s="30">
        <v>1.0</v>
      </c>
      <c r="U73" s="25" t="s">
        <v>72</v>
      </c>
      <c r="V73" s="30">
        <v>4.0</v>
      </c>
      <c r="W73" s="30">
        <v>0.0</v>
      </c>
      <c r="X73" s="30">
        <v>2.0</v>
      </c>
      <c r="Y73" s="32">
        <v>5.75</v>
      </c>
      <c r="Z73" s="32">
        <v>5.75</v>
      </c>
      <c r="AA73" s="30">
        <v>0.0</v>
      </c>
      <c r="AB73" s="30">
        <v>0.0</v>
      </c>
      <c r="AC73" s="25" t="s">
        <v>232</v>
      </c>
      <c r="AD73" s="25" t="s">
        <v>73</v>
      </c>
      <c r="AE73" s="32">
        <f t="shared" si="4"/>
        <v>5.85</v>
      </c>
      <c r="AF73" s="29" t="s">
        <v>787</v>
      </c>
      <c r="AG73" s="30">
        <v>6.0</v>
      </c>
      <c r="AH73" s="30">
        <f t="shared" si="5"/>
        <v>81</v>
      </c>
      <c r="AI73" s="29"/>
    </row>
    <row r="74" ht="15.75" customHeight="1">
      <c r="A74" s="11">
        <f t="shared" si="1"/>
        <v>71</v>
      </c>
      <c r="B74" s="16">
        <f>ROUND(Guida!$B$22*H74/Guida!$B$30+Guida!$B$23*MAX(0,MIN(1,(AE74-5.4)/1.6))+Guida!$B$24*0+Guida!$B$25*0,1)</f>
        <v>16.6</v>
      </c>
      <c r="C74" s="17" t="s">
        <v>789</v>
      </c>
      <c r="D74" s="11" t="s">
        <v>191</v>
      </c>
      <c r="E74" s="18" t="s">
        <v>69</v>
      </c>
      <c r="F74" s="19">
        <v>7.0</v>
      </c>
      <c r="G74" s="19">
        <v>8.0</v>
      </c>
      <c r="H74" s="19">
        <v>23.0</v>
      </c>
      <c r="I74" s="19">
        <f>MAX(1,ROUND(H74^Guida!$B$18*Guida!$F$13,0))</f>
        <v>12</v>
      </c>
      <c r="J74" s="19">
        <f t="shared" si="2"/>
        <v>14</v>
      </c>
      <c r="K74" s="11" t="str">
        <f t="shared" si="3"/>
        <v>3a fascia</v>
      </c>
      <c r="L74" s="11" t="s">
        <v>226</v>
      </c>
      <c r="M74" s="18" t="s">
        <v>277</v>
      </c>
      <c r="N74" s="11" t="s">
        <v>71</v>
      </c>
      <c r="O74" s="11" t="s">
        <v>71</v>
      </c>
      <c r="P74" s="19">
        <v>31.0</v>
      </c>
      <c r="Q74" s="22">
        <v>6.05</v>
      </c>
      <c r="R74" s="22">
        <v>6.1</v>
      </c>
      <c r="S74" s="19">
        <v>1.0</v>
      </c>
      <c r="T74" s="19">
        <v>0.0</v>
      </c>
      <c r="U74" s="11" t="s">
        <v>72</v>
      </c>
      <c r="V74" s="19">
        <v>3.0</v>
      </c>
      <c r="W74" s="19">
        <v>0.0</v>
      </c>
      <c r="X74" s="19">
        <v>2.0</v>
      </c>
      <c r="Y74" s="22">
        <v>6.25</v>
      </c>
      <c r="Z74" s="22">
        <v>6.25</v>
      </c>
      <c r="AA74" s="19">
        <v>0.0</v>
      </c>
      <c r="AB74" s="19">
        <v>0.0</v>
      </c>
      <c r="AC74" s="11" t="s">
        <v>191</v>
      </c>
      <c r="AD74" s="11" t="s">
        <v>73</v>
      </c>
      <c r="AE74" s="22">
        <f t="shared" si="4"/>
        <v>6.1</v>
      </c>
      <c r="AF74" s="18" t="s">
        <v>787</v>
      </c>
      <c r="AG74" s="19">
        <v>3.0</v>
      </c>
      <c r="AH74" s="19">
        <f t="shared" si="5"/>
        <v>63</v>
      </c>
      <c r="AI74" s="18"/>
    </row>
    <row r="75" ht="15.75" customHeight="1">
      <c r="A75" s="25">
        <f t="shared" si="1"/>
        <v>72</v>
      </c>
      <c r="B75" s="27">
        <f>ROUND(Guida!$B$22*H75/Guida!$B$30+Guida!$B$23*MAX(0,MIN(1,(AE75-5.4)/1.6))+Guida!$B$24*0+Guida!$B$25*0.6,1)</f>
        <v>16</v>
      </c>
      <c r="C75" s="28" t="s">
        <v>672</v>
      </c>
      <c r="D75" s="25" t="s">
        <v>283</v>
      </c>
      <c r="E75" s="29" t="s">
        <v>69</v>
      </c>
      <c r="F75" s="30">
        <v>6.0</v>
      </c>
      <c r="G75" s="30">
        <v>6.0</v>
      </c>
      <c r="H75" s="30">
        <v>16.0</v>
      </c>
      <c r="I75" s="30">
        <f>MAX(1,ROUND(H75^Guida!$B$18*Guida!$F$13,0))</f>
        <v>10</v>
      </c>
      <c r="J75" s="30">
        <f t="shared" si="2"/>
        <v>12</v>
      </c>
      <c r="K75" s="25" t="str">
        <f t="shared" si="3"/>
        <v>3a fascia</v>
      </c>
      <c r="L75" s="25" t="s">
        <v>68</v>
      </c>
      <c r="M75" s="36" t="s">
        <v>457</v>
      </c>
      <c r="N75" s="25" t="s">
        <v>71</v>
      </c>
      <c r="O75" s="25" t="s">
        <v>77</v>
      </c>
      <c r="P75" s="30">
        <v>23.0</v>
      </c>
      <c r="Q75" s="32">
        <v>5.89</v>
      </c>
      <c r="R75" s="32">
        <v>6.02</v>
      </c>
      <c r="S75" s="30">
        <v>0.0</v>
      </c>
      <c r="T75" s="30">
        <v>4.0</v>
      </c>
      <c r="U75" s="25" t="s">
        <v>72</v>
      </c>
      <c r="V75" s="30">
        <v>4.0</v>
      </c>
      <c r="W75" s="30">
        <v>0.0</v>
      </c>
      <c r="X75" s="30">
        <v>0.0</v>
      </c>
      <c r="Y75" s="32"/>
      <c r="Z75" s="32"/>
      <c r="AA75" s="30"/>
      <c r="AB75" s="30"/>
      <c r="AC75" s="25" t="s">
        <v>283</v>
      </c>
      <c r="AD75" s="25" t="s">
        <v>73</v>
      </c>
      <c r="AE75" s="32">
        <f t="shared" si="4"/>
        <v>5.98</v>
      </c>
      <c r="AF75" s="29" t="s">
        <v>791</v>
      </c>
      <c r="AG75" s="30">
        <v>4.0</v>
      </c>
      <c r="AH75" s="30">
        <f t="shared" si="5"/>
        <v>93</v>
      </c>
      <c r="AI75" s="29" t="s">
        <v>674</v>
      </c>
    </row>
    <row r="76" ht="15.75" customHeight="1">
      <c r="A76" s="11">
        <f t="shared" si="1"/>
        <v>73</v>
      </c>
      <c r="B76" s="16">
        <f>ROUND(Guida!$B$22*H76/Guida!$B$30+Guida!$B$23*MAX(0,MIN(1,(AE76-5.4)/1.6))+Guida!$B$24*0+Guida!$B$25*0,1)</f>
        <v>15.9</v>
      </c>
      <c r="C76" s="17" t="s">
        <v>793</v>
      </c>
      <c r="D76" s="11" t="s">
        <v>208</v>
      </c>
      <c r="E76" s="18" t="s">
        <v>326</v>
      </c>
      <c r="F76" s="19">
        <v>8.0</v>
      </c>
      <c r="G76" s="19">
        <v>7.0</v>
      </c>
      <c r="H76" s="19">
        <v>22.0</v>
      </c>
      <c r="I76" s="19">
        <f>MAX(1,ROUND(H76^Guida!$B$18*Guida!$F$13,0))</f>
        <v>12</v>
      </c>
      <c r="J76" s="19">
        <f t="shared" si="2"/>
        <v>14</v>
      </c>
      <c r="K76" s="11" t="str">
        <f t="shared" si="3"/>
        <v>3a fascia</v>
      </c>
      <c r="L76" s="11" t="s">
        <v>68</v>
      </c>
      <c r="M76" s="21" t="s">
        <v>70</v>
      </c>
      <c r="N76" s="11" t="s">
        <v>71</v>
      </c>
      <c r="O76" s="11" t="s">
        <v>71</v>
      </c>
      <c r="P76" s="19">
        <v>30.0</v>
      </c>
      <c r="Q76" s="22">
        <v>5.8</v>
      </c>
      <c r="R76" s="22">
        <v>6.07</v>
      </c>
      <c r="S76" s="19">
        <v>3.0</v>
      </c>
      <c r="T76" s="19">
        <v>0.0</v>
      </c>
      <c r="U76" s="11" t="s">
        <v>72</v>
      </c>
      <c r="V76" s="19">
        <v>2.0</v>
      </c>
      <c r="W76" s="19">
        <v>0.0</v>
      </c>
      <c r="X76" s="19">
        <v>2.0</v>
      </c>
      <c r="Y76" s="22">
        <v>5.0</v>
      </c>
      <c r="Z76" s="22">
        <v>5.0</v>
      </c>
      <c r="AA76" s="19">
        <v>0.0</v>
      </c>
      <c r="AB76" s="19">
        <v>0.0</v>
      </c>
      <c r="AC76" s="11" t="s">
        <v>208</v>
      </c>
      <c r="AD76" s="11" t="s">
        <v>73</v>
      </c>
      <c r="AE76" s="22">
        <f t="shared" si="4"/>
        <v>6.07</v>
      </c>
      <c r="AF76" s="18" t="s">
        <v>795</v>
      </c>
      <c r="AG76" s="19">
        <v>6.0</v>
      </c>
      <c r="AH76" s="19">
        <f t="shared" si="5"/>
        <v>68</v>
      </c>
      <c r="AI76" s="18"/>
    </row>
    <row r="77" ht="15.75" customHeight="1">
      <c r="A77" s="25">
        <f t="shared" si="1"/>
        <v>74</v>
      </c>
      <c r="B77" s="27">
        <f>ROUND(Guida!$B$22*H77/Guida!$B$30+Guida!$B$23*MAX(0,MIN(1,(AE77-5.4)/1.6))+Guida!$B$24*0+Guida!$B$25*0,1)</f>
        <v>15.1</v>
      </c>
      <c r="C77" s="28" t="s">
        <v>797</v>
      </c>
      <c r="D77" s="25" t="s">
        <v>191</v>
      </c>
      <c r="E77" s="29" t="s">
        <v>387</v>
      </c>
      <c r="F77" s="30">
        <v>8.0</v>
      </c>
      <c r="G77" s="30">
        <v>10.0</v>
      </c>
      <c r="H77" s="30">
        <v>35.0</v>
      </c>
      <c r="I77" s="30">
        <f>MAX(1,ROUND(H77^Guida!$B$18*Guida!$F$13,0))</f>
        <v>15</v>
      </c>
      <c r="J77" s="30">
        <f t="shared" si="2"/>
        <v>18</v>
      </c>
      <c r="K77" s="25" t="str">
        <f t="shared" si="3"/>
        <v>2a fascia</v>
      </c>
      <c r="L77" s="25" t="s">
        <v>68</v>
      </c>
      <c r="M77" s="29" t="s">
        <v>148</v>
      </c>
      <c r="N77" s="25" t="s">
        <v>71</v>
      </c>
      <c r="O77" s="25" t="s">
        <v>71</v>
      </c>
      <c r="P77" s="30">
        <v>8.0</v>
      </c>
      <c r="Q77" s="32">
        <v>6.25</v>
      </c>
      <c r="R77" s="32">
        <v>6.5</v>
      </c>
      <c r="S77" s="30">
        <v>1.0</v>
      </c>
      <c r="T77" s="30">
        <v>0.0</v>
      </c>
      <c r="U77" s="25" t="s">
        <v>72</v>
      </c>
      <c r="V77" s="30">
        <v>2.0</v>
      </c>
      <c r="W77" s="30">
        <v>0.0</v>
      </c>
      <c r="X77" s="30">
        <v>1.0</v>
      </c>
      <c r="Y77" s="32">
        <v>7.5</v>
      </c>
      <c r="Z77" s="32">
        <v>11.5</v>
      </c>
      <c r="AA77" s="30">
        <v>1.0</v>
      </c>
      <c r="AB77" s="30">
        <v>1.0</v>
      </c>
      <c r="AC77" s="25" t="s">
        <v>191</v>
      </c>
      <c r="AD77" s="25" t="s">
        <v>73</v>
      </c>
      <c r="AE77" s="32">
        <f t="shared" si="4"/>
        <v>5.82</v>
      </c>
      <c r="AF77" s="29" t="s">
        <v>799</v>
      </c>
      <c r="AG77" s="30">
        <v>3.0</v>
      </c>
      <c r="AH77" s="30">
        <f t="shared" si="5"/>
        <v>39</v>
      </c>
      <c r="AI77" s="29"/>
    </row>
    <row r="78" ht="15.75" customHeight="1">
      <c r="A78" s="11">
        <f t="shared" si="1"/>
        <v>74</v>
      </c>
      <c r="B78" s="16">
        <f>ROUND(Guida!$B$22*H78/Guida!$B$30+Guida!$B$23*MAX(0,MIN(1,(AE78-5.4)/1.6))+Guida!$B$24*0+Guida!$B$25*0,1)</f>
        <v>15.1</v>
      </c>
      <c r="C78" s="17" t="s">
        <v>800</v>
      </c>
      <c r="D78" s="11" t="s">
        <v>133</v>
      </c>
      <c r="E78" s="18" t="s">
        <v>69</v>
      </c>
      <c r="F78" s="19">
        <v>4.0</v>
      </c>
      <c r="G78" s="19">
        <v>4.0</v>
      </c>
      <c r="H78" s="19">
        <v>12.0</v>
      </c>
      <c r="I78" s="19">
        <f>MAX(1,ROUND(H78^Guida!$B$18*Guida!$F$13,0))</f>
        <v>8</v>
      </c>
      <c r="J78" s="19">
        <f t="shared" si="2"/>
        <v>10</v>
      </c>
      <c r="K78" s="11" t="str">
        <f t="shared" si="3"/>
        <v>3a fascia</v>
      </c>
      <c r="L78" s="11" t="s">
        <v>332</v>
      </c>
      <c r="M78" s="18" t="s">
        <v>338</v>
      </c>
      <c r="N78" s="11" t="s">
        <v>71</v>
      </c>
      <c r="O78" s="11" t="s">
        <v>71</v>
      </c>
      <c r="P78" s="19">
        <v>28.0</v>
      </c>
      <c r="Q78" s="22">
        <v>6.0</v>
      </c>
      <c r="R78" s="22">
        <v>6.18</v>
      </c>
      <c r="S78" s="19">
        <v>1.0</v>
      </c>
      <c r="T78" s="19">
        <v>3.0</v>
      </c>
      <c r="U78" s="11" t="s">
        <v>72</v>
      </c>
      <c r="V78" s="19">
        <v>3.0</v>
      </c>
      <c r="W78" s="19">
        <v>0.0</v>
      </c>
      <c r="X78" s="19">
        <v>0.0</v>
      </c>
      <c r="Y78" s="22"/>
      <c r="Z78" s="22"/>
      <c r="AA78" s="19"/>
      <c r="AB78" s="19"/>
      <c r="AC78" s="11" t="s">
        <v>175</v>
      </c>
      <c r="AD78" s="11" t="s">
        <v>103</v>
      </c>
      <c r="AE78" s="22">
        <f t="shared" si="4"/>
        <v>6.18</v>
      </c>
      <c r="AF78" s="18" t="s">
        <v>419</v>
      </c>
      <c r="AG78" s="19">
        <v>6.0</v>
      </c>
      <c r="AH78" s="19">
        <f t="shared" si="5"/>
        <v>118</v>
      </c>
      <c r="AI78" s="18"/>
    </row>
    <row r="79" ht="15.75" customHeight="1">
      <c r="A79" s="25">
        <f t="shared" si="1"/>
        <v>76</v>
      </c>
      <c r="B79" s="27">
        <f>ROUND(Guida!$B$22*H79/Guida!$B$30+Guida!$B$23*MAX(0,MIN(1,(AE79-5.4)/1.6))+Guida!$B$24*0+Guida!$B$25*0.35,1)</f>
        <v>14.8</v>
      </c>
      <c r="C79" s="28" t="s">
        <v>803</v>
      </c>
      <c r="D79" s="25" t="s">
        <v>232</v>
      </c>
      <c r="E79" s="29" t="s">
        <v>198</v>
      </c>
      <c r="F79" s="30">
        <v>5.0</v>
      </c>
      <c r="G79" s="30">
        <v>4.0</v>
      </c>
      <c r="H79" s="30">
        <v>10.0</v>
      </c>
      <c r="I79" s="30">
        <f>MAX(1,ROUND(H79^Guida!$B$18*Guida!$F$13,0))</f>
        <v>7</v>
      </c>
      <c r="J79" s="30">
        <f t="shared" si="2"/>
        <v>8</v>
      </c>
      <c r="K79" s="25" t="str">
        <f t="shared" si="3"/>
        <v>3a fascia</v>
      </c>
      <c r="L79" s="25" t="s">
        <v>226</v>
      </c>
      <c r="M79" s="29" t="s">
        <v>281</v>
      </c>
      <c r="N79" s="25" t="s">
        <v>71</v>
      </c>
      <c r="O79" s="25" t="s">
        <v>160</v>
      </c>
      <c r="P79" s="30">
        <v>16.0</v>
      </c>
      <c r="Q79" s="32">
        <v>5.97</v>
      </c>
      <c r="R79" s="32">
        <v>6.41</v>
      </c>
      <c r="S79" s="30">
        <v>2.0</v>
      </c>
      <c r="T79" s="30">
        <v>1.0</v>
      </c>
      <c r="U79" s="25" t="s">
        <v>72</v>
      </c>
      <c r="V79" s="30">
        <v>0.0</v>
      </c>
      <c r="W79" s="30">
        <v>0.0</v>
      </c>
      <c r="X79" s="30">
        <v>0.0</v>
      </c>
      <c r="Y79" s="32"/>
      <c r="Z79" s="32"/>
      <c r="AA79" s="30"/>
      <c r="AB79" s="30"/>
      <c r="AC79" s="25" t="s">
        <v>232</v>
      </c>
      <c r="AD79" s="25" t="s">
        <v>73</v>
      </c>
      <c r="AE79" s="32">
        <f t="shared" si="4"/>
        <v>6.08</v>
      </c>
      <c r="AF79" s="29" t="s">
        <v>799</v>
      </c>
      <c r="AG79" s="30">
        <v>6.0</v>
      </c>
      <c r="AH79" s="30">
        <f t="shared" si="5"/>
        <v>143</v>
      </c>
      <c r="AI79" s="29"/>
    </row>
    <row r="80" ht="15.75" customHeight="1">
      <c r="A80" s="11">
        <f t="shared" si="1"/>
        <v>77</v>
      </c>
      <c r="B80" s="16">
        <f>ROUND(Guida!$B$22*H80/Guida!$B$30+Guida!$B$23*MAX(0,MIN(1,(AE80-5.4)/1.6))+Guida!$B$24*0+Guida!$B$25*1,1)</f>
        <v>14.7</v>
      </c>
      <c r="C80" s="17" t="s">
        <v>806</v>
      </c>
      <c r="D80" s="11" t="s">
        <v>239</v>
      </c>
      <c r="E80" s="18" t="s">
        <v>198</v>
      </c>
      <c r="F80" s="19">
        <v>7.0</v>
      </c>
      <c r="G80" s="19">
        <v>6.0</v>
      </c>
      <c r="H80" s="19">
        <v>23.0</v>
      </c>
      <c r="I80" s="19">
        <f>MAX(1,ROUND(H80^Guida!$B$18*Guida!$F$13,0))</f>
        <v>12</v>
      </c>
      <c r="J80" s="19">
        <f t="shared" si="2"/>
        <v>14</v>
      </c>
      <c r="K80" s="11" t="str">
        <f t="shared" si="3"/>
        <v>3a fascia</v>
      </c>
      <c r="L80" s="11" t="s">
        <v>68</v>
      </c>
      <c r="M80" s="21" t="s">
        <v>100</v>
      </c>
      <c r="N80" s="11" t="s">
        <v>71</v>
      </c>
      <c r="O80" s="11" t="s">
        <v>84</v>
      </c>
      <c r="P80" s="19">
        <v>12.0</v>
      </c>
      <c r="Q80" s="22">
        <v>5.88</v>
      </c>
      <c r="R80" s="22">
        <v>5.83</v>
      </c>
      <c r="S80" s="19">
        <v>0.0</v>
      </c>
      <c r="T80" s="19">
        <v>0.0</v>
      </c>
      <c r="U80" s="11" t="s">
        <v>72</v>
      </c>
      <c r="V80" s="19">
        <v>2.0</v>
      </c>
      <c r="W80" s="19">
        <v>0.0</v>
      </c>
      <c r="X80" s="19">
        <v>2.0</v>
      </c>
      <c r="Y80" s="22">
        <v>5.5</v>
      </c>
      <c r="Z80" s="22">
        <v>5.25</v>
      </c>
      <c r="AA80" s="19">
        <v>0.0</v>
      </c>
      <c r="AB80" s="19">
        <v>0.0</v>
      </c>
      <c r="AC80" s="11" t="s">
        <v>208</v>
      </c>
      <c r="AD80" s="11" t="s">
        <v>103</v>
      </c>
      <c r="AE80" s="22">
        <f t="shared" si="4"/>
        <v>5.66</v>
      </c>
      <c r="AF80" s="18" t="s">
        <v>784</v>
      </c>
      <c r="AG80" s="19">
        <v>6.0</v>
      </c>
      <c r="AH80" s="19">
        <f t="shared" si="5"/>
        <v>63</v>
      </c>
      <c r="AI80" s="18"/>
    </row>
    <row r="81" ht="15.75" customHeight="1">
      <c r="A81" s="25">
        <f t="shared" si="1"/>
        <v>77</v>
      </c>
      <c r="B81" s="27">
        <f>ROUND(Guida!$B$22*H81/Guida!$B$30+Guida!$B$23*MAX(0,MIN(1,(AE81-5.4)/1.6))+Guida!$B$24*0+Guida!$B$25*0,1)</f>
        <v>14.7</v>
      </c>
      <c r="C81" s="28" t="s">
        <v>822</v>
      </c>
      <c r="D81" s="25" t="s">
        <v>182</v>
      </c>
      <c r="E81" s="29" t="s">
        <v>69</v>
      </c>
      <c r="F81" s="30">
        <v>4.0</v>
      </c>
      <c r="G81" s="30">
        <v>4.0</v>
      </c>
      <c r="H81" s="30">
        <v>14.0</v>
      </c>
      <c r="I81" s="30">
        <f>MAX(1,ROUND(H81^Guida!$B$18*Guida!$F$13,0))</f>
        <v>9</v>
      </c>
      <c r="J81" s="30">
        <f t="shared" si="2"/>
        <v>11</v>
      </c>
      <c r="K81" s="25" t="str">
        <f t="shared" si="3"/>
        <v>3a fascia</v>
      </c>
      <c r="L81" s="25" t="s">
        <v>332</v>
      </c>
      <c r="M81" s="29" t="s">
        <v>333</v>
      </c>
      <c r="N81" s="25" t="s">
        <v>71</v>
      </c>
      <c r="O81" s="25" t="s">
        <v>71</v>
      </c>
      <c r="P81" s="30">
        <v>28.0</v>
      </c>
      <c r="Q81" s="32">
        <v>5.93</v>
      </c>
      <c r="R81" s="32">
        <v>6.12</v>
      </c>
      <c r="S81" s="30">
        <v>2.0</v>
      </c>
      <c r="T81" s="30">
        <v>0.0</v>
      </c>
      <c r="U81" s="25" t="s">
        <v>72</v>
      </c>
      <c r="V81" s="30">
        <v>1.0</v>
      </c>
      <c r="W81" s="30">
        <v>0.0</v>
      </c>
      <c r="X81" s="30">
        <v>0.0</v>
      </c>
      <c r="Y81" s="32"/>
      <c r="Z81" s="32"/>
      <c r="AA81" s="30"/>
      <c r="AB81" s="30"/>
      <c r="AC81" s="25" t="s">
        <v>182</v>
      </c>
      <c r="AD81" s="25" t="s">
        <v>73</v>
      </c>
      <c r="AE81" s="32">
        <f t="shared" si="4"/>
        <v>6.12</v>
      </c>
      <c r="AF81" s="29" t="s">
        <v>791</v>
      </c>
      <c r="AG81" s="30">
        <v>6.0</v>
      </c>
      <c r="AH81" s="30">
        <f t="shared" si="5"/>
        <v>110</v>
      </c>
      <c r="AI81" s="29"/>
    </row>
    <row r="82" ht="15.75" customHeight="1">
      <c r="A82" s="11">
        <f t="shared" si="1"/>
        <v>79</v>
      </c>
      <c r="B82" s="16">
        <f>ROUND(Guida!$B$22*H82/Guida!$B$30+Guida!$B$23*MAX(0,MIN(1,(AE82-5.4)/1.6))+Guida!$B$24*0+Guida!$B$25*0,1)</f>
        <v>14.2</v>
      </c>
      <c r="C82" s="17" t="s">
        <v>827</v>
      </c>
      <c r="D82" s="11" t="s">
        <v>239</v>
      </c>
      <c r="E82" s="18" t="s">
        <v>403</v>
      </c>
      <c r="F82" s="19">
        <v>2.0</v>
      </c>
      <c r="G82" s="19">
        <v>2.0</v>
      </c>
      <c r="H82" s="19">
        <v>12.0</v>
      </c>
      <c r="I82" s="19">
        <f>MAX(1,ROUND(H82^Guida!$B$18*Guida!$F$13,0))</f>
        <v>8</v>
      </c>
      <c r="J82" s="19">
        <f t="shared" si="2"/>
        <v>10</v>
      </c>
      <c r="K82" s="11" t="str">
        <f t="shared" si="3"/>
        <v>3a fascia</v>
      </c>
      <c r="L82" s="11" t="s">
        <v>332</v>
      </c>
      <c r="M82" s="18" t="s">
        <v>615</v>
      </c>
      <c r="N82" s="11" t="s">
        <v>71</v>
      </c>
      <c r="O82" s="11" t="s">
        <v>71</v>
      </c>
      <c r="P82" s="19">
        <v>24.0</v>
      </c>
      <c r="Q82" s="22">
        <v>5.92</v>
      </c>
      <c r="R82" s="22">
        <v>6.15</v>
      </c>
      <c r="S82" s="19">
        <v>2.0</v>
      </c>
      <c r="T82" s="19">
        <v>1.0</v>
      </c>
      <c r="U82" s="11" t="s">
        <v>72</v>
      </c>
      <c r="V82" s="19">
        <v>5.0</v>
      </c>
      <c r="W82" s="19">
        <v>0.0</v>
      </c>
      <c r="X82" s="19">
        <v>1.0</v>
      </c>
      <c r="Y82" s="22">
        <v>6.0</v>
      </c>
      <c r="Z82" s="22">
        <v>6.0</v>
      </c>
      <c r="AA82" s="19">
        <v>0.0</v>
      </c>
      <c r="AB82" s="19">
        <v>0.0</v>
      </c>
      <c r="AC82" s="11" t="s">
        <v>253</v>
      </c>
      <c r="AD82" s="11" t="s">
        <v>103</v>
      </c>
      <c r="AE82" s="22">
        <f t="shared" si="4"/>
        <v>6.12</v>
      </c>
      <c r="AF82" s="18" t="s">
        <v>784</v>
      </c>
      <c r="AG82" s="19">
        <v>6.0</v>
      </c>
      <c r="AH82" s="19">
        <f t="shared" si="5"/>
        <v>118</v>
      </c>
      <c r="AI82" s="18"/>
    </row>
    <row r="83" ht="15.75" customHeight="1">
      <c r="A83" s="25">
        <f t="shared" si="1"/>
        <v>79</v>
      </c>
      <c r="B83" s="27">
        <f>ROUND(Guida!$B$22*H83/Guida!$B$30+Guida!$B$23*MAX(0,MIN(1,(AE83-5.4)/1.6))+Guida!$B$24*0+Guida!$B$25*0,1)</f>
        <v>14.2</v>
      </c>
      <c r="C83" s="28" t="s">
        <v>831</v>
      </c>
      <c r="D83" s="25" t="s">
        <v>182</v>
      </c>
      <c r="E83" s="29" t="s">
        <v>69</v>
      </c>
      <c r="F83" s="30">
        <v>6.0</v>
      </c>
      <c r="G83" s="30">
        <v>6.0</v>
      </c>
      <c r="H83" s="30">
        <v>12.0</v>
      </c>
      <c r="I83" s="30">
        <f>MAX(1,ROUND(H83^Guida!$B$18*Guida!$F$13,0))</f>
        <v>8</v>
      </c>
      <c r="J83" s="30">
        <f t="shared" si="2"/>
        <v>10</v>
      </c>
      <c r="K83" s="25" t="str">
        <f t="shared" si="3"/>
        <v>3a fascia</v>
      </c>
      <c r="L83" s="25" t="s">
        <v>332</v>
      </c>
      <c r="M83" s="29" t="s">
        <v>408</v>
      </c>
      <c r="N83" s="25" t="s">
        <v>71</v>
      </c>
      <c r="O83" s="25" t="s">
        <v>71</v>
      </c>
      <c r="P83" s="30">
        <v>23.0</v>
      </c>
      <c r="Q83" s="32">
        <v>5.83</v>
      </c>
      <c r="R83" s="32">
        <v>6.17</v>
      </c>
      <c r="S83" s="30">
        <v>3.0</v>
      </c>
      <c r="T83" s="30">
        <v>1.0</v>
      </c>
      <c r="U83" s="25" t="s">
        <v>72</v>
      </c>
      <c r="V83" s="30">
        <v>2.0</v>
      </c>
      <c r="W83" s="30">
        <v>1.0</v>
      </c>
      <c r="X83" s="30">
        <v>1.0</v>
      </c>
      <c r="Y83" s="32">
        <v>6.0</v>
      </c>
      <c r="Z83" s="32">
        <v>6.0</v>
      </c>
      <c r="AA83" s="30">
        <v>0.0</v>
      </c>
      <c r="AB83" s="30">
        <v>0.0</v>
      </c>
      <c r="AC83" s="25" t="s">
        <v>182</v>
      </c>
      <c r="AD83" s="25" t="s">
        <v>73</v>
      </c>
      <c r="AE83" s="32">
        <f t="shared" si="4"/>
        <v>6.12</v>
      </c>
      <c r="AF83" s="29" t="s">
        <v>791</v>
      </c>
      <c r="AG83" s="30">
        <v>6.0</v>
      </c>
      <c r="AH83" s="30">
        <f t="shared" si="5"/>
        <v>118</v>
      </c>
      <c r="AI83" s="29"/>
    </row>
    <row r="84" ht="15.75" customHeight="1">
      <c r="A84" s="11">
        <f t="shared" si="1"/>
        <v>81</v>
      </c>
      <c r="B84" s="16">
        <f>ROUND(Guida!$B$22*H84/Guida!$B$30+Guida!$B$23*MAX(0,MIN(1,(AE84-5.4)/1.6))+Guida!$B$24*0+Guida!$B$25*0,1)</f>
        <v>14.1</v>
      </c>
      <c r="C84" s="17" t="s">
        <v>838</v>
      </c>
      <c r="D84" s="11" t="s">
        <v>143</v>
      </c>
      <c r="E84" s="18" t="s">
        <v>387</v>
      </c>
      <c r="F84" s="19">
        <v>7.0</v>
      </c>
      <c r="G84" s="19">
        <v>7.0</v>
      </c>
      <c r="H84" s="19">
        <v>22.0</v>
      </c>
      <c r="I84" s="19">
        <f>MAX(1,ROUND(H84^Guida!$B$18*Guida!$F$13,0))</f>
        <v>12</v>
      </c>
      <c r="J84" s="19">
        <f t="shared" si="2"/>
        <v>14</v>
      </c>
      <c r="K84" s="11" t="str">
        <f t="shared" si="3"/>
        <v>3a fascia</v>
      </c>
      <c r="L84" s="11" t="s">
        <v>332</v>
      </c>
      <c r="M84" s="18" t="s">
        <v>615</v>
      </c>
      <c r="N84" s="11" t="s">
        <v>71</v>
      </c>
      <c r="O84" s="11" t="s">
        <v>71</v>
      </c>
      <c r="P84" s="19">
        <v>28.0</v>
      </c>
      <c r="Q84" s="22">
        <v>5.8</v>
      </c>
      <c r="R84" s="22">
        <v>5.96</v>
      </c>
      <c r="S84" s="19">
        <v>1.0</v>
      </c>
      <c r="T84" s="19">
        <v>3.0</v>
      </c>
      <c r="U84" s="11" t="s">
        <v>72</v>
      </c>
      <c r="V84" s="19">
        <v>3.0</v>
      </c>
      <c r="W84" s="19">
        <v>0.0</v>
      </c>
      <c r="X84" s="19">
        <v>1.0</v>
      </c>
      <c r="Y84" s="22">
        <v>5.5</v>
      </c>
      <c r="Z84" s="22">
        <v>5.5</v>
      </c>
      <c r="AA84" s="19">
        <v>0.0</v>
      </c>
      <c r="AB84" s="19">
        <v>0.0</v>
      </c>
      <c r="AC84" s="11" t="s">
        <v>191</v>
      </c>
      <c r="AD84" s="11" t="s">
        <v>103</v>
      </c>
      <c r="AE84" s="22">
        <f t="shared" si="4"/>
        <v>5.96</v>
      </c>
      <c r="AF84" s="18" t="s">
        <v>419</v>
      </c>
      <c r="AG84" s="19">
        <v>5.0</v>
      </c>
      <c r="AH84" s="19">
        <f t="shared" si="5"/>
        <v>68</v>
      </c>
      <c r="AI84" s="18"/>
    </row>
    <row r="85" ht="15.75" customHeight="1">
      <c r="A85" s="25">
        <f t="shared" si="1"/>
        <v>82</v>
      </c>
      <c r="B85" s="27">
        <f>ROUND(Guida!$B$22*H85/Guida!$B$30+Guida!$B$23*MAX(0,MIN(1,(AE85-5.4)/1.6))+Guida!$B$24*0+Guida!$B$25*0,1)</f>
        <v>14</v>
      </c>
      <c r="C85" s="28" t="s">
        <v>843</v>
      </c>
      <c r="D85" s="25" t="s">
        <v>283</v>
      </c>
      <c r="E85" s="29" t="s">
        <v>69</v>
      </c>
      <c r="F85" s="30">
        <v>5.0</v>
      </c>
      <c r="G85" s="30">
        <v>5.0</v>
      </c>
      <c r="H85" s="30">
        <v>15.0</v>
      </c>
      <c r="I85" s="30">
        <f>MAX(1,ROUND(H85^Guida!$B$18*Guida!$F$13,0))</f>
        <v>9</v>
      </c>
      <c r="J85" s="30">
        <f t="shared" si="2"/>
        <v>11</v>
      </c>
      <c r="K85" s="25" t="str">
        <f t="shared" si="3"/>
        <v>3a fascia</v>
      </c>
      <c r="L85" s="25" t="s">
        <v>68</v>
      </c>
      <c r="M85" s="21" t="s">
        <v>70</v>
      </c>
      <c r="N85" s="25" t="s">
        <v>71</v>
      </c>
      <c r="O85" s="25" t="s">
        <v>71</v>
      </c>
      <c r="P85" s="30">
        <v>36.0</v>
      </c>
      <c r="Q85" s="32">
        <v>6.01</v>
      </c>
      <c r="R85" s="32">
        <v>6.06</v>
      </c>
      <c r="S85" s="30">
        <v>1.0</v>
      </c>
      <c r="T85" s="30">
        <v>1.0</v>
      </c>
      <c r="U85" s="25" t="s">
        <v>72</v>
      </c>
      <c r="V85" s="30">
        <v>1.0</v>
      </c>
      <c r="W85" s="30">
        <v>0.0</v>
      </c>
      <c r="X85" s="30">
        <v>2.0</v>
      </c>
      <c r="Y85" s="32">
        <v>5.5</v>
      </c>
      <c r="Z85" s="32">
        <v>5.5</v>
      </c>
      <c r="AA85" s="30">
        <v>0.0</v>
      </c>
      <c r="AB85" s="30">
        <v>0.0</v>
      </c>
      <c r="AC85" s="25" t="s">
        <v>283</v>
      </c>
      <c r="AD85" s="25" t="s">
        <v>73</v>
      </c>
      <c r="AE85" s="32">
        <f t="shared" si="4"/>
        <v>6.06</v>
      </c>
      <c r="AF85" s="29" t="s">
        <v>644</v>
      </c>
      <c r="AG85" s="30">
        <v>4.0</v>
      </c>
      <c r="AH85" s="30">
        <f t="shared" si="5"/>
        <v>99</v>
      </c>
      <c r="AI85" s="29"/>
    </row>
    <row r="86" ht="15.75" customHeight="1">
      <c r="A86" s="11">
        <f t="shared" si="1"/>
        <v>83</v>
      </c>
      <c r="B86" s="16">
        <f>ROUND(Guida!$B$22*H86/Guida!$B$30+Guida!$B$23*MAX(0,MIN(1,(AE86-5.4)/1.6))+Guida!$B$24*0+Guida!$B$25*0,1)</f>
        <v>13.8</v>
      </c>
      <c r="C86" s="17" t="s">
        <v>847</v>
      </c>
      <c r="D86" s="11" t="s">
        <v>208</v>
      </c>
      <c r="E86" s="18" t="s">
        <v>387</v>
      </c>
      <c r="F86" s="19">
        <v>12.0</v>
      </c>
      <c r="G86" s="19">
        <v>12.0</v>
      </c>
      <c r="H86" s="19">
        <v>50.0</v>
      </c>
      <c r="I86" s="19">
        <f>MAX(1,ROUND(H86^Guida!$B$18*Guida!$F$13,0))</f>
        <v>19</v>
      </c>
      <c r="J86" s="19">
        <f t="shared" si="2"/>
        <v>23</v>
      </c>
      <c r="K86" s="11" t="str">
        <f t="shared" si="3"/>
        <v>2a fascia</v>
      </c>
      <c r="L86" s="11" t="s">
        <v>68</v>
      </c>
      <c r="M86" s="37" t="s">
        <v>214</v>
      </c>
      <c r="N86" s="11" t="s">
        <v>71</v>
      </c>
      <c r="O86" s="11" t="s">
        <v>71</v>
      </c>
      <c r="P86" s="19"/>
      <c r="Q86" s="22"/>
      <c r="R86" s="22"/>
      <c r="S86" s="19"/>
      <c r="T86" s="19"/>
      <c r="U86" s="11"/>
      <c r="V86" s="19"/>
      <c r="W86" s="19"/>
      <c r="X86" s="19">
        <v>0.0</v>
      </c>
      <c r="Y86" s="22"/>
      <c r="Z86" s="22"/>
      <c r="AA86" s="19"/>
      <c r="AB86" s="19"/>
      <c r="AC86" s="11" t="s">
        <v>71</v>
      </c>
      <c r="AD86" s="11" t="s">
        <v>103</v>
      </c>
      <c r="AE86" s="22">
        <f t="shared" si="4"/>
        <v>5.5</v>
      </c>
      <c r="AF86" s="18" t="s">
        <v>644</v>
      </c>
      <c r="AG86" s="19">
        <v>6.0</v>
      </c>
      <c r="AH86" s="19">
        <f t="shared" si="5"/>
        <v>21</v>
      </c>
      <c r="AI86" s="18"/>
    </row>
    <row r="87" ht="15.75" customHeight="1">
      <c r="A87" s="25">
        <f t="shared" si="1"/>
        <v>84</v>
      </c>
      <c r="B87" s="27">
        <f>ROUND(Guida!$B$22*H87/Guida!$B$30+Guida!$B$23*MAX(0,MIN(1,(AE87-5.4)/1.6))+Guida!$B$24*0+Guida!$B$25*0,1)</f>
        <v>13.6</v>
      </c>
      <c r="C87" s="28" t="s">
        <v>853</v>
      </c>
      <c r="D87" s="25" t="s">
        <v>185</v>
      </c>
      <c r="E87" s="29" t="s">
        <v>69</v>
      </c>
      <c r="F87" s="30">
        <v>6.0</v>
      </c>
      <c r="G87" s="30">
        <v>7.0</v>
      </c>
      <c r="H87" s="30">
        <v>20.0</v>
      </c>
      <c r="I87" s="30">
        <f>MAX(1,ROUND(H87^Guida!$B$18*Guida!$F$13,0))</f>
        <v>11</v>
      </c>
      <c r="J87" s="30">
        <f t="shared" si="2"/>
        <v>13</v>
      </c>
      <c r="K87" s="25" t="str">
        <f t="shared" si="3"/>
        <v>3a fascia</v>
      </c>
      <c r="L87" s="25" t="s">
        <v>68</v>
      </c>
      <c r="M87" s="21" t="s">
        <v>70</v>
      </c>
      <c r="N87" s="25" t="s">
        <v>71</v>
      </c>
      <c r="O87" s="25" t="s">
        <v>71</v>
      </c>
      <c r="P87" s="30">
        <v>36.0</v>
      </c>
      <c r="Q87" s="32">
        <v>5.96</v>
      </c>
      <c r="R87" s="32">
        <v>5.96</v>
      </c>
      <c r="S87" s="30">
        <v>1.0</v>
      </c>
      <c r="T87" s="30">
        <v>0.0</v>
      </c>
      <c r="U87" s="25" t="s">
        <v>72</v>
      </c>
      <c r="V87" s="30">
        <v>6.0</v>
      </c>
      <c r="W87" s="30">
        <v>0.0</v>
      </c>
      <c r="X87" s="30">
        <v>2.0</v>
      </c>
      <c r="Y87" s="32">
        <v>6.5</v>
      </c>
      <c r="Z87" s="32">
        <v>6.5</v>
      </c>
      <c r="AA87" s="30">
        <v>0.0</v>
      </c>
      <c r="AB87" s="30">
        <v>0.0</v>
      </c>
      <c r="AC87" s="25" t="s">
        <v>185</v>
      </c>
      <c r="AD87" s="25" t="s">
        <v>73</v>
      </c>
      <c r="AE87" s="32">
        <f t="shared" si="4"/>
        <v>5.96</v>
      </c>
      <c r="AF87" s="29" t="s">
        <v>860</v>
      </c>
      <c r="AG87" s="30">
        <v>7.0</v>
      </c>
      <c r="AH87" s="30">
        <f t="shared" si="5"/>
        <v>76</v>
      </c>
      <c r="AI87" s="29"/>
    </row>
    <row r="88" ht="15.75" customHeight="1">
      <c r="A88" s="11">
        <f t="shared" si="1"/>
        <v>84</v>
      </c>
      <c r="B88" s="16">
        <f>ROUND(Guida!$B$22*H88/Guida!$B$30+Guida!$B$23*MAX(0,MIN(1,(AE88-5.4)/1.6))+Guida!$B$24*0+Guida!$B$25*0,1)</f>
        <v>13.6</v>
      </c>
      <c r="C88" s="17" t="s">
        <v>865</v>
      </c>
      <c r="D88" s="11" t="s">
        <v>177</v>
      </c>
      <c r="E88" s="18" t="s">
        <v>69</v>
      </c>
      <c r="F88" s="19">
        <v>7.0</v>
      </c>
      <c r="G88" s="19">
        <v>7.0</v>
      </c>
      <c r="H88" s="19">
        <v>19.0</v>
      </c>
      <c r="I88" s="19">
        <f>MAX(1,ROUND(H88^Guida!$B$18*Guida!$F$13,0))</f>
        <v>11</v>
      </c>
      <c r="J88" s="19">
        <f t="shared" si="2"/>
        <v>13</v>
      </c>
      <c r="K88" s="11" t="str">
        <f t="shared" si="3"/>
        <v>3a fascia</v>
      </c>
      <c r="L88" s="11" t="s">
        <v>68</v>
      </c>
      <c r="M88" s="21" t="s">
        <v>70</v>
      </c>
      <c r="N88" s="11" t="s">
        <v>71</v>
      </c>
      <c r="O88" s="11" t="s">
        <v>71</v>
      </c>
      <c r="P88" s="19">
        <v>36.0</v>
      </c>
      <c r="Q88" s="22">
        <v>5.96</v>
      </c>
      <c r="R88" s="22">
        <v>5.97</v>
      </c>
      <c r="S88" s="19">
        <v>1.0</v>
      </c>
      <c r="T88" s="19">
        <v>0.0</v>
      </c>
      <c r="U88" s="11" t="s">
        <v>72</v>
      </c>
      <c r="V88" s="19">
        <v>5.0</v>
      </c>
      <c r="W88" s="19">
        <v>0.0</v>
      </c>
      <c r="X88" s="19">
        <v>2.0</v>
      </c>
      <c r="Y88" s="22">
        <v>6.0</v>
      </c>
      <c r="Z88" s="22">
        <v>6.0</v>
      </c>
      <c r="AA88" s="19">
        <v>0.0</v>
      </c>
      <c r="AB88" s="19">
        <v>0.0</v>
      </c>
      <c r="AC88" s="11" t="s">
        <v>177</v>
      </c>
      <c r="AD88" s="11" t="s">
        <v>73</v>
      </c>
      <c r="AE88" s="22">
        <f t="shared" si="4"/>
        <v>5.97</v>
      </c>
      <c r="AF88" s="18" t="s">
        <v>869</v>
      </c>
      <c r="AG88" s="19">
        <v>5.0</v>
      </c>
      <c r="AH88" s="19">
        <f t="shared" si="5"/>
        <v>81</v>
      </c>
      <c r="AI88" s="18"/>
    </row>
    <row r="89" ht="15.75" customHeight="1">
      <c r="A89" s="25">
        <f t="shared" si="1"/>
        <v>86</v>
      </c>
      <c r="B89" s="27">
        <f>ROUND(Guida!$B$22*H89/Guida!$B$30+Guida!$B$23*MAX(0,MIN(1,(AE89-5.4)/1.6))+Guida!$B$24*0+Guida!$B$25*0,1)</f>
        <v>13.3</v>
      </c>
      <c r="C89" s="28" t="s">
        <v>874</v>
      </c>
      <c r="D89" s="25" t="s">
        <v>64</v>
      </c>
      <c r="E89" s="29" t="s">
        <v>65</v>
      </c>
      <c r="F89" s="30">
        <v>4.0</v>
      </c>
      <c r="G89" s="30">
        <v>5.0</v>
      </c>
      <c r="H89" s="30">
        <v>12.0</v>
      </c>
      <c r="I89" s="30">
        <f>MAX(1,ROUND(H89^Guida!$B$18*Guida!$F$13,0))</f>
        <v>8</v>
      </c>
      <c r="J89" s="30">
        <f t="shared" si="2"/>
        <v>10</v>
      </c>
      <c r="K89" s="25" t="str">
        <f t="shared" si="3"/>
        <v>3a fascia</v>
      </c>
      <c r="L89" s="25" t="s">
        <v>332</v>
      </c>
      <c r="M89" s="29" t="s">
        <v>392</v>
      </c>
      <c r="N89" s="25" t="s">
        <v>71</v>
      </c>
      <c r="O89" s="25" t="s">
        <v>71</v>
      </c>
      <c r="P89" s="30">
        <v>27.0</v>
      </c>
      <c r="Q89" s="32">
        <v>5.89</v>
      </c>
      <c r="R89" s="32">
        <v>6.06</v>
      </c>
      <c r="S89" s="30">
        <v>1.0</v>
      </c>
      <c r="T89" s="30">
        <v>2.0</v>
      </c>
      <c r="U89" s="25" t="s">
        <v>72</v>
      </c>
      <c r="V89" s="30">
        <v>1.0</v>
      </c>
      <c r="W89" s="30">
        <v>0.0</v>
      </c>
      <c r="X89" s="30">
        <v>2.0</v>
      </c>
      <c r="Y89" s="32">
        <v>6.0</v>
      </c>
      <c r="Z89" s="32">
        <v>6.0</v>
      </c>
      <c r="AA89" s="30">
        <v>0.0</v>
      </c>
      <c r="AB89" s="30">
        <v>0.0</v>
      </c>
      <c r="AC89" s="25" t="s">
        <v>64</v>
      </c>
      <c r="AD89" s="25" t="s">
        <v>73</v>
      </c>
      <c r="AE89" s="32">
        <f t="shared" si="4"/>
        <v>6.06</v>
      </c>
      <c r="AF89" s="29" t="s">
        <v>878</v>
      </c>
      <c r="AG89" s="30">
        <v>4.0</v>
      </c>
      <c r="AH89" s="30">
        <f t="shared" si="5"/>
        <v>118</v>
      </c>
      <c r="AI89" s="29"/>
    </row>
    <row r="90" ht="15.75" customHeight="1">
      <c r="A90" s="11">
        <f t="shared" si="1"/>
        <v>86</v>
      </c>
      <c r="B90" s="16">
        <f>ROUND(Guida!$B$22*H90/Guida!$B$30+Guida!$B$23*MAX(0,MIN(1,(AE90-5.4)/1.6))+Guida!$B$24*0+Guida!$B$25*0,1)</f>
        <v>13.3</v>
      </c>
      <c r="C90" s="17" t="s">
        <v>882</v>
      </c>
      <c r="D90" s="11" t="s">
        <v>208</v>
      </c>
      <c r="E90" s="18" t="s">
        <v>198</v>
      </c>
      <c r="F90" s="19">
        <v>3.0</v>
      </c>
      <c r="G90" s="19">
        <v>3.0</v>
      </c>
      <c r="H90" s="19">
        <v>11.0</v>
      </c>
      <c r="I90" s="19">
        <f>MAX(1,ROUND(H90^Guida!$B$18*Guida!$F$13,0))</f>
        <v>8</v>
      </c>
      <c r="J90" s="19">
        <f t="shared" si="2"/>
        <v>10</v>
      </c>
      <c r="K90" s="11" t="str">
        <f t="shared" si="3"/>
        <v>3a fascia</v>
      </c>
      <c r="L90" s="11" t="s">
        <v>332</v>
      </c>
      <c r="M90" s="18" t="s">
        <v>392</v>
      </c>
      <c r="N90" s="11" t="s">
        <v>71</v>
      </c>
      <c r="O90" s="11" t="s">
        <v>71</v>
      </c>
      <c r="P90" s="19">
        <v>18.0</v>
      </c>
      <c r="Q90" s="22">
        <v>5.97</v>
      </c>
      <c r="R90" s="22">
        <v>6.31</v>
      </c>
      <c r="S90" s="19">
        <v>2.0</v>
      </c>
      <c r="T90" s="19">
        <v>1.0</v>
      </c>
      <c r="U90" s="11" t="s">
        <v>72</v>
      </c>
      <c r="V90" s="19">
        <v>2.0</v>
      </c>
      <c r="W90" s="19">
        <v>0.0</v>
      </c>
      <c r="X90" s="19">
        <v>2.0</v>
      </c>
      <c r="Y90" s="22">
        <v>5.5</v>
      </c>
      <c r="Z90" s="22">
        <v>5.5</v>
      </c>
      <c r="AA90" s="19">
        <v>0.0</v>
      </c>
      <c r="AB90" s="19">
        <v>0.0</v>
      </c>
      <c r="AC90" s="11" t="s">
        <v>208</v>
      </c>
      <c r="AD90" s="11" t="s">
        <v>73</v>
      </c>
      <c r="AE90" s="22">
        <f t="shared" si="4"/>
        <v>6.08</v>
      </c>
      <c r="AF90" s="18" t="s">
        <v>644</v>
      </c>
      <c r="AG90" s="19">
        <v>6.0</v>
      </c>
      <c r="AH90" s="19">
        <f t="shared" si="5"/>
        <v>135</v>
      </c>
      <c r="AI90" s="18"/>
    </row>
    <row r="91" ht="15.75" customHeight="1">
      <c r="A91" s="25">
        <f t="shared" si="1"/>
        <v>88</v>
      </c>
      <c r="B91" s="27">
        <f>ROUND(Guida!$B$22*H91/Guida!$B$30+Guida!$B$23*MAX(0,MIN(1,(AE91-5.4)/1.6))+Guida!$B$24*0+Guida!$B$25*0,1)</f>
        <v>13.1</v>
      </c>
      <c r="C91" s="28" t="s">
        <v>887</v>
      </c>
      <c r="D91" s="25" t="s">
        <v>64</v>
      </c>
      <c r="E91" s="29" t="s">
        <v>326</v>
      </c>
      <c r="F91" s="30">
        <v>12.0</v>
      </c>
      <c r="G91" s="30">
        <v>12.0</v>
      </c>
      <c r="H91" s="30">
        <v>47.0</v>
      </c>
      <c r="I91" s="30">
        <f>MAX(1,ROUND(H91^Guida!$B$18*Guida!$F$13,0))</f>
        <v>18</v>
      </c>
      <c r="J91" s="30">
        <f t="shared" si="2"/>
        <v>22</v>
      </c>
      <c r="K91" s="25" t="str">
        <f t="shared" si="3"/>
        <v>2a fascia</v>
      </c>
      <c r="L91" s="25" t="s">
        <v>68</v>
      </c>
      <c r="M91" s="29" t="s">
        <v>294</v>
      </c>
      <c r="N91" s="25" t="s">
        <v>71</v>
      </c>
      <c r="O91" s="25" t="s">
        <v>71</v>
      </c>
      <c r="P91" s="30"/>
      <c r="Q91" s="32"/>
      <c r="R91" s="32"/>
      <c r="S91" s="30"/>
      <c r="T91" s="30"/>
      <c r="U91" s="25"/>
      <c r="V91" s="30"/>
      <c r="W91" s="30"/>
      <c r="X91" s="30">
        <v>1.0</v>
      </c>
      <c r="Y91" s="32">
        <v>6.0</v>
      </c>
      <c r="Z91" s="32">
        <v>6.0</v>
      </c>
      <c r="AA91" s="30">
        <v>0.0</v>
      </c>
      <c r="AB91" s="30">
        <v>0.0</v>
      </c>
      <c r="AC91" s="25" t="s">
        <v>71</v>
      </c>
      <c r="AD91" s="25" t="s">
        <v>103</v>
      </c>
      <c r="AE91" s="32">
        <f t="shared" si="4"/>
        <v>5.5</v>
      </c>
      <c r="AF91" s="29" t="s">
        <v>878</v>
      </c>
      <c r="AG91" s="30">
        <v>4.0</v>
      </c>
      <c r="AH91" s="30">
        <f t="shared" si="5"/>
        <v>23</v>
      </c>
      <c r="AI91" s="29"/>
    </row>
    <row r="92" ht="15.75" customHeight="1">
      <c r="A92" s="11">
        <f t="shared" si="1"/>
        <v>88</v>
      </c>
      <c r="B92" s="16">
        <f>ROUND(Guida!$B$22*H92/Guida!$B$30+Guida!$B$23*MAX(0,MIN(1,(AE92-5.4)/1.6))+Guida!$B$24*0+Guida!$B$25*0,1)</f>
        <v>13.1</v>
      </c>
      <c r="C92" s="17" t="s">
        <v>892</v>
      </c>
      <c r="D92" s="11" t="s">
        <v>143</v>
      </c>
      <c r="E92" s="18" t="s">
        <v>326</v>
      </c>
      <c r="F92" s="19">
        <v>12.0</v>
      </c>
      <c r="G92" s="19">
        <v>12.0</v>
      </c>
      <c r="H92" s="19">
        <v>47.0</v>
      </c>
      <c r="I92" s="19">
        <f>MAX(1,ROUND(H92^Guida!$B$18*Guida!$F$13,0))</f>
        <v>18</v>
      </c>
      <c r="J92" s="19">
        <f t="shared" si="2"/>
        <v>22</v>
      </c>
      <c r="K92" s="11" t="str">
        <f t="shared" si="3"/>
        <v>2a fascia</v>
      </c>
      <c r="L92" s="11" t="s">
        <v>68</v>
      </c>
      <c r="M92" s="37" t="s">
        <v>214</v>
      </c>
      <c r="N92" s="11" t="s">
        <v>71</v>
      </c>
      <c r="O92" s="11" t="s">
        <v>71</v>
      </c>
      <c r="P92" s="19"/>
      <c r="Q92" s="22"/>
      <c r="R92" s="22"/>
      <c r="S92" s="19"/>
      <c r="T92" s="19"/>
      <c r="U92" s="11"/>
      <c r="V92" s="19"/>
      <c r="W92" s="19"/>
      <c r="X92" s="19">
        <v>0.0</v>
      </c>
      <c r="Y92" s="22"/>
      <c r="Z92" s="22"/>
      <c r="AA92" s="19"/>
      <c r="AB92" s="19"/>
      <c r="AC92" s="11" t="s">
        <v>71</v>
      </c>
      <c r="AD92" s="11" t="s">
        <v>103</v>
      </c>
      <c r="AE92" s="22">
        <f t="shared" si="4"/>
        <v>5.5</v>
      </c>
      <c r="AF92" s="18" t="s">
        <v>896</v>
      </c>
      <c r="AG92" s="19">
        <v>6.0</v>
      </c>
      <c r="AH92" s="19">
        <f t="shared" si="5"/>
        <v>23</v>
      </c>
      <c r="AI92" s="18"/>
    </row>
    <row r="93" ht="15.75" customHeight="1">
      <c r="A93" s="25">
        <f t="shared" si="1"/>
        <v>90</v>
      </c>
      <c r="B93" s="27">
        <f>ROUND(Guida!$B$22*H93/Guida!$B$30+Guida!$B$23*MAX(0,MIN(1,(AE93-5.4)/1.6))+Guida!$B$24*0+Guida!$B$25*0,1)</f>
        <v>12.8</v>
      </c>
      <c r="C93" s="28" t="s">
        <v>901</v>
      </c>
      <c r="D93" s="25" t="s">
        <v>175</v>
      </c>
      <c r="E93" s="29" t="s">
        <v>69</v>
      </c>
      <c r="F93" s="30">
        <v>5.0</v>
      </c>
      <c r="G93" s="30">
        <v>4.0</v>
      </c>
      <c r="H93" s="30">
        <v>10.0</v>
      </c>
      <c r="I93" s="30">
        <f>MAX(1,ROUND(H93^Guida!$B$18*Guida!$F$13,0))</f>
        <v>7</v>
      </c>
      <c r="J93" s="30">
        <f t="shared" si="2"/>
        <v>8</v>
      </c>
      <c r="K93" s="25" t="str">
        <f t="shared" si="3"/>
        <v>3a fascia</v>
      </c>
      <c r="L93" s="25" t="s">
        <v>332</v>
      </c>
      <c r="M93" s="29" t="s">
        <v>333</v>
      </c>
      <c r="N93" s="25" t="s">
        <v>71</v>
      </c>
      <c r="O93" s="25" t="s">
        <v>71</v>
      </c>
      <c r="P93" s="30">
        <v>33.0</v>
      </c>
      <c r="Q93" s="32">
        <v>5.85</v>
      </c>
      <c r="R93" s="32">
        <v>6.06</v>
      </c>
      <c r="S93" s="30">
        <v>2.0</v>
      </c>
      <c r="T93" s="30">
        <v>3.0</v>
      </c>
      <c r="U93" s="25" t="s">
        <v>72</v>
      </c>
      <c r="V93" s="30">
        <v>4.0</v>
      </c>
      <c r="W93" s="30">
        <v>0.0</v>
      </c>
      <c r="X93" s="30">
        <v>0.0</v>
      </c>
      <c r="Y93" s="32"/>
      <c r="Z93" s="32"/>
      <c r="AA93" s="30"/>
      <c r="AB93" s="30"/>
      <c r="AC93" s="25" t="s">
        <v>175</v>
      </c>
      <c r="AD93" s="25" t="s">
        <v>73</v>
      </c>
      <c r="AE93" s="32">
        <f t="shared" si="4"/>
        <v>6.06</v>
      </c>
      <c r="AF93" s="29" t="s">
        <v>735</v>
      </c>
      <c r="AG93" s="30">
        <v>0.0</v>
      </c>
      <c r="AH93" s="30">
        <f t="shared" si="5"/>
        <v>143</v>
      </c>
      <c r="AI93" s="29"/>
    </row>
    <row r="94" ht="15.75" customHeight="1">
      <c r="A94" s="11">
        <f t="shared" si="1"/>
        <v>91</v>
      </c>
      <c r="B94" s="16">
        <f>ROUND(Guida!$B$22*H94/Guida!$B$30+Guida!$B$23*MAX(0,MIN(1,(AE94-5.4)/1.6))+Guida!$B$24*0+Guida!$B$25*0,1)</f>
        <v>12.6</v>
      </c>
      <c r="C94" s="17" t="s">
        <v>907</v>
      </c>
      <c r="D94" s="11" t="s">
        <v>93</v>
      </c>
      <c r="E94" s="18" t="s">
        <v>183</v>
      </c>
      <c r="F94" s="19">
        <v>11.0</v>
      </c>
      <c r="G94" s="19">
        <v>12.0</v>
      </c>
      <c r="H94" s="19">
        <v>45.0</v>
      </c>
      <c r="I94" s="19">
        <f>MAX(1,ROUND(H94^Guida!$B$18*Guida!$F$13,0))</f>
        <v>18</v>
      </c>
      <c r="J94" s="19">
        <f t="shared" si="2"/>
        <v>22</v>
      </c>
      <c r="K94" s="11" t="str">
        <f t="shared" si="3"/>
        <v>2a fascia</v>
      </c>
      <c r="L94" s="11" t="s">
        <v>68</v>
      </c>
      <c r="M94" s="18" t="s">
        <v>148</v>
      </c>
      <c r="N94" s="11" t="s">
        <v>71</v>
      </c>
      <c r="O94" s="11" t="s">
        <v>71</v>
      </c>
      <c r="P94" s="19"/>
      <c r="Q94" s="22"/>
      <c r="R94" s="22"/>
      <c r="S94" s="19"/>
      <c r="T94" s="19"/>
      <c r="U94" s="11"/>
      <c r="V94" s="19"/>
      <c r="W94" s="19"/>
      <c r="X94" s="19">
        <v>1.0</v>
      </c>
      <c r="Y94" s="22">
        <v>7.5</v>
      </c>
      <c r="Z94" s="22">
        <v>10.5</v>
      </c>
      <c r="AA94" s="19">
        <v>1.0</v>
      </c>
      <c r="AB94" s="19">
        <v>0.0</v>
      </c>
      <c r="AC94" s="11" t="s">
        <v>93</v>
      </c>
      <c r="AD94" s="11" t="s">
        <v>73</v>
      </c>
      <c r="AE94" s="22">
        <f t="shared" si="4"/>
        <v>5.5</v>
      </c>
      <c r="AF94" s="18" t="s">
        <v>913</v>
      </c>
      <c r="AG94" s="19">
        <v>6.0</v>
      </c>
      <c r="AH94" s="19">
        <f t="shared" si="5"/>
        <v>26</v>
      </c>
      <c r="AI94" s="18"/>
    </row>
    <row r="95" ht="15.75" customHeight="1">
      <c r="A95" s="25">
        <f t="shared" si="1"/>
        <v>91</v>
      </c>
      <c r="B95" s="27">
        <f>ROUND(Guida!$B$22*H95/Guida!$B$30+Guida!$B$23*MAX(0,MIN(1,(AE95-5.4)/1.6))+Guida!$B$24*0+Guida!$B$25*0,1)</f>
        <v>12.6</v>
      </c>
      <c r="C95" s="28" t="s">
        <v>916</v>
      </c>
      <c r="D95" s="25" t="s">
        <v>175</v>
      </c>
      <c r="E95" s="29" t="s">
        <v>65</v>
      </c>
      <c r="F95" s="30">
        <v>12.0</v>
      </c>
      <c r="G95" s="30">
        <v>11.0</v>
      </c>
      <c r="H95" s="30">
        <v>45.0</v>
      </c>
      <c r="I95" s="30">
        <f>MAX(1,ROUND(H95^Guida!$B$18*Guida!$F$13,0))</f>
        <v>18</v>
      </c>
      <c r="J95" s="30">
        <f t="shared" si="2"/>
        <v>22</v>
      </c>
      <c r="K95" s="25" t="str">
        <f t="shared" si="3"/>
        <v>2a fascia</v>
      </c>
      <c r="L95" s="25" t="s">
        <v>68</v>
      </c>
      <c r="M95" s="37" t="s">
        <v>214</v>
      </c>
      <c r="N95" s="25" t="s">
        <v>71</v>
      </c>
      <c r="O95" s="25" t="s">
        <v>71</v>
      </c>
      <c r="P95" s="30"/>
      <c r="Q95" s="32"/>
      <c r="R95" s="32"/>
      <c r="S95" s="30"/>
      <c r="T95" s="30"/>
      <c r="U95" s="25"/>
      <c r="V95" s="30"/>
      <c r="W95" s="30"/>
      <c r="X95" s="30">
        <v>0.0</v>
      </c>
      <c r="Y95" s="32"/>
      <c r="Z95" s="32"/>
      <c r="AA95" s="30"/>
      <c r="AB95" s="30"/>
      <c r="AC95" s="25" t="s">
        <v>71</v>
      </c>
      <c r="AD95" s="25" t="s">
        <v>103</v>
      </c>
      <c r="AE95" s="32">
        <f t="shared" si="4"/>
        <v>5.5</v>
      </c>
      <c r="AF95" s="29" t="s">
        <v>913</v>
      </c>
      <c r="AG95" s="30">
        <v>7.0</v>
      </c>
      <c r="AH95" s="30">
        <f t="shared" si="5"/>
        <v>26</v>
      </c>
      <c r="AI95" s="29"/>
    </row>
    <row r="96" ht="15.75" customHeight="1">
      <c r="A96" s="11">
        <f t="shared" si="1"/>
        <v>93</v>
      </c>
      <c r="B96" s="16">
        <f>ROUND(Guida!$B$22*H96/Guida!$B$30+Guida!$B$23*MAX(0,MIN(1,(AE96-5.4)/1.6))+Guida!$B$24*0+Guida!$B$25*0,1)</f>
        <v>12.5</v>
      </c>
      <c r="C96" s="17" t="s">
        <v>922</v>
      </c>
      <c r="D96" s="11" t="s">
        <v>208</v>
      </c>
      <c r="E96" s="18" t="s">
        <v>183</v>
      </c>
      <c r="F96" s="19">
        <v>4.0</v>
      </c>
      <c r="G96" s="19">
        <v>4.0</v>
      </c>
      <c r="H96" s="19">
        <v>28.0</v>
      </c>
      <c r="I96" s="19">
        <f>MAX(1,ROUND(H96^Guida!$B$18*Guida!$F$13,0))</f>
        <v>13</v>
      </c>
      <c r="J96" s="19">
        <f t="shared" si="2"/>
        <v>16</v>
      </c>
      <c r="K96" s="11" t="str">
        <f t="shared" si="3"/>
        <v>3a fascia</v>
      </c>
      <c r="L96" s="11" t="s">
        <v>332</v>
      </c>
      <c r="M96" s="18" t="s">
        <v>615</v>
      </c>
      <c r="N96" s="11" t="s">
        <v>71</v>
      </c>
      <c r="O96" s="11" t="s">
        <v>71</v>
      </c>
      <c r="P96" s="19">
        <v>10.0</v>
      </c>
      <c r="Q96" s="22">
        <v>5.8</v>
      </c>
      <c r="R96" s="22">
        <v>6.15</v>
      </c>
      <c r="S96" s="19">
        <v>1.0</v>
      </c>
      <c r="T96" s="19">
        <v>1.0</v>
      </c>
      <c r="U96" s="11" t="s">
        <v>72</v>
      </c>
      <c r="V96" s="19">
        <v>2.0</v>
      </c>
      <c r="W96" s="19">
        <v>0.0</v>
      </c>
      <c r="X96" s="19">
        <v>1.0</v>
      </c>
      <c r="Y96" s="22">
        <v>6.5</v>
      </c>
      <c r="Z96" s="22">
        <v>6.5</v>
      </c>
      <c r="AA96" s="19">
        <v>0.0</v>
      </c>
      <c r="AB96" s="19">
        <v>0.0</v>
      </c>
      <c r="AC96" s="11" t="s">
        <v>212</v>
      </c>
      <c r="AD96" s="11" t="s">
        <v>103</v>
      </c>
      <c r="AE96" s="22">
        <f t="shared" si="4"/>
        <v>5.76</v>
      </c>
      <c r="AF96" s="18" t="s">
        <v>925</v>
      </c>
      <c r="AG96" s="19">
        <v>6.0</v>
      </c>
      <c r="AH96" s="19">
        <f t="shared" si="5"/>
        <v>48</v>
      </c>
      <c r="AI96" s="18"/>
    </row>
    <row r="97" ht="15.75" customHeight="1">
      <c r="A97" s="25">
        <f t="shared" si="1"/>
        <v>94</v>
      </c>
      <c r="B97" s="27">
        <f>ROUND(Guida!$B$22*H97/Guida!$B$30+Guida!$B$23*MAX(0,MIN(1,(AE97-5.4)/1.6))+Guida!$B$24*0+Guida!$B$25*0,1)</f>
        <v>12.4</v>
      </c>
      <c r="C97" s="28" t="s">
        <v>930</v>
      </c>
      <c r="D97" s="25" t="s">
        <v>253</v>
      </c>
      <c r="E97" s="29" t="s">
        <v>69</v>
      </c>
      <c r="F97" s="30">
        <v>5.0</v>
      </c>
      <c r="G97" s="30">
        <v>6.0</v>
      </c>
      <c r="H97" s="30">
        <v>15.0</v>
      </c>
      <c r="I97" s="30">
        <f>MAX(1,ROUND(H97^Guida!$B$18*Guida!$F$13,0))</f>
        <v>9</v>
      </c>
      <c r="J97" s="30">
        <f t="shared" si="2"/>
        <v>11</v>
      </c>
      <c r="K97" s="25" t="str">
        <f t="shared" si="3"/>
        <v>3a fascia</v>
      </c>
      <c r="L97" s="25" t="s">
        <v>226</v>
      </c>
      <c r="M97" s="29" t="s">
        <v>277</v>
      </c>
      <c r="N97" s="25" t="s">
        <v>71</v>
      </c>
      <c r="O97" s="25" t="s">
        <v>71</v>
      </c>
      <c r="P97" s="30">
        <v>34.0</v>
      </c>
      <c r="Q97" s="32">
        <v>5.96</v>
      </c>
      <c r="R97" s="32">
        <v>5.96</v>
      </c>
      <c r="S97" s="30">
        <v>1.0</v>
      </c>
      <c r="T97" s="30">
        <v>1.0</v>
      </c>
      <c r="U97" s="25" t="s">
        <v>72</v>
      </c>
      <c r="V97" s="30">
        <v>6.0</v>
      </c>
      <c r="W97" s="30">
        <v>1.0</v>
      </c>
      <c r="X97" s="30">
        <v>2.0</v>
      </c>
      <c r="Y97" s="32">
        <v>6.25</v>
      </c>
      <c r="Z97" s="32">
        <v>6.0</v>
      </c>
      <c r="AA97" s="30">
        <v>0.0</v>
      </c>
      <c r="AB97" s="30">
        <v>0.0</v>
      </c>
      <c r="AC97" s="25" t="s">
        <v>253</v>
      </c>
      <c r="AD97" s="25" t="s">
        <v>73</v>
      </c>
      <c r="AE97" s="32">
        <f t="shared" si="4"/>
        <v>5.96</v>
      </c>
      <c r="AF97" s="29" t="s">
        <v>913</v>
      </c>
      <c r="AG97" s="30">
        <v>7.0</v>
      </c>
      <c r="AH97" s="30">
        <f t="shared" si="5"/>
        <v>99</v>
      </c>
      <c r="AI97" s="29"/>
    </row>
    <row r="98" ht="15.75" customHeight="1">
      <c r="A98" s="11">
        <f t="shared" si="1"/>
        <v>95</v>
      </c>
      <c r="B98" s="16">
        <f>ROUND(Guida!$B$22*H98/Guida!$B$30+Guida!$B$23*MAX(0,MIN(1,(AE98-5.4)/1.6))+Guida!$B$24*0+Guida!$B$25*0,1)</f>
        <v>12.3</v>
      </c>
      <c r="C98" s="17" t="s">
        <v>936</v>
      </c>
      <c r="D98" s="11" t="s">
        <v>185</v>
      </c>
      <c r="E98" s="18" t="s">
        <v>69</v>
      </c>
      <c r="F98" s="19">
        <v>5.0</v>
      </c>
      <c r="G98" s="19">
        <v>6.0</v>
      </c>
      <c r="H98" s="19">
        <v>15.0</v>
      </c>
      <c r="I98" s="19">
        <f>MAX(1,ROUND(H98^Guida!$B$18*Guida!$F$13,0))</f>
        <v>9</v>
      </c>
      <c r="J98" s="19">
        <f t="shared" si="2"/>
        <v>11</v>
      </c>
      <c r="K98" s="11" t="str">
        <f t="shared" si="3"/>
        <v>3a fascia</v>
      </c>
      <c r="L98" s="11" t="s">
        <v>226</v>
      </c>
      <c r="M98" s="18" t="s">
        <v>277</v>
      </c>
      <c r="N98" s="11" t="s">
        <v>71</v>
      </c>
      <c r="O98" s="11" t="s">
        <v>71</v>
      </c>
      <c r="P98" s="19">
        <v>30.0</v>
      </c>
      <c r="Q98" s="22">
        <v>5.88</v>
      </c>
      <c r="R98" s="22">
        <v>5.95</v>
      </c>
      <c r="S98" s="19">
        <v>1.0</v>
      </c>
      <c r="T98" s="19">
        <v>0.0</v>
      </c>
      <c r="U98" s="11" t="s">
        <v>72</v>
      </c>
      <c r="V98" s="19">
        <v>2.0</v>
      </c>
      <c r="W98" s="19">
        <v>0.0</v>
      </c>
      <c r="X98" s="19">
        <v>2.0</v>
      </c>
      <c r="Y98" s="22">
        <v>6.25</v>
      </c>
      <c r="Z98" s="22">
        <v>7.5</v>
      </c>
      <c r="AA98" s="19">
        <v>1.0</v>
      </c>
      <c r="AB98" s="19">
        <v>0.0</v>
      </c>
      <c r="AC98" s="11" t="s">
        <v>185</v>
      </c>
      <c r="AD98" s="11" t="s">
        <v>73</v>
      </c>
      <c r="AE98" s="22">
        <f t="shared" si="4"/>
        <v>5.95</v>
      </c>
      <c r="AF98" s="18" t="s">
        <v>941</v>
      </c>
      <c r="AG98" s="19">
        <v>7.0</v>
      </c>
      <c r="AH98" s="19">
        <f t="shared" si="5"/>
        <v>99</v>
      </c>
      <c r="AI98" s="18"/>
    </row>
    <row r="99" ht="15.75" customHeight="1">
      <c r="A99" s="25">
        <f t="shared" si="1"/>
        <v>96</v>
      </c>
      <c r="B99" s="27">
        <f>ROUND(Guida!$B$22*H99/Guida!$B$30+Guida!$B$23*MAX(0,MIN(1,(AE99-5.4)/1.6))+Guida!$B$24*0+Guida!$B$25*0.6,1)</f>
        <v>12.2</v>
      </c>
      <c r="C99" s="28" t="s">
        <v>947</v>
      </c>
      <c r="D99" s="25" t="s">
        <v>212</v>
      </c>
      <c r="E99" s="29" t="s">
        <v>387</v>
      </c>
      <c r="F99" s="30">
        <v>7.0</v>
      </c>
      <c r="G99" s="30">
        <v>6.0</v>
      </c>
      <c r="H99" s="30">
        <v>12.0</v>
      </c>
      <c r="I99" s="30">
        <f>MAX(1,ROUND(H99^Guida!$B$18*Guida!$F$13,0))</f>
        <v>8</v>
      </c>
      <c r="J99" s="30">
        <f t="shared" si="2"/>
        <v>10</v>
      </c>
      <c r="K99" s="25" t="str">
        <f t="shared" si="3"/>
        <v>3a fascia</v>
      </c>
      <c r="L99" s="25" t="s">
        <v>226</v>
      </c>
      <c r="M99" s="29" t="s">
        <v>227</v>
      </c>
      <c r="N99" s="25" t="s">
        <v>71</v>
      </c>
      <c r="O99" s="25" t="s">
        <v>77</v>
      </c>
      <c r="P99" s="30">
        <v>18.0</v>
      </c>
      <c r="Q99" s="32">
        <v>5.78</v>
      </c>
      <c r="R99" s="32">
        <v>5.92</v>
      </c>
      <c r="S99" s="30">
        <v>1.0</v>
      </c>
      <c r="T99" s="30">
        <v>0.0</v>
      </c>
      <c r="U99" s="25" t="s">
        <v>72</v>
      </c>
      <c r="V99" s="30">
        <v>1.0</v>
      </c>
      <c r="W99" s="30">
        <v>0.0</v>
      </c>
      <c r="X99" s="30">
        <v>0.0</v>
      </c>
      <c r="Y99" s="32"/>
      <c r="Z99" s="32"/>
      <c r="AA99" s="30"/>
      <c r="AB99" s="30"/>
      <c r="AC99" s="25" t="s">
        <v>283</v>
      </c>
      <c r="AD99" s="25" t="s">
        <v>103</v>
      </c>
      <c r="AE99" s="32">
        <f t="shared" si="4"/>
        <v>5.8</v>
      </c>
      <c r="AF99" s="29" t="s">
        <v>954</v>
      </c>
      <c r="AG99" s="30">
        <v>9.0</v>
      </c>
      <c r="AH99" s="30">
        <f t="shared" si="5"/>
        <v>118</v>
      </c>
      <c r="AI99" s="29"/>
    </row>
    <row r="100" ht="15.75" customHeight="1">
      <c r="A100" s="11">
        <f t="shared" si="1"/>
        <v>97</v>
      </c>
      <c r="B100" s="16">
        <f>ROUND(Guida!$B$22*H100/Guida!$B$30+Guida!$B$23*MAX(0,MIN(1,(AE100-5.4)/1.6))+Guida!$B$24*0+Guida!$B$25*0,1)</f>
        <v>11.9</v>
      </c>
      <c r="C100" s="17" t="s">
        <v>965</v>
      </c>
      <c r="D100" s="11" t="s">
        <v>177</v>
      </c>
      <c r="E100" s="18" t="s">
        <v>758</v>
      </c>
      <c r="F100" s="19">
        <v>6.0</v>
      </c>
      <c r="G100" s="19">
        <v>6.0</v>
      </c>
      <c r="H100" s="19">
        <v>16.0</v>
      </c>
      <c r="I100" s="19">
        <f>MAX(1,ROUND(H100^Guida!$B$18*Guida!$F$13,0))</f>
        <v>10</v>
      </c>
      <c r="J100" s="19">
        <f t="shared" si="2"/>
        <v>12</v>
      </c>
      <c r="K100" s="11" t="str">
        <f t="shared" si="3"/>
        <v>3a fascia</v>
      </c>
      <c r="L100" s="11" t="s">
        <v>68</v>
      </c>
      <c r="M100" s="21" t="s">
        <v>70</v>
      </c>
      <c r="N100" s="11" t="s">
        <v>71</v>
      </c>
      <c r="O100" s="11" t="s">
        <v>71</v>
      </c>
      <c r="P100" s="19">
        <v>35.0</v>
      </c>
      <c r="Q100" s="22">
        <v>5.84</v>
      </c>
      <c r="R100" s="22">
        <v>5.91</v>
      </c>
      <c r="S100" s="19">
        <v>1.0</v>
      </c>
      <c r="T100" s="19">
        <v>1.0</v>
      </c>
      <c r="U100" s="11" t="s">
        <v>72</v>
      </c>
      <c r="V100" s="19">
        <v>1.0</v>
      </c>
      <c r="W100" s="19">
        <v>1.0</v>
      </c>
      <c r="X100" s="19">
        <v>2.0</v>
      </c>
      <c r="Y100" s="22">
        <v>5.5</v>
      </c>
      <c r="Z100" s="22">
        <v>5.5</v>
      </c>
      <c r="AA100" s="19">
        <v>0.0</v>
      </c>
      <c r="AB100" s="19">
        <v>0.0</v>
      </c>
      <c r="AC100" s="11" t="s">
        <v>177</v>
      </c>
      <c r="AD100" s="11" t="s">
        <v>73</v>
      </c>
      <c r="AE100" s="22">
        <f t="shared" si="4"/>
        <v>5.91</v>
      </c>
      <c r="AF100" s="18" t="s">
        <v>974</v>
      </c>
      <c r="AG100" s="19">
        <v>7.0</v>
      </c>
      <c r="AH100" s="19">
        <f t="shared" si="5"/>
        <v>93</v>
      </c>
      <c r="AI100" s="18"/>
    </row>
    <row r="101" ht="15.75" customHeight="1">
      <c r="A101" s="25">
        <f t="shared" si="1"/>
        <v>98</v>
      </c>
      <c r="B101" s="27">
        <f>ROUND(Guida!$B$22*H101/Guida!$B$30+Guida!$B$23*MAX(0,MIN(1,(AE101-5.4)/1.6))+Guida!$B$24*0+Guida!$B$25*0,1)</f>
        <v>11.8</v>
      </c>
      <c r="C101" s="28" t="s">
        <v>978</v>
      </c>
      <c r="D101" s="25" t="s">
        <v>93</v>
      </c>
      <c r="E101" s="29" t="s">
        <v>387</v>
      </c>
      <c r="F101" s="30">
        <v>12.0</v>
      </c>
      <c r="G101" s="30">
        <v>11.0</v>
      </c>
      <c r="H101" s="30">
        <v>42.0</v>
      </c>
      <c r="I101" s="30">
        <f>MAX(1,ROUND(H101^Guida!$B$18*Guida!$F$13,0))</f>
        <v>17</v>
      </c>
      <c r="J101" s="30">
        <f t="shared" si="2"/>
        <v>20</v>
      </c>
      <c r="K101" s="25" t="str">
        <f t="shared" si="3"/>
        <v>2a fascia</v>
      </c>
      <c r="L101" s="25" t="s">
        <v>68</v>
      </c>
      <c r="M101" s="29" t="s">
        <v>294</v>
      </c>
      <c r="N101" s="25" t="s">
        <v>71</v>
      </c>
      <c r="O101" s="25" t="s">
        <v>71</v>
      </c>
      <c r="P101" s="30"/>
      <c r="Q101" s="32"/>
      <c r="R101" s="32"/>
      <c r="S101" s="30"/>
      <c r="T101" s="30"/>
      <c r="U101" s="25"/>
      <c r="V101" s="30"/>
      <c r="W101" s="30"/>
      <c r="X101" s="30">
        <v>1.0</v>
      </c>
      <c r="Y101" s="32">
        <v>5.5</v>
      </c>
      <c r="Z101" s="32">
        <v>5.5</v>
      </c>
      <c r="AA101" s="30">
        <v>0.0</v>
      </c>
      <c r="AB101" s="30">
        <v>0.0</v>
      </c>
      <c r="AC101" s="25" t="s">
        <v>71</v>
      </c>
      <c r="AD101" s="25" t="s">
        <v>103</v>
      </c>
      <c r="AE101" s="32">
        <f t="shared" si="4"/>
        <v>5.5</v>
      </c>
      <c r="AF101" s="29" t="s">
        <v>983</v>
      </c>
      <c r="AG101" s="30">
        <v>6.0</v>
      </c>
      <c r="AH101" s="30">
        <f t="shared" si="5"/>
        <v>32</v>
      </c>
      <c r="AI101" s="29"/>
    </row>
    <row r="102" ht="15.75" customHeight="1">
      <c r="A102" s="11">
        <f t="shared" si="1"/>
        <v>98</v>
      </c>
      <c r="B102" s="16">
        <f>ROUND(Guida!$B$22*H102/Guida!$B$30+Guida!$B$23*MAX(0,MIN(1,(AE102-5.4)/1.6))+Guida!$B$24*0+Guida!$B$25*0,1)</f>
        <v>11.8</v>
      </c>
      <c r="C102" s="17" t="s">
        <v>686</v>
      </c>
      <c r="D102" s="11" t="s">
        <v>133</v>
      </c>
      <c r="E102" s="18" t="s">
        <v>183</v>
      </c>
      <c r="F102" s="19">
        <v>5.0</v>
      </c>
      <c r="G102" s="19">
        <v>4.0</v>
      </c>
      <c r="H102" s="19">
        <v>10.0</v>
      </c>
      <c r="I102" s="19">
        <f>MAX(1,ROUND(H102^Guida!$B$18*Guida!$F$13,0))</f>
        <v>7</v>
      </c>
      <c r="J102" s="19">
        <f t="shared" si="2"/>
        <v>8</v>
      </c>
      <c r="K102" s="11" t="str">
        <f t="shared" si="3"/>
        <v>3a fascia</v>
      </c>
      <c r="L102" s="11" t="s">
        <v>332</v>
      </c>
      <c r="M102" s="36" t="s">
        <v>477</v>
      </c>
      <c r="N102" s="11" t="s">
        <v>71</v>
      </c>
      <c r="O102" s="11" t="s">
        <v>71</v>
      </c>
      <c r="P102" s="19">
        <v>12.0</v>
      </c>
      <c r="Q102" s="22">
        <v>5.96</v>
      </c>
      <c r="R102" s="22">
        <v>6.54</v>
      </c>
      <c r="S102" s="19">
        <v>3.0</v>
      </c>
      <c r="T102" s="19">
        <v>0.0</v>
      </c>
      <c r="U102" s="11" t="s">
        <v>72</v>
      </c>
      <c r="V102" s="19">
        <v>4.0</v>
      </c>
      <c r="W102" s="19">
        <v>0.0</v>
      </c>
      <c r="X102" s="19">
        <v>0.0</v>
      </c>
      <c r="Y102" s="22"/>
      <c r="Z102" s="22"/>
      <c r="AA102" s="19"/>
      <c r="AB102" s="19"/>
      <c r="AC102" s="11" t="s">
        <v>133</v>
      </c>
      <c r="AD102" s="11" t="s">
        <v>73</v>
      </c>
      <c r="AE102" s="22">
        <f t="shared" si="4"/>
        <v>6</v>
      </c>
      <c r="AF102" s="18" t="s">
        <v>983</v>
      </c>
      <c r="AG102" s="19">
        <v>9.0</v>
      </c>
      <c r="AH102" s="19">
        <f t="shared" si="5"/>
        <v>143</v>
      </c>
      <c r="AI102" s="18" t="s">
        <v>687</v>
      </c>
    </row>
    <row r="103" ht="15.75" customHeight="1">
      <c r="A103" s="25">
        <f t="shared" si="1"/>
        <v>98</v>
      </c>
      <c r="B103" s="27">
        <f>ROUND(Guida!$B$22*H103/Guida!$B$30+Guida!$B$23*MAX(0,MIN(1,(AE103-5.4)/1.6))+Guida!$B$24*0+Guida!$B$25*0,1)</f>
        <v>11.8</v>
      </c>
      <c r="C103" s="28" t="s">
        <v>948</v>
      </c>
      <c r="D103" s="25" t="s">
        <v>60</v>
      </c>
      <c r="E103" s="29" t="s">
        <v>69</v>
      </c>
      <c r="F103" s="30">
        <v>4.0</v>
      </c>
      <c r="G103" s="30">
        <v>4.0</v>
      </c>
      <c r="H103" s="30">
        <v>10.0</v>
      </c>
      <c r="I103" s="30">
        <f>MAX(1,ROUND(H103^Guida!$B$18*Guida!$F$13,0))</f>
        <v>7</v>
      </c>
      <c r="J103" s="30">
        <f t="shared" si="2"/>
        <v>8</v>
      </c>
      <c r="K103" s="25" t="str">
        <f t="shared" si="3"/>
        <v>3a fascia</v>
      </c>
      <c r="L103" s="25" t="s">
        <v>226</v>
      </c>
      <c r="M103" s="29" t="s">
        <v>227</v>
      </c>
      <c r="N103" s="25" t="s">
        <v>71</v>
      </c>
      <c r="O103" s="25" t="s">
        <v>71</v>
      </c>
      <c r="P103" s="30">
        <v>34.0</v>
      </c>
      <c r="Q103" s="32">
        <v>5.97</v>
      </c>
      <c r="R103" s="32">
        <v>6.0</v>
      </c>
      <c r="S103" s="30">
        <v>1.0</v>
      </c>
      <c r="T103" s="30">
        <v>2.0</v>
      </c>
      <c r="U103" s="25" t="s">
        <v>72</v>
      </c>
      <c r="V103" s="30">
        <v>6.0</v>
      </c>
      <c r="W103" s="30">
        <v>1.0</v>
      </c>
      <c r="X103" s="30">
        <v>0.0</v>
      </c>
      <c r="Y103" s="32"/>
      <c r="Z103" s="32"/>
      <c r="AA103" s="30"/>
      <c r="AB103" s="30"/>
      <c r="AC103" s="25" t="s">
        <v>143</v>
      </c>
      <c r="AD103" s="25" t="s">
        <v>103</v>
      </c>
      <c r="AE103" s="32">
        <f t="shared" si="4"/>
        <v>6</v>
      </c>
      <c r="AF103" s="29" t="s">
        <v>954</v>
      </c>
      <c r="AG103" s="30">
        <v>7.0</v>
      </c>
      <c r="AH103" s="30">
        <f t="shared" si="5"/>
        <v>143</v>
      </c>
      <c r="AI103" s="29"/>
    </row>
    <row r="104" ht="15.75" customHeight="1">
      <c r="A104" s="11">
        <f t="shared" si="1"/>
        <v>101</v>
      </c>
      <c r="B104" s="16">
        <f>ROUND(Guida!$B$22*H104/Guida!$B$30+Guida!$B$23*MAX(0,MIN(1,(AE104-5.4)/1.6))+Guida!$B$24*0+Guida!$B$25*1,1)</f>
        <v>11.4</v>
      </c>
      <c r="C104" s="17" t="s">
        <v>688</v>
      </c>
      <c r="D104" s="11" t="s">
        <v>195</v>
      </c>
      <c r="E104" s="18" t="s">
        <v>69</v>
      </c>
      <c r="F104" s="19">
        <v>6.0</v>
      </c>
      <c r="G104" s="19">
        <v>7.0</v>
      </c>
      <c r="H104" s="19">
        <v>16.0</v>
      </c>
      <c r="I104" s="19">
        <f>MAX(1,ROUND(H104^Guida!$B$18*Guida!$F$13,0))</f>
        <v>10</v>
      </c>
      <c r="J104" s="19">
        <f t="shared" si="2"/>
        <v>12</v>
      </c>
      <c r="K104" s="11" t="str">
        <f t="shared" si="3"/>
        <v>3a fascia</v>
      </c>
      <c r="L104" s="11" t="s">
        <v>332</v>
      </c>
      <c r="M104" s="36" t="s">
        <v>187</v>
      </c>
      <c r="N104" s="11" t="s">
        <v>71</v>
      </c>
      <c r="O104" s="11" t="s">
        <v>84</v>
      </c>
      <c r="P104" s="19">
        <v>11.0</v>
      </c>
      <c r="Q104" s="22">
        <v>5.73</v>
      </c>
      <c r="R104" s="22">
        <v>5.64</v>
      </c>
      <c r="S104" s="19">
        <v>0.0</v>
      </c>
      <c r="T104" s="19">
        <v>1.0</v>
      </c>
      <c r="U104" s="11" t="s">
        <v>72</v>
      </c>
      <c r="V104" s="19">
        <v>2.0</v>
      </c>
      <c r="W104" s="19">
        <v>1.0</v>
      </c>
      <c r="X104" s="19">
        <v>2.0</v>
      </c>
      <c r="Y104" s="22">
        <v>6.25</v>
      </c>
      <c r="Z104" s="22">
        <v>6.25</v>
      </c>
      <c r="AA104" s="19">
        <v>0.0</v>
      </c>
      <c r="AB104" s="19">
        <v>0.0</v>
      </c>
      <c r="AC104" s="11" t="s">
        <v>195</v>
      </c>
      <c r="AD104" s="11" t="s">
        <v>73</v>
      </c>
      <c r="AE104" s="22">
        <f t="shared" si="4"/>
        <v>5.56</v>
      </c>
      <c r="AF104" s="18" t="s">
        <v>320</v>
      </c>
      <c r="AG104" s="19">
        <v>0.0</v>
      </c>
      <c r="AH104" s="19">
        <f t="shared" si="5"/>
        <v>93</v>
      </c>
      <c r="AI104" s="18" t="s">
        <v>689</v>
      </c>
    </row>
    <row r="105" ht="15.75" customHeight="1">
      <c r="A105" s="25">
        <f t="shared" si="1"/>
        <v>102</v>
      </c>
      <c r="B105" s="27">
        <f>ROUND(Guida!$B$22*H105/Guida!$B$30+Guida!$B$23*MAX(0,MIN(1,(AE105-5.4)/1.6))+Guida!$B$24*0+Guida!$B$25*0,1)</f>
        <v>11.3</v>
      </c>
      <c r="C105" s="28" t="s">
        <v>1013</v>
      </c>
      <c r="D105" s="25" t="s">
        <v>182</v>
      </c>
      <c r="E105" s="29" t="s">
        <v>69</v>
      </c>
      <c r="F105" s="30">
        <v>7.0</v>
      </c>
      <c r="G105" s="30">
        <v>7.0</v>
      </c>
      <c r="H105" s="30">
        <v>23.0</v>
      </c>
      <c r="I105" s="30">
        <f>MAX(1,ROUND(H105^Guida!$B$18*Guida!$F$13,0))</f>
        <v>12</v>
      </c>
      <c r="J105" s="30">
        <f t="shared" si="2"/>
        <v>14</v>
      </c>
      <c r="K105" s="25" t="str">
        <f t="shared" si="3"/>
        <v>3a fascia</v>
      </c>
      <c r="L105" s="25" t="s">
        <v>226</v>
      </c>
      <c r="M105" s="29" t="s">
        <v>277</v>
      </c>
      <c r="N105" s="25" t="s">
        <v>71</v>
      </c>
      <c r="O105" s="25" t="s">
        <v>71</v>
      </c>
      <c r="P105" s="30">
        <v>23.0</v>
      </c>
      <c r="Q105" s="32">
        <v>5.8</v>
      </c>
      <c r="R105" s="32">
        <v>5.78</v>
      </c>
      <c r="S105" s="30">
        <v>1.0</v>
      </c>
      <c r="T105" s="30">
        <v>0.0</v>
      </c>
      <c r="U105" s="25" t="s">
        <v>72</v>
      </c>
      <c r="V105" s="30">
        <v>5.0</v>
      </c>
      <c r="W105" s="30">
        <v>1.0</v>
      </c>
      <c r="X105" s="30">
        <v>2.0</v>
      </c>
      <c r="Y105" s="32">
        <v>6.0</v>
      </c>
      <c r="Z105" s="32">
        <v>6.0</v>
      </c>
      <c r="AA105" s="30">
        <v>0.0</v>
      </c>
      <c r="AB105" s="30">
        <v>0.0</v>
      </c>
      <c r="AC105" s="25" t="s">
        <v>182</v>
      </c>
      <c r="AD105" s="25" t="s">
        <v>73</v>
      </c>
      <c r="AE105" s="32">
        <f t="shared" si="4"/>
        <v>5.76</v>
      </c>
      <c r="AF105" s="29" t="s">
        <v>176</v>
      </c>
      <c r="AG105" s="30">
        <v>6.0</v>
      </c>
      <c r="AH105" s="30">
        <f t="shared" si="5"/>
        <v>63</v>
      </c>
      <c r="AI105" s="29"/>
    </row>
    <row r="106" ht="15.75" customHeight="1">
      <c r="A106" s="11">
        <f t="shared" si="1"/>
        <v>103</v>
      </c>
      <c r="B106" s="16">
        <f>ROUND(Guida!$B$22*H106/Guida!$B$30+Guida!$B$23*MAX(0,MIN(1,(AE106-5.4)/1.6))+Guida!$B$24*0+Guida!$B$25*0,1)</f>
        <v>11.2</v>
      </c>
      <c r="C106" s="17" t="s">
        <v>935</v>
      </c>
      <c r="D106" s="11" t="s">
        <v>175</v>
      </c>
      <c r="E106" s="18" t="s">
        <v>1019</v>
      </c>
      <c r="F106" s="19">
        <v>2.0</v>
      </c>
      <c r="G106" s="19">
        <v>3.0</v>
      </c>
      <c r="H106" s="19">
        <v>15.0</v>
      </c>
      <c r="I106" s="19">
        <f>MAX(1,ROUND(H106^Guida!$B$18*Guida!$F$13,0))</f>
        <v>9</v>
      </c>
      <c r="J106" s="19">
        <f t="shared" si="2"/>
        <v>11</v>
      </c>
      <c r="K106" s="11" t="str">
        <f t="shared" si="3"/>
        <v>3a fascia</v>
      </c>
      <c r="L106" s="11" t="s">
        <v>332</v>
      </c>
      <c r="M106" s="18" t="s">
        <v>473</v>
      </c>
      <c r="N106" s="11" t="s">
        <v>71</v>
      </c>
      <c r="O106" s="11" t="s">
        <v>71</v>
      </c>
      <c r="P106" s="19">
        <v>16.0</v>
      </c>
      <c r="Q106" s="22">
        <v>5.94</v>
      </c>
      <c r="R106" s="22">
        <v>6.09</v>
      </c>
      <c r="S106" s="19">
        <v>1.0</v>
      </c>
      <c r="T106" s="19">
        <v>0.0</v>
      </c>
      <c r="U106" s="11" t="s">
        <v>72</v>
      </c>
      <c r="V106" s="19">
        <v>1.0</v>
      </c>
      <c r="W106" s="19">
        <v>0.0</v>
      </c>
      <c r="X106" s="19">
        <v>2.0</v>
      </c>
      <c r="Y106" s="22">
        <v>6.25</v>
      </c>
      <c r="Z106" s="22">
        <v>6.25</v>
      </c>
      <c r="AA106" s="19">
        <v>0.0</v>
      </c>
      <c r="AB106" s="19">
        <v>0.0</v>
      </c>
      <c r="AC106" s="11" t="s">
        <v>143</v>
      </c>
      <c r="AD106" s="11" t="s">
        <v>103</v>
      </c>
      <c r="AE106" s="22">
        <f t="shared" si="4"/>
        <v>5.88</v>
      </c>
      <c r="AF106" s="18" t="s">
        <v>216</v>
      </c>
      <c r="AG106" s="19">
        <v>0.0</v>
      </c>
      <c r="AH106" s="19">
        <f t="shared" si="5"/>
        <v>99</v>
      </c>
      <c r="AI106" s="18"/>
    </row>
    <row r="107" ht="15.75" customHeight="1">
      <c r="A107" s="25">
        <f t="shared" si="1"/>
        <v>104</v>
      </c>
      <c r="B107" s="27">
        <f>ROUND(Guida!$B$22*H107/Guida!$B$30+Guida!$B$23*MAX(0,MIN(1,(AE107-5.4)/1.6))+Guida!$B$24*0+Guida!$B$25*0.35,1)</f>
        <v>11.1</v>
      </c>
      <c r="C107" s="28" t="s">
        <v>1022</v>
      </c>
      <c r="D107" s="25" t="s">
        <v>212</v>
      </c>
      <c r="E107" s="29" t="s">
        <v>69</v>
      </c>
      <c r="F107" s="30">
        <v>5.0</v>
      </c>
      <c r="G107" s="30">
        <v>5.0</v>
      </c>
      <c r="H107" s="30">
        <v>12.0</v>
      </c>
      <c r="I107" s="30">
        <f>MAX(1,ROUND(H107^Guida!$B$18*Guida!$F$13,0))</f>
        <v>8</v>
      </c>
      <c r="J107" s="30">
        <f t="shared" si="2"/>
        <v>10</v>
      </c>
      <c r="K107" s="25" t="str">
        <f t="shared" si="3"/>
        <v>3a fascia</v>
      </c>
      <c r="L107" s="25" t="s">
        <v>332</v>
      </c>
      <c r="M107" s="29" t="s">
        <v>392</v>
      </c>
      <c r="N107" s="25" t="s">
        <v>71</v>
      </c>
      <c r="O107" s="25" t="s">
        <v>160</v>
      </c>
      <c r="P107" s="30">
        <v>27.0</v>
      </c>
      <c r="Q107" s="32">
        <v>5.87</v>
      </c>
      <c r="R107" s="32">
        <v>5.81</v>
      </c>
      <c r="S107" s="30">
        <v>0.0</v>
      </c>
      <c r="T107" s="30">
        <v>1.0</v>
      </c>
      <c r="U107" s="25" t="s">
        <v>72</v>
      </c>
      <c r="V107" s="30">
        <v>5.0</v>
      </c>
      <c r="W107" s="30">
        <v>0.0</v>
      </c>
      <c r="X107" s="30">
        <v>2.0</v>
      </c>
      <c r="Y107" s="32">
        <v>5.5</v>
      </c>
      <c r="Z107" s="32">
        <v>5.75</v>
      </c>
      <c r="AA107" s="30">
        <v>0.0</v>
      </c>
      <c r="AB107" s="30">
        <v>1.0</v>
      </c>
      <c r="AC107" s="25" t="s">
        <v>212</v>
      </c>
      <c r="AD107" s="25" t="s">
        <v>73</v>
      </c>
      <c r="AE107" s="32">
        <f t="shared" si="4"/>
        <v>5.81</v>
      </c>
      <c r="AF107" s="29" t="s">
        <v>275</v>
      </c>
      <c r="AG107" s="30">
        <v>0.0</v>
      </c>
      <c r="AH107" s="30">
        <f t="shared" si="5"/>
        <v>118</v>
      </c>
      <c r="AI107" s="29"/>
    </row>
    <row r="108" ht="15.75" customHeight="1">
      <c r="A108" s="11">
        <f t="shared" si="1"/>
        <v>105</v>
      </c>
      <c r="B108" s="16">
        <f>ROUND(Guida!$B$22*H108/Guida!$B$30+Guida!$B$23*MAX(0,MIN(1,(AE108-5.4)/1.6))+Guida!$B$24*0+Guida!$B$25*0,1)</f>
        <v>11</v>
      </c>
      <c r="C108" s="17" t="s">
        <v>942</v>
      </c>
      <c r="D108" s="11" t="s">
        <v>283</v>
      </c>
      <c r="E108" s="18" t="s">
        <v>198</v>
      </c>
      <c r="F108" s="19">
        <v>4.0</v>
      </c>
      <c r="G108" s="19">
        <v>4.0</v>
      </c>
      <c r="H108" s="19">
        <v>8.0</v>
      </c>
      <c r="I108" s="19">
        <f>MAX(1,ROUND(H108^Guida!$B$18*Guida!$F$13,0))</f>
        <v>6</v>
      </c>
      <c r="J108" s="19">
        <f t="shared" si="2"/>
        <v>7</v>
      </c>
      <c r="K108" s="11" t="str">
        <f t="shared" si="3"/>
        <v>4a fascia</v>
      </c>
      <c r="L108" s="11" t="s">
        <v>226</v>
      </c>
      <c r="M108" s="18" t="s">
        <v>227</v>
      </c>
      <c r="N108" s="11" t="s">
        <v>71</v>
      </c>
      <c r="O108" s="11" t="s">
        <v>71</v>
      </c>
      <c r="P108" s="19">
        <v>22.0</v>
      </c>
      <c r="Q108" s="22">
        <v>5.8</v>
      </c>
      <c r="R108" s="22">
        <v>6.05</v>
      </c>
      <c r="S108" s="19">
        <v>2.0</v>
      </c>
      <c r="T108" s="19">
        <v>0.0</v>
      </c>
      <c r="U108" s="11" t="s">
        <v>72</v>
      </c>
      <c r="V108" s="19">
        <v>2.0</v>
      </c>
      <c r="W108" s="19">
        <v>0.0</v>
      </c>
      <c r="X108" s="19">
        <v>0.0</v>
      </c>
      <c r="Y108" s="22"/>
      <c r="Z108" s="22"/>
      <c r="AA108" s="19"/>
      <c r="AB108" s="19"/>
      <c r="AC108" s="11" t="s">
        <v>208</v>
      </c>
      <c r="AD108" s="11" t="s">
        <v>103</v>
      </c>
      <c r="AE108" s="22">
        <f t="shared" si="4"/>
        <v>5.98</v>
      </c>
      <c r="AF108" s="18" t="s">
        <v>397</v>
      </c>
      <c r="AG108" s="19">
        <v>4.0</v>
      </c>
      <c r="AH108" s="19">
        <f t="shared" si="5"/>
        <v>154</v>
      </c>
      <c r="AI108" s="18"/>
    </row>
    <row r="109" ht="15.75" customHeight="1">
      <c r="A109" s="25">
        <f t="shared" si="1"/>
        <v>106</v>
      </c>
      <c r="B109" s="27">
        <f>ROUND(Guida!$B$22*H109/Guida!$B$30+Guida!$B$23*MAX(0,MIN(1,(AE109-5.4)/1.6))+Guida!$B$24*0+Guida!$B$25*0.35,1)</f>
        <v>10.7</v>
      </c>
      <c r="C109" s="28" t="s">
        <v>1052</v>
      </c>
      <c r="D109" s="25" t="s">
        <v>133</v>
      </c>
      <c r="E109" s="29" t="s">
        <v>69</v>
      </c>
      <c r="F109" s="30">
        <v>5.0</v>
      </c>
      <c r="G109" s="30">
        <v>6.0</v>
      </c>
      <c r="H109" s="30">
        <v>30.0</v>
      </c>
      <c r="I109" s="30">
        <f>MAX(1,ROUND(H109^Guida!$B$18*Guida!$F$13,0))</f>
        <v>14</v>
      </c>
      <c r="J109" s="30">
        <f t="shared" si="2"/>
        <v>17</v>
      </c>
      <c r="K109" s="25" t="str">
        <f t="shared" si="3"/>
        <v>3a fascia</v>
      </c>
      <c r="L109" s="25" t="s">
        <v>226</v>
      </c>
      <c r="M109" s="29" t="s">
        <v>300</v>
      </c>
      <c r="N109" s="25" t="s">
        <v>71</v>
      </c>
      <c r="O109" s="25" t="s">
        <v>160</v>
      </c>
      <c r="P109" s="30"/>
      <c r="Q109" s="32"/>
      <c r="R109" s="32"/>
      <c r="S109" s="30"/>
      <c r="T109" s="30"/>
      <c r="U109" s="25"/>
      <c r="V109" s="30"/>
      <c r="W109" s="30"/>
      <c r="X109" s="30">
        <v>2.0</v>
      </c>
      <c r="Y109" s="32">
        <v>6.75</v>
      </c>
      <c r="Z109" s="32">
        <v>6.75</v>
      </c>
      <c r="AA109" s="30">
        <v>0.0</v>
      </c>
      <c r="AB109" s="30">
        <v>0.0</v>
      </c>
      <c r="AC109" s="25" t="s">
        <v>71</v>
      </c>
      <c r="AD109" s="25" t="s">
        <v>103</v>
      </c>
      <c r="AE109" s="32">
        <f t="shared" si="4"/>
        <v>5.5</v>
      </c>
      <c r="AF109" s="29" t="s">
        <v>254</v>
      </c>
      <c r="AG109" s="30">
        <v>6.0</v>
      </c>
      <c r="AH109" s="30">
        <f t="shared" si="5"/>
        <v>45</v>
      </c>
      <c r="AI109" s="29"/>
    </row>
    <row r="110" ht="15.75" customHeight="1">
      <c r="A110" s="11">
        <f t="shared" si="1"/>
        <v>106</v>
      </c>
      <c r="B110" s="16">
        <f>ROUND(Guida!$B$22*H110/Guida!$B$30+Guida!$B$23*MAX(0,MIN(1,(AE110-5.4)/1.6))+Guida!$B$24*0+Guida!$B$25*0.35,1)</f>
        <v>10.7</v>
      </c>
      <c r="C110" s="17" t="s">
        <v>833</v>
      </c>
      <c r="D110" s="11" t="s">
        <v>253</v>
      </c>
      <c r="E110" s="18" t="s">
        <v>198</v>
      </c>
      <c r="F110" s="19">
        <v>5.0</v>
      </c>
      <c r="G110" s="19">
        <v>6.0</v>
      </c>
      <c r="H110" s="19">
        <v>16.0</v>
      </c>
      <c r="I110" s="19">
        <f>MAX(1,ROUND(H110^Guida!$B$18*Guida!$F$13,0))</f>
        <v>10</v>
      </c>
      <c r="J110" s="19">
        <f t="shared" si="2"/>
        <v>12</v>
      </c>
      <c r="K110" s="11" t="str">
        <f t="shared" si="3"/>
        <v>3a fascia</v>
      </c>
      <c r="L110" s="11" t="s">
        <v>68</v>
      </c>
      <c r="M110" s="21" t="s">
        <v>100</v>
      </c>
      <c r="N110" s="11" t="s">
        <v>71</v>
      </c>
      <c r="O110" s="11" t="s">
        <v>160</v>
      </c>
      <c r="P110" s="19">
        <v>4.0</v>
      </c>
      <c r="Q110" s="22">
        <v>6.12</v>
      </c>
      <c r="R110" s="22">
        <v>6.88</v>
      </c>
      <c r="S110" s="19">
        <v>1.0</v>
      </c>
      <c r="T110" s="19">
        <v>0.0</v>
      </c>
      <c r="U110" s="11" t="s">
        <v>72</v>
      </c>
      <c r="V110" s="19">
        <v>0.0</v>
      </c>
      <c r="W110" s="19">
        <v>0.0</v>
      </c>
      <c r="X110" s="19">
        <v>2.0</v>
      </c>
      <c r="Y110" s="22">
        <v>6.0</v>
      </c>
      <c r="Z110" s="22">
        <v>6.5</v>
      </c>
      <c r="AA110" s="19">
        <v>0.0</v>
      </c>
      <c r="AB110" s="19">
        <v>1.0</v>
      </c>
      <c r="AC110" s="11" t="s">
        <v>93</v>
      </c>
      <c r="AD110" s="11" t="s">
        <v>103</v>
      </c>
      <c r="AE110" s="22">
        <f t="shared" si="4"/>
        <v>5.72</v>
      </c>
      <c r="AF110" s="18" t="s">
        <v>216</v>
      </c>
      <c r="AG110" s="19">
        <v>4.0</v>
      </c>
      <c r="AH110" s="19">
        <f t="shared" si="5"/>
        <v>93</v>
      </c>
      <c r="AI110" s="18"/>
    </row>
    <row r="111" ht="15.75" customHeight="1">
      <c r="A111" s="25">
        <f t="shared" si="1"/>
        <v>106</v>
      </c>
      <c r="B111" s="27">
        <f>ROUND(Guida!$B$22*H111/Guida!$B$30+Guida!$B$23*MAX(0,MIN(1,(AE111-5.4)/1.6))+Guida!$B$24*0+Guida!$B$25*0,1)</f>
        <v>10.7</v>
      </c>
      <c r="C111" s="28" t="s">
        <v>999</v>
      </c>
      <c r="D111" s="25" t="s">
        <v>239</v>
      </c>
      <c r="E111" s="29" t="s">
        <v>69</v>
      </c>
      <c r="F111" s="30">
        <v>6.0</v>
      </c>
      <c r="G111" s="30">
        <v>7.0</v>
      </c>
      <c r="H111" s="30">
        <v>13.0</v>
      </c>
      <c r="I111" s="30">
        <f>MAX(1,ROUND(H111^Guida!$B$18*Guida!$F$13,0))</f>
        <v>8</v>
      </c>
      <c r="J111" s="30">
        <f t="shared" si="2"/>
        <v>10</v>
      </c>
      <c r="K111" s="25" t="str">
        <f t="shared" si="3"/>
        <v>3a fascia</v>
      </c>
      <c r="L111" s="25" t="s">
        <v>68</v>
      </c>
      <c r="M111" s="21" t="s">
        <v>70</v>
      </c>
      <c r="N111" s="25" t="s">
        <v>71</v>
      </c>
      <c r="O111" s="25" t="s">
        <v>71</v>
      </c>
      <c r="P111" s="30">
        <v>38.0</v>
      </c>
      <c r="Q111" s="32">
        <v>5.83</v>
      </c>
      <c r="R111" s="32">
        <v>5.88</v>
      </c>
      <c r="S111" s="30">
        <v>1.0</v>
      </c>
      <c r="T111" s="30">
        <v>1.0</v>
      </c>
      <c r="U111" s="25" t="s">
        <v>72</v>
      </c>
      <c r="V111" s="30">
        <v>4.0</v>
      </c>
      <c r="W111" s="30">
        <v>0.0</v>
      </c>
      <c r="X111" s="30">
        <v>2.0</v>
      </c>
      <c r="Y111" s="32">
        <v>6.0</v>
      </c>
      <c r="Z111" s="32">
        <v>6.5</v>
      </c>
      <c r="AA111" s="30">
        <v>0.0</v>
      </c>
      <c r="AB111" s="30">
        <v>1.0</v>
      </c>
      <c r="AC111" s="25" t="s">
        <v>239</v>
      </c>
      <c r="AD111" s="25" t="s">
        <v>73</v>
      </c>
      <c r="AE111" s="32">
        <f t="shared" si="4"/>
        <v>5.88</v>
      </c>
      <c r="AF111" s="29" t="s">
        <v>254</v>
      </c>
      <c r="AG111" s="30">
        <v>6.0</v>
      </c>
      <c r="AH111" s="30">
        <f t="shared" si="5"/>
        <v>114</v>
      </c>
      <c r="AI111" s="29"/>
    </row>
    <row r="112" ht="15.75" customHeight="1">
      <c r="A112" s="11">
        <f t="shared" si="1"/>
        <v>109</v>
      </c>
      <c r="B112" s="16">
        <f>ROUND(Guida!$B$22*H112/Guida!$B$30+Guida!$B$23*MAX(0,MIN(1,(AE112-5.4)/1.6))+Guida!$B$24*0+Guida!$B$25*0,1)</f>
        <v>10.5</v>
      </c>
      <c r="C112" s="17" t="s">
        <v>859</v>
      </c>
      <c r="D112" s="11" t="s">
        <v>239</v>
      </c>
      <c r="E112" s="18" t="s">
        <v>403</v>
      </c>
      <c r="F112" s="19">
        <v>5.0</v>
      </c>
      <c r="G112" s="19">
        <v>5.0</v>
      </c>
      <c r="H112" s="19">
        <v>7.0</v>
      </c>
      <c r="I112" s="19">
        <f>MAX(1,ROUND(H112^Guida!$B$18*Guida!$F$13,0))</f>
        <v>6</v>
      </c>
      <c r="J112" s="19">
        <f t="shared" si="2"/>
        <v>7</v>
      </c>
      <c r="K112" s="11" t="str">
        <f t="shared" si="3"/>
        <v>4a fascia</v>
      </c>
      <c r="L112" s="11" t="s">
        <v>226</v>
      </c>
      <c r="M112" s="18" t="s">
        <v>301</v>
      </c>
      <c r="N112" s="11" t="s">
        <v>71</v>
      </c>
      <c r="O112" s="11" t="s">
        <v>71</v>
      </c>
      <c r="P112" s="19">
        <v>11.0</v>
      </c>
      <c r="Q112" s="22">
        <v>6.05</v>
      </c>
      <c r="R112" s="22">
        <v>6.55</v>
      </c>
      <c r="S112" s="19">
        <v>2.0</v>
      </c>
      <c r="T112" s="19">
        <v>1.0</v>
      </c>
      <c r="U112" s="11" t="s">
        <v>72</v>
      </c>
      <c r="V112" s="19">
        <v>3.0</v>
      </c>
      <c r="W112" s="19">
        <v>0.0</v>
      </c>
      <c r="X112" s="19">
        <v>1.0</v>
      </c>
      <c r="Y112" s="22">
        <v>6.0</v>
      </c>
      <c r="Z112" s="22">
        <v>6.0</v>
      </c>
      <c r="AA112" s="19">
        <v>0.0</v>
      </c>
      <c r="AB112" s="19">
        <v>0.0</v>
      </c>
      <c r="AC112" s="11" t="s">
        <v>239</v>
      </c>
      <c r="AD112" s="11" t="s">
        <v>73</v>
      </c>
      <c r="AE112" s="22">
        <f t="shared" si="4"/>
        <v>5.96</v>
      </c>
      <c r="AF112" s="18" t="s">
        <v>254</v>
      </c>
      <c r="AG112" s="19">
        <v>6.0</v>
      </c>
      <c r="AH112" s="19">
        <f t="shared" si="5"/>
        <v>161</v>
      </c>
      <c r="AI112" s="18"/>
    </row>
    <row r="113" ht="15.75" customHeight="1">
      <c r="A113" s="25">
        <f t="shared" si="1"/>
        <v>110</v>
      </c>
      <c r="B113" s="27">
        <f>ROUND(Guida!$B$22*H113/Guida!$B$30+Guida!$B$23*MAX(0,MIN(1,(AE113-5.4)/1.6))+Guida!$B$24*0+Guida!$B$25*0,1)</f>
        <v>10.3</v>
      </c>
      <c r="C113" s="28" t="s">
        <v>908</v>
      </c>
      <c r="D113" s="25" t="s">
        <v>191</v>
      </c>
      <c r="E113" s="29" t="s">
        <v>69</v>
      </c>
      <c r="F113" s="30">
        <v>3.0</v>
      </c>
      <c r="G113" s="30">
        <v>3.0</v>
      </c>
      <c r="H113" s="30">
        <v>10.0</v>
      </c>
      <c r="I113" s="30">
        <f>MAX(1,ROUND(H113^Guida!$B$18*Guida!$F$13,0))</f>
        <v>7</v>
      </c>
      <c r="J113" s="30">
        <f t="shared" si="2"/>
        <v>8</v>
      </c>
      <c r="K113" s="25" t="str">
        <f t="shared" si="3"/>
        <v>3a fascia</v>
      </c>
      <c r="L113" s="25" t="s">
        <v>332</v>
      </c>
      <c r="M113" s="29" t="s">
        <v>333</v>
      </c>
      <c r="N113" s="25" t="s">
        <v>71</v>
      </c>
      <c r="O113" s="25" t="s">
        <v>71</v>
      </c>
      <c r="P113" s="30">
        <v>13.0</v>
      </c>
      <c r="Q113" s="32">
        <v>6.08</v>
      </c>
      <c r="R113" s="32">
        <v>6.27</v>
      </c>
      <c r="S113" s="30">
        <v>1.0</v>
      </c>
      <c r="T113" s="30">
        <v>0.0</v>
      </c>
      <c r="U113" s="25" t="s">
        <v>72</v>
      </c>
      <c r="V113" s="30">
        <v>1.0</v>
      </c>
      <c r="W113" s="30">
        <v>0.0</v>
      </c>
      <c r="X113" s="30">
        <v>0.0</v>
      </c>
      <c r="Y113" s="32"/>
      <c r="Z113" s="32"/>
      <c r="AA113" s="30"/>
      <c r="AB113" s="30"/>
      <c r="AC113" s="25" t="s">
        <v>191</v>
      </c>
      <c r="AD113" s="25" t="s">
        <v>73</v>
      </c>
      <c r="AE113" s="32">
        <f t="shared" si="4"/>
        <v>5.9</v>
      </c>
      <c r="AF113" s="29" t="s">
        <v>320</v>
      </c>
      <c r="AG113" s="30">
        <v>3.0</v>
      </c>
      <c r="AH113" s="30">
        <f t="shared" si="5"/>
        <v>143</v>
      </c>
      <c r="AI113" s="29"/>
    </row>
    <row r="114" ht="15.75" customHeight="1">
      <c r="A114" s="11">
        <f t="shared" si="1"/>
        <v>111</v>
      </c>
      <c r="B114" s="16">
        <f>ROUND(Guida!$B$22*H114/Guida!$B$30+Guida!$B$23*MAX(0,MIN(1,(AE114-5.4)/1.6))+Guida!$B$24*0+Guida!$B$25*0,1)</f>
        <v>10</v>
      </c>
      <c r="C114" s="17" t="s">
        <v>1020</v>
      </c>
      <c r="D114" s="11" t="s">
        <v>272</v>
      </c>
      <c r="E114" s="18" t="s">
        <v>1108</v>
      </c>
      <c r="F114" s="19">
        <v>6.0</v>
      </c>
      <c r="G114" s="19">
        <v>6.0</v>
      </c>
      <c r="H114" s="19">
        <v>14.0</v>
      </c>
      <c r="I114" s="19">
        <f>MAX(1,ROUND(H114^Guida!$B$18*Guida!$F$13,0))</f>
        <v>9</v>
      </c>
      <c r="J114" s="19">
        <f t="shared" si="2"/>
        <v>11</v>
      </c>
      <c r="K114" s="11" t="str">
        <f t="shared" si="3"/>
        <v>3a fascia</v>
      </c>
      <c r="L114" s="11" t="s">
        <v>68</v>
      </c>
      <c r="M114" s="37" t="s">
        <v>214</v>
      </c>
      <c r="N114" s="11" t="s">
        <v>71</v>
      </c>
      <c r="O114" s="11" t="s">
        <v>71</v>
      </c>
      <c r="P114" s="19">
        <v>30.0</v>
      </c>
      <c r="Q114" s="22">
        <v>5.82</v>
      </c>
      <c r="R114" s="22">
        <v>5.82</v>
      </c>
      <c r="S114" s="19">
        <v>1.0</v>
      </c>
      <c r="T114" s="19">
        <v>0.0</v>
      </c>
      <c r="U114" s="11" t="s">
        <v>72</v>
      </c>
      <c r="V114" s="19">
        <v>4.0</v>
      </c>
      <c r="W114" s="19">
        <v>1.0</v>
      </c>
      <c r="X114" s="19">
        <v>0.0</v>
      </c>
      <c r="Y114" s="22"/>
      <c r="Z114" s="22"/>
      <c r="AA114" s="19"/>
      <c r="AB114" s="19"/>
      <c r="AC114" s="11" t="s">
        <v>852</v>
      </c>
      <c r="AD114" s="11" t="s">
        <v>103</v>
      </c>
      <c r="AE114" s="22">
        <f t="shared" si="4"/>
        <v>5.82</v>
      </c>
      <c r="AF114" s="18" t="s">
        <v>644</v>
      </c>
      <c r="AG114" s="19">
        <v>6.0</v>
      </c>
      <c r="AH114" s="19">
        <f t="shared" si="5"/>
        <v>110</v>
      </c>
      <c r="AI114" s="18"/>
    </row>
    <row r="115" ht="15.75" customHeight="1">
      <c r="A115" s="25">
        <f t="shared" si="1"/>
        <v>112</v>
      </c>
      <c r="B115" s="27">
        <f>ROUND(Guida!$B$22*H115/Guida!$B$30+Guida!$B$23*MAX(0,MIN(1,(AE115-5.4)/1.6))+Guida!$B$24*0+Guida!$B$25*0,1)</f>
        <v>9.8</v>
      </c>
      <c r="C115" s="28" t="s">
        <v>987</v>
      </c>
      <c r="D115" s="25" t="s">
        <v>185</v>
      </c>
      <c r="E115" s="29" t="s">
        <v>69</v>
      </c>
      <c r="F115" s="30">
        <v>3.0</v>
      </c>
      <c r="G115" s="30">
        <v>4.0</v>
      </c>
      <c r="H115" s="30">
        <v>12.0</v>
      </c>
      <c r="I115" s="30">
        <f>MAX(1,ROUND(H115^Guida!$B$18*Guida!$F$13,0))</f>
        <v>8</v>
      </c>
      <c r="J115" s="30">
        <f t="shared" si="2"/>
        <v>10</v>
      </c>
      <c r="K115" s="25" t="str">
        <f t="shared" si="3"/>
        <v>3a fascia</v>
      </c>
      <c r="L115" s="25" t="s">
        <v>226</v>
      </c>
      <c r="M115" s="29" t="s">
        <v>277</v>
      </c>
      <c r="N115" s="25" t="s">
        <v>71</v>
      </c>
      <c r="O115" s="25" t="s">
        <v>71</v>
      </c>
      <c r="P115" s="30">
        <v>19.0</v>
      </c>
      <c r="Q115" s="32">
        <v>5.92</v>
      </c>
      <c r="R115" s="32">
        <v>5.95</v>
      </c>
      <c r="S115" s="30">
        <v>0.0</v>
      </c>
      <c r="T115" s="30">
        <v>2.0</v>
      </c>
      <c r="U115" s="25" t="s">
        <v>72</v>
      </c>
      <c r="V115" s="30">
        <v>4.0</v>
      </c>
      <c r="W115" s="30">
        <v>0.0</v>
      </c>
      <c r="X115" s="30">
        <v>2.0</v>
      </c>
      <c r="Y115" s="32">
        <v>6.0</v>
      </c>
      <c r="Z115" s="32">
        <v>6.0</v>
      </c>
      <c r="AA115" s="30">
        <v>0.0</v>
      </c>
      <c r="AB115" s="30">
        <v>0.0</v>
      </c>
      <c r="AC115" s="25" t="s">
        <v>185</v>
      </c>
      <c r="AD115" s="25" t="s">
        <v>73</v>
      </c>
      <c r="AE115" s="32">
        <f t="shared" si="4"/>
        <v>5.84</v>
      </c>
      <c r="AF115" s="29" t="s">
        <v>106</v>
      </c>
      <c r="AG115" s="30">
        <v>7.0</v>
      </c>
      <c r="AH115" s="30">
        <f t="shared" si="5"/>
        <v>118</v>
      </c>
      <c r="AI115" s="29"/>
    </row>
    <row r="116" ht="15.75" customHeight="1">
      <c r="A116" s="11">
        <f t="shared" si="1"/>
        <v>113</v>
      </c>
      <c r="B116" s="16">
        <f>ROUND(Guida!$B$22*H116/Guida!$B$30+Guida!$B$23*MAX(0,MIN(1,(AE116-5.4)/1.6))+Guida!$B$24*0+Guida!$B$25*0,1)</f>
        <v>9.2</v>
      </c>
      <c r="C116" s="17" t="s">
        <v>982</v>
      </c>
      <c r="D116" s="11" t="s">
        <v>93</v>
      </c>
      <c r="E116" s="18" t="s">
        <v>403</v>
      </c>
      <c r="F116" s="19">
        <v>6.0</v>
      </c>
      <c r="G116" s="19">
        <v>6.0</v>
      </c>
      <c r="H116" s="19">
        <v>17.0</v>
      </c>
      <c r="I116" s="19">
        <f>MAX(1,ROUND(H116^Guida!$B$18*Guida!$F$13,0))</f>
        <v>10</v>
      </c>
      <c r="J116" s="19">
        <f t="shared" si="2"/>
        <v>12</v>
      </c>
      <c r="K116" s="11" t="str">
        <f t="shared" si="3"/>
        <v>3a fascia</v>
      </c>
      <c r="L116" s="11" t="s">
        <v>332</v>
      </c>
      <c r="M116" s="18" t="s">
        <v>408</v>
      </c>
      <c r="N116" s="11" t="s">
        <v>71</v>
      </c>
      <c r="O116" s="11" t="s">
        <v>71</v>
      </c>
      <c r="P116" s="19">
        <v>12.0</v>
      </c>
      <c r="Q116" s="22">
        <v>5.96</v>
      </c>
      <c r="R116" s="22">
        <v>5.96</v>
      </c>
      <c r="S116" s="19">
        <v>0.0</v>
      </c>
      <c r="T116" s="19">
        <v>0.0</v>
      </c>
      <c r="U116" s="11" t="s">
        <v>72</v>
      </c>
      <c r="V116" s="19">
        <v>1.0</v>
      </c>
      <c r="W116" s="19">
        <v>0.0</v>
      </c>
      <c r="X116" s="19">
        <v>1.0</v>
      </c>
      <c r="Y116" s="22">
        <v>6.0</v>
      </c>
      <c r="Z116" s="22">
        <v>6.0</v>
      </c>
      <c r="AA116" s="19">
        <v>0.0</v>
      </c>
      <c r="AB116" s="19">
        <v>0.0</v>
      </c>
      <c r="AC116" s="11" t="s">
        <v>93</v>
      </c>
      <c r="AD116" s="11" t="s">
        <v>73</v>
      </c>
      <c r="AE116" s="22">
        <f t="shared" si="4"/>
        <v>5.72</v>
      </c>
      <c r="AF116" s="18" t="s">
        <v>363</v>
      </c>
      <c r="AG116" s="19">
        <v>0.0</v>
      </c>
      <c r="AH116" s="19">
        <f t="shared" si="5"/>
        <v>88</v>
      </c>
      <c r="AI116" s="18"/>
    </row>
    <row r="117" ht="15.75" customHeight="1">
      <c r="A117" s="25">
        <f t="shared" si="1"/>
        <v>114</v>
      </c>
      <c r="B117" s="27">
        <f>ROUND(Guida!$B$22*H117/Guida!$B$30+Guida!$B$23*MAX(0,MIN(1,(AE117-5.4)/1.6))+Guida!$B$24*0+Guida!$B$25*0,1)</f>
        <v>9.1</v>
      </c>
      <c r="C117" s="28" t="s">
        <v>691</v>
      </c>
      <c r="D117" s="25" t="s">
        <v>195</v>
      </c>
      <c r="E117" s="29" t="s">
        <v>198</v>
      </c>
      <c r="F117" s="30">
        <v>5.0</v>
      </c>
      <c r="G117" s="30">
        <v>5.0</v>
      </c>
      <c r="H117" s="30">
        <v>13.0</v>
      </c>
      <c r="I117" s="30">
        <f>MAX(1,ROUND(H117^Guida!$B$18*Guida!$F$13,0))</f>
        <v>8</v>
      </c>
      <c r="J117" s="30">
        <f t="shared" si="2"/>
        <v>10</v>
      </c>
      <c r="K117" s="25" t="str">
        <f t="shared" si="3"/>
        <v>3a fascia</v>
      </c>
      <c r="L117" s="25" t="s">
        <v>332</v>
      </c>
      <c r="M117" s="36" t="s">
        <v>284</v>
      </c>
      <c r="N117" s="25" t="s">
        <v>71</v>
      </c>
      <c r="O117" s="25" t="s">
        <v>71</v>
      </c>
      <c r="P117" s="30">
        <v>21.0</v>
      </c>
      <c r="Q117" s="32">
        <v>5.69</v>
      </c>
      <c r="R117" s="32">
        <v>5.83</v>
      </c>
      <c r="S117" s="30">
        <v>1.0</v>
      </c>
      <c r="T117" s="30">
        <v>0.0</v>
      </c>
      <c r="U117" s="25" t="s">
        <v>72</v>
      </c>
      <c r="V117" s="30">
        <v>0.0</v>
      </c>
      <c r="W117" s="30">
        <v>0.0</v>
      </c>
      <c r="X117" s="30">
        <v>1.0</v>
      </c>
      <c r="Y117" s="32">
        <v>5.5</v>
      </c>
      <c r="Z117" s="32">
        <v>5.5</v>
      </c>
      <c r="AA117" s="30">
        <v>0.0</v>
      </c>
      <c r="AB117" s="30">
        <v>0.0</v>
      </c>
      <c r="AC117" s="25" t="s">
        <v>195</v>
      </c>
      <c r="AD117" s="25" t="s">
        <v>73</v>
      </c>
      <c r="AE117" s="32">
        <f t="shared" si="4"/>
        <v>5.78</v>
      </c>
      <c r="AF117" s="29" t="s">
        <v>320</v>
      </c>
      <c r="AG117" s="30">
        <v>0.0</v>
      </c>
      <c r="AH117" s="30">
        <f t="shared" si="5"/>
        <v>114</v>
      </c>
      <c r="AI117" s="29" t="s">
        <v>693</v>
      </c>
    </row>
    <row r="118" ht="15.75" customHeight="1">
      <c r="A118" s="11">
        <f t="shared" si="1"/>
        <v>114</v>
      </c>
      <c r="B118" s="16">
        <f>ROUND(Guida!$B$22*H118/Guida!$B$30+Guida!$B$23*MAX(0,MIN(1,(AE118-5.4)/1.6))+Guida!$B$24*0+Guida!$B$25*0,1)</f>
        <v>9.1</v>
      </c>
      <c r="C118" s="17" t="s">
        <v>986</v>
      </c>
      <c r="D118" s="11" t="s">
        <v>239</v>
      </c>
      <c r="E118" s="18" t="s">
        <v>69</v>
      </c>
      <c r="F118" s="19">
        <v>3.0</v>
      </c>
      <c r="G118" s="19">
        <v>3.0</v>
      </c>
      <c r="H118" s="19">
        <v>8.0</v>
      </c>
      <c r="I118" s="19">
        <f>MAX(1,ROUND(H118^Guida!$B$18*Guida!$F$13,0))</f>
        <v>6</v>
      </c>
      <c r="J118" s="19">
        <f t="shared" si="2"/>
        <v>7</v>
      </c>
      <c r="K118" s="11" t="str">
        <f t="shared" si="3"/>
        <v>4a fascia</v>
      </c>
      <c r="L118" s="11" t="s">
        <v>332</v>
      </c>
      <c r="M118" s="18" t="s">
        <v>392</v>
      </c>
      <c r="N118" s="11" t="s">
        <v>71</v>
      </c>
      <c r="O118" s="11" t="s">
        <v>71</v>
      </c>
      <c r="P118" s="19">
        <v>20.0</v>
      </c>
      <c r="Q118" s="22">
        <v>5.98</v>
      </c>
      <c r="R118" s="22">
        <v>5.95</v>
      </c>
      <c r="S118" s="19">
        <v>0.0</v>
      </c>
      <c r="T118" s="19">
        <v>1.0</v>
      </c>
      <c r="U118" s="11" t="s">
        <v>72</v>
      </c>
      <c r="V118" s="19">
        <v>3.0</v>
      </c>
      <c r="W118" s="19">
        <v>0.0</v>
      </c>
      <c r="X118" s="19">
        <v>2.0</v>
      </c>
      <c r="Y118" s="22">
        <v>5.75</v>
      </c>
      <c r="Z118" s="22">
        <v>5.5</v>
      </c>
      <c r="AA118" s="19">
        <v>0.0</v>
      </c>
      <c r="AB118" s="19">
        <v>0.0</v>
      </c>
      <c r="AC118" s="11" t="s">
        <v>239</v>
      </c>
      <c r="AD118" s="11" t="s">
        <v>73</v>
      </c>
      <c r="AE118" s="22">
        <f t="shared" si="4"/>
        <v>5.86</v>
      </c>
      <c r="AF118" s="18" t="s">
        <v>254</v>
      </c>
      <c r="AG118" s="19">
        <v>6.0</v>
      </c>
      <c r="AH118" s="19">
        <f t="shared" si="5"/>
        <v>154</v>
      </c>
      <c r="AI118" s="18"/>
    </row>
    <row r="119" ht="15.75" customHeight="1">
      <c r="A119" s="25">
        <f t="shared" si="1"/>
        <v>116</v>
      </c>
      <c r="B119" s="27">
        <f>ROUND(Guida!$B$22*H119/Guida!$B$30+Guida!$B$23*MAX(0,MIN(1,(AE119-5.4)/1.6))+Guida!$B$24*0+Guida!$B$25*0,1)</f>
        <v>9</v>
      </c>
      <c r="C119" s="28" t="s">
        <v>1034</v>
      </c>
      <c r="D119" s="25" t="s">
        <v>261</v>
      </c>
      <c r="E119" s="29" t="s">
        <v>403</v>
      </c>
      <c r="F119" s="30">
        <v>5.0</v>
      </c>
      <c r="G119" s="30">
        <v>6.0</v>
      </c>
      <c r="H119" s="30">
        <v>12.0</v>
      </c>
      <c r="I119" s="30">
        <f>MAX(1,ROUND(H119^Guida!$B$18*Guida!$F$13,0))</f>
        <v>8</v>
      </c>
      <c r="J119" s="30">
        <f t="shared" si="2"/>
        <v>10</v>
      </c>
      <c r="K119" s="25" t="str">
        <f t="shared" si="3"/>
        <v>3a fascia</v>
      </c>
      <c r="L119" s="25" t="s">
        <v>68</v>
      </c>
      <c r="M119" s="21" t="s">
        <v>100</v>
      </c>
      <c r="N119" s="25" t="s">
        <v>71</v>
      </c>
      <c r="O119" s="25" t="s">
        <v>71</v>
      </c>
      <c r="P119" s="30">
        <v>29.0</v>
      </c>
      <c r="Q119" s="32">
        <v>5.76</v>
      </c>
      <c r="R119" s="32">
        <v>5.79</v>
      </c>
      <c r="S119" s="30">
        <v>0.0</v>
      </c>
      <c r="T119" s="30">
        <v>2.0</v>
      </c>
      <c r="U119" s="25" t="s">
        <v>72</v>
      </c>
      <c r="V119" s="30">
        <v>2.0</v>
      </c>
      <c r="W119" s="30">
        <v>0.0</v>
      </c>
      <c r="X119" s="30">
        <v>2.0</v>
      </c>
      <c r="Y119" s="32">
        <v>6.25</v>
      </c>
      <c r="Z119" s="32">
        <v>6.25</v>
      </c>
      <c r="AA119" s="30">
        <v>0.0</v>
      </c>
      <c r="AB119" s="30">
        <v>0.0</v>
      </c>
      <c r="AC119" s="25" t="s">
        <v>734</v>
      </c>
      <c r="AD119" s="25" t="s">
        <v>103</v>
      </c>
      <c r="AE119" s="32">
        <f t="shared" si="4"/>
        <v>5.79</v>
      </c>
      <c r="AF119" s="29" t="s">
        <v>563</v>
      </c>
      <c r="AG119" s="30">
        <v>5.0</v>
      </c>
      <c r="AH119" s="30">
        <f t="shared" si="5"/>
        <v>118</v>
      </c>
      <c r="AI119" s="29"/>
    </row>
    <row r="120" ht="15.75" customHeight="1">
      <c r="A120" s="11">
        <f t="shared" si="1"/>
        <v>117</v>
      </c>
      <c r="B120" s="16">
        <f>ROUND(Guida!$B$22*H120/Guida!$B$30+Guida!$B$23*MAX(0,MIN(1,(AE120-5.4)/1.6))+Guida!$B$24*0+Guida!$B$25*0,1)</f>
        <v>8.8</v>
      </c>
      <c r="C120" s="17" t="s">
        <v>1014</v>
      </c>
      <c r="D120" s="11" t="s">
        <v>239</v>
      </c>
      <c r="E120" s="18" t="s">
        <v>69</v>
      </c>
      <c r="F120" s="19">
        <v>3.0</v>
      </c>
      <c r="G120" s="19">
        <v>3.0</v>
      </c>
      <c r="H120" s="19">
        <v>8.0</v>
      </c>
      <c r="I120" s="19">
        <f>MAX(1,ROUND(H120^Guida!$B$18*Guida!$F$13,0))</f>
        <v>6</v>
      </c>
      <c r="J120" s="19">
        <f t="shared" si="2"/>
        <v>7</v>
      </c>
      <c r="K120" s="11" t="str">
        <f t="shared" si="3"/>
        <v>4a fascia</v>
      </c>
      <c r="L120" s="11" t="s">
        <v>332</v>
      </c>
      <c r="M120" s="18" t="s">
        <v>338</v>
      </c>
      <c r="N120" s="11" t="s">
        <v>71</v>
      </c>
      <c r="O120" s="11" t="s">
        <v>71</v>
      </c>
      <c r="P120" s="19">
        <v>29.0</v>
      </c>
      <c r="Q120" s="22">
        <v>5.91</v>
      </c>
      <c r="R120" s="22">
        <v>5.84</v>
      </c>
      <c r="S120" s="19">
        <v>1.0</v>
      </c>
      <c r="T120" s="19">
        <v>0.0</v>
      </c>
      <c r="U120" s="11" t="s">
        <v>72</v>
      </c>
      <c r="V120" s="19">
        <v>10.0</v>
      </c>
      <c r="W120" s="19">
        <v>0.0</v>
      </c>
      <c r="X120" s="19">
        <v>0.0</v>
      </c>
      <c r="Y120" s="22"/>
      <c r="Z120" s="22"/>
      <c r="AA120" s="19"/>
      <c r="AB120" s="19"/>
      <c r="AC120" s="11" t="s">
        <v>361</v>
      </c>
      <c r="AD120" s="11" t="s">
        <v>103</v>
      </c>
      <c r="AE120" s="22">
        <f t="shared" si="4"/>
        <v>5.84</v>
      </c>
      <c r="AF120" s="18" t="s">
        <v>254</v>
      </c>
      <c r="AG120" s="19">
        <v>6.0</v>
      </c>
      <c r="AH120" s="19">
        <f t="shared" si="5"/>
        <v>154</v>
      </c>
      <c r="AI120" s="18"/>
    </row>
    <row r="121" ht="15.75" customHeight="1">
      <c r="A121" s="25">
        <f t="shared" si="1"/>
        <v>117</v>
      </c>
      <c r="B121" s="27">
        <f>ROUND(Guida!$B$22*H121/Guida!$B$30+Guida!$B$23*MAX(0,MIN(1,(AE121-5.4)/1.6))+Guida!$B$24*0+Guida!$B$25*0,1)</f>
        <v>8.8</v>
      </c>
      <c r="C121" s="28" t="s">
        <v>952</v>
      </c>
      <c r="D121" s="25" t="s">
        <v>212</v>
      </c>
      <c r="E121" s="29" t="s">
        <v>69</v>
      </c>
      <c r="F121" s="30">
        <v>4.0</v>
      </c>
      <c r="G121" s="30">
        <v>4.0</v>
      </c>
      <c r="H121" s="30">
        <v>8.0</v>
      </c>
      <c r="I121" s="30">
        <f>MAX(1,ROUND(H121^Guida!$B$18*Guida!$F$13,0))</f>
        <v>6</v>
      </c>
      <c r="J121" s="30">
        <f t="shared" si="2"/>
        <v>7</v>
      </c>
      <c r="K121" s="25" t="str">
        <f t="shared" si="3"/>
        <v>4a fascia</v>
      </c>
      <c r="L121" s="25" t="s">
        <v>332</v>
      </c>
      <c r="M121" s="29" t="s">
        <v>408</v>
      </c>
      <c r="N121" s="25" t="s">
        <v>71</v>
      </c>
      <c r="O121" s="25" t="s">
        <v>71</v>
      </c>
      <c r="P121" s="30">
        <v>17.0</v>
      </c>
      <c r="Q121" s="32">
        <v>5.82</v>
      </c>
      <c r="R121" s="32">
        <v>6.0</v>
      </c>
      <c r="S121" s="30">
        <v>1.0</v>
      </c>
      <c r="T121" s="30">
        <v>2.0</v>
      </c>
      <c r="U121" s="25" t="s">
        <v>72</v>
      </c>
      <c r="V121" s="30">
        <v>2.0</v>
      </c>
      <c r="W121" s="30">
        <v>1.0</v>
      </c>
      <c r="X121" s="30">
        <v>1.0</v>
      </c>
      <c r="Y121" s="32">
        <v>5.5</v>
      </c>
      <c r="Z121" s="32">
        <v>5.5</v>
      </c>
      <c r="AA121" s="30">
        <v>0.0</v>
      </c>
      <c r="AB121" s="30">
        <v>0.0</v>
      </c>
      <c r="AC121" s="25" t="s">
        <v>212</v>
      </c>
      <c r="AD121" s="25" t="s">
        <v>73</v>
      </c>
      <c r="AE121" s="32">
        <f t="shared" si="4"/>
        <v>5.84</v>
      </c>
      <c r="AF121" s="29" t="s">
        <v>275</v>
      </c>
      <c r="AG121" s="30">
        <v>0.0</v>
      </c>
      <c r="AH121" s="30">
        <f t="shared" si="5"/>
        <v>154</v>
      </c>
      <c r="AI121" s="29"/>
    </row>
    <row r="122" ht="15.75" customHeight="1">
      <c r="A122" s="11">
        <f t="shared" si="1"/>
        <v>117</v>
      </c>
      <c r="B122" s="16">
        <f>ROUND(Guida!$B$22*H122/Guida!$B$30+Guida!$B$23*MAX(0,MIN(1,(AE122-5.4)/1.6))+Guida!$B$24*0+Guida!$B$25*0,1)</f>
        <v>8.8</v>
      </c>
      <c r="C122" s="17" t="s">
        <v>993</v>
      </c>
      <c r="D122" s="11" t="s">
        <v>261</v>
      </c>
      <c r="E122" s="18" t="s">
        <v>69</v>
      </c>
      <c r="F122" s="19">
        <v>2.0</v>
      </c>
      <c r="G122" s="19">
        <v>3.0</v>
      </c>
      <c r="H122" s="19">
        <v>8.0</v>
      </c>
      <c r="I122" s="19">
        <f>MAX(1,ROUND(H122^Guida!$B$18*Guida!$F$13,0))</f>
        <v>6</v>
      </c>
      <c r="J122" s="19">
        <f t="shared" si="2"/>
        <v>7</v>
      </c>
      <c r="K122" s="11" t="str">
        <f t="shared" si="3"/>
        <v>4a fascia</v>
      </c>
      <c r="L122" s="11" t="s">
        <v>332</v>
      </c>
      <c r="M122" s="18" t="s">
        <v>473</v>
      </c>
      <c r="N122" s="11" t="s">
        <v>71</v>
      </c>
      <c r="O122" s="11" t="s">
        <v>71</v>
      </c>
      <c r="P122" s="19">
        <v>21.0</v>
      </c>
      <c r="Q122" s="22">
        <v>5.98</v>
      </c>
      <c r="R122" s="22">
        <v>5.9</v>
      </c>
      <c r="S122" s="19">
        <v>0.0</v>
      </c>
      <c r="T122" s="19">
        <v>1.0</v>
      </c>
      <c r="U122" s="11" t="s">
        <v>72</v>
      </c>
      <c r="V122" s="19">
        <v>5.0</v>
      </c>
      <c r="W122" s="19">
        <v>0.0</v>
      </c>
      <c r="X122" s="19">
        <v>2.0</v>
      </c>
      <c r="Y122" s="22">
        <v>6.25</v>
      </c>
      <c r="Z122" s="22">
        <v>6.25</v>
      </c>
      <c r="AA122" s="19">
        <v>0.0</v>
      </c>
      <c r="AB122" s="19">
        <v>0.0</v>
      </c>
      <c r="AC122" s="11" t="s">
        <v>177</v>
      </c>
      <c r="AD122" s="11" t="s">
        <v>103</v>
      </c>
      <c r="AE122" s="22">
        <f t="shared" si="4"/>
        <v>5.84</v>
      </c>
      <c r="AF122" s="18" t="s">
        <v>563</v>
      </c>
      <c r="AG122" s="19">
        <v>5.0</v>
      </c>
      <c r="AH122" s="19">
        <f t="shared" si="5"/>
        <v>154</v>
      </c>
      <c r="AI122" s="18"/>
    </row>
    <row r="123" ht="15.75" customHeight="1">
      <c r="A123" s="25">
        <f t="shared" si="1"/>
        <v>120</v>
      </c>
      <c r="B123" s="27">
        <f>ROUND(Guida!$B$22*H123/Guida!$B$30+Guida!$B$23*MAX(0,MIN(1,(AE123-5.4)/1.6))+Guida!$B$24*0+Guida!$B$25*0,1)</f>
        <v>8.6</v>
      </c>
      <c r="C123" s="28" t="s">
        <v>946</v>
      </c>
      <c r="D123" s="25" t="s">
        <v>253</v>
      </c>
      <c r="E123" s="29" t="s">
        <v>183</v>
      </c>
      <c r="F123" s="30">
        <v>3.0</v>
      </c>
      <c r="G123" s="30">
        <v>4.0</v>
      </c>
      <c r="H123" s="30">
        <v>12.0</v>
      </c>
      <c r="I123" s="30">
        <f>MAX(1,ROUND(H123^Guida!$B$18*Guida!$F$13,0))</f>
        <v>8</v>
      </c>
      <c r="J123" s="30">
        <f t="shared" si="2"/>
        <v>10</v>
      </c>
      <c r="K123" s="25" t="str">
        <f t="shared" si="3"/>
        <v>3a fascia</v>
      </c>
      <c r="L123" s="25" t="s">
        <v>332</v>
      </c>
      <c r="M123" s="29" t="s">
        <v>473</v>
      </c>
      <c r="N123" s="25" t="s">
        <v>71</v>
      </c>
      <c r="O123" s="25" t="s">
        <v>71</v>
      </c>
      <c r="P123" s="30">
        <v>12.0</v>
      </c>
      <c r="Q123" s="32">
        <v>5.83</v>
      </c>
      <c r="R123" s="32">
        <v>6.04</v>
      </c>
      <c r="S123" s="30">
        <v>0.0</v>
      </c>
      <c r="T123" s="30">
        <v>3.0</v>
      </c>
      <c r="U123" s="25" t="s">
        <v>72</v>
      </c>
      <c r="V123" s="30">
        <v>1.0</v>
      </c>
      <c r="W123" s="30">
        <v>0.0</v>
      </c>
      <c r="X123" s="30">
        <v>2.0</v>
      </c>
      <c r="Y123" s="32">
        <v>5.75</v>
      </c>
      <c r="Z123" s="32">
        <v>5.75</v>
      </c>
      <c r="AA123" s="30">
        <v>0.0</v>
      </c>
      <c r="AB123" s="30">
        <v>0.0</v>
      </c>
      <c r="AC123" s="25" t="s">
        <v>182</v>
      </c>
      <c r="AD123" s="25" t="s">
        <v>103</v>
      </c>
      <c r="AE123" s="32">
        <f t="shared" si="4"/>
        <v>5.76</v>
      </c>
      <c r="AF123" s="29" t="s">
        <v>216</v>
      </c>
      <c r="AG123" s="30">
        <v>4.0</v>
      </c>
      <c r="AH123" s="30">
        <f t="shared" si="5"/>
        <v>118</v>
      </c>
      <c r="AI123" s="29"/>
    </row>
    <row r="124" ht="15.75" customHeight="1">
      <c r="A124" s="11">
        <f t="shared" si="1"/>
        <v>120</v>
      </c>
      <c r="B124" s="16">
        <f>ROUND(Guida!$B$22*H124/Guida!$B$30+Guida!$B$23*MAX(0,MIN(1,(AE124-5.4)/1.6))+Guida!$B$24*0+Guida!$B$25*0,1)</f>
        <v>8.6</v>
      </c>
      <c r="C124" s="17" t="s">
        <v>1028</v>
      </c>
      <c r="D124" s="11" t="s">
        <v>272</v>
      </c>
      <c r="E124" s="18" t="s">
        <v>326</v>
      </c>
      <c r="F124" s="19">
        <v>6.0</v>
      </c>
      <c r="G124" s="19">
        <v>7.0</v>
      </c>
      <c r="H124" s="19">
        <v>11.0</v>
      </c>
      <c r="I124" s="19">
        <f>MAX(1,ROUND(H124^Guida!$B$18*Guida!$F$13,0))</f>
        <v>8</v>
      </c>
      <c r="J124" s="19">
        <f t="shared" si="2"/>
        <v>10</v>
      </c>
      <c r="K124" s="11" t="str">
        <f t="shared" si="3"/>
        <v>3a fascia</v>
      </c>
      <c r="L124" s="11" t="s">
        <v>68</v>
      </c>
      <c r="M124" s="18" t="s">
        <v>294</v>
      </c>
      <c r="N124" s="11" t="s">
        <v>71</v>
      </c>
      <c r="O124" s="11" t="s">
        <v>71</v>
      </c>
      <c r="P124" s="19">
        <v>23.0</v>
      </c>
      <c r="Q124" s="22">
        <v>5.8</v>
      </c>
      <c r="R124" s="22">
        <v>5.8</v>
      </c>
      <c r="S124" s="19">
        <v>0.0</v>
      </c>
      <c r="T124" s="19">
        <v>1.0</v>
      </c>
      <c r="U124" s="11" t="s">
        <v>72</v>
      </c>
      <c r="V124" s="19">
        <v>2.0</v>
      </c>
      <c r="W124" s="19">
        <v>0.0</v>
      </c>
      <c r="X124" s="19">
        <v>1.0</v>
      </c>
      <c r="Y124" s="22">
        <v>6.5</v>
      </c>
      <c r="Z124" s="22">
        <v>7.5</v>
      </c>
      <c r="AA124" s="19">
        <v>0.0</v>
      </c>
      <c r="AB124" s="19">
        <v>1.0</v>
      </c>
      <c r="AC124" s="11" t="s">
        <v>852</v>
      </c>
      <c r="AD124" s="11" t="s">
        <v>103</v>
      </c>
      <c r="AE124" s="22">
        <f t="shared" si="4"/>
        <v>5.78</v>
      </c>
      <c r="AF124" s="18" t="s">
        <v>644</v>
      </c>
      <c r="AG124" s="19">
        <v>6.0</v>
      </c>
      <c r="AH124" s="19">
        <f t="shared" si="5"/>
        <v>135</v>
      </c>
      <c r="AI124" s="18"/>
    </row>
    <row r="125" ht="15.75" customHeight="1">
      <c r="A125" s="25">
        <f t="shared" si="1"/>
        <v>122</v>
      </c>
      <c r="B125" s="27">
        <f>ROUND(Guida!$B$22*H125/Guida!$B$30+Guida!$B$23*MAX(0,MIN(1,(AE125-5.4)/1.6))+Guida!$B$24*0+Guida!$B$25*0.35,1)</f>
        <v>8.5</v>
      </c>
      <c r="C125" s="28" t="s">
        <v>1226</v>
      </c>
      <c r="D125" s="25" t="s">
        <v>239</v>
      </c>
      <c r="E125" s="29" t="s">
        <v>69</v>
      </c>
      <c r="F125" s="30">
        <v>5.0</v>
      </c>
      <c r="G125" s="30">
        <v>7.0</v>
      </c>
      <c r="H125" s="30">
        <v>21.0</v>
      </c>
      <c r="I125" s="30">
        <f>MAX(1,ROUND(H125^Guida!$B$18*Guida!$F$13,0))</f>
        <v>11</v>
      </c>
      <c r="J125" s="30">
        <f t="shared" si="2"/>
        <v>13</v>
      </c>
      <c r="K125" s="25" t="str">
        <f t="shared" si="3"/>
        <v>3a fascia</v>
      </c>
      <c r="L125" s="25" t="s">
        <v>68</v>
      </c>
      <c r="M125" s="21" t="s">
        <v>100</v>
      </c>
      <c r="N125" s="25" t="s">
        <v>71</v>
      </c>
      <c r="O125" s="25" t="s">
        <v>160</v>
      </c>
      <c r="P125" s="30"/>
      <c r="Q125" s="32"/>
      <c r="R125" s="32"/>
      <c r="S125" s="30"/>
      <c r="T125" s="30"/>
      <c r="U125" s="25"/>
      <c r="V125" s="30"/>
      <c r="W125" s="30"/>
      <c r="X125" s="30">
        <v>2.0</v>
      </c>
      <c r="Y125" s="32">
        <v>6.5</v>
      </c>
      <c r="Z125" s="32">
        <v>8.0</v>
      </c>
      <c r="AA125" s="30">
        <v>1.0</v>
      </c>
      <c r="AB125" s="30">
        <v>0.0</v>
      </c>
      <c r="AC125" s="25" t="s">
        <v>71</v>
      </c>
      <c r="AD125" s="25" t="s">
        <v>103</v>
      </c>
      <c r="AE125" s="32">
        <f t="shared" si="4"/>
        <v>5.5</v>
      </c>
      <c r="AF125" s="29" t="s">
        <v>254</v>
      </c>
      <c r="AG125" s="30">
        <v>6.0</v>
      </c>
      <c r="AH125" s="30">
        <f t="shared" si="5"/>
        <v>73</v>
      </c>
      <c r="AI125" s="29"/>
    </row>
    <row r="126" ht="15.75" customHeight="1">
      <c r="A126" s="11">
        <f t="shared" si="1"/>
        <v>123</v>
      </c>
      <c r="B126" s="16">
        <f>ROUND(Guida!$B$22*H126/Guida!$B$30+Guida!$B$23*MAX(0,MIN(1,(AE126-5.4)/1.6))+Guida!$B$24*0+Guida!$B$25*0,1)</f>
        <v>8.4</v>
      </c>
      <c r="C126" s="17" t="s">
        <v>1235</v>
      </c>
      <c r="D126" s="11" t="s">
        <v>182</v>
      </c>
      <c r="E126" s="18" t="s">
        <v>183</v>
      </c>
      <c r="F126" s="19">
        <v>8.0</v>
      </c>
      <c r="G126" s="19">
        <v>8.0</v>
      </c>
      <c r="H126" s="19">
        <v>28.0</v>
      </c>
      <c r="I126" s="19">
        <f>MAX(1,ROUND(H126^Guida!$B$18*Guida!$F$13,0))</f>
        <v>13</v>
      </c>
      <c r="J126" s="19">
        <f t="shared" si="2"/>
        <v>16</v>
      </c>
      <c r="K126" s="11" t="str">
        <f t="shared" si="3"/>
        <v>3a fascia</v>
      </c>
      <c r="L126" s="11" t="s">
        <v>68</v>
      </c>
      <c r="M126" s="37" t="s">
        <v>214</v>
      </c>
      <c r="N126" s="11" t="s">
        <v>71</v>
      </c>
      <c r="O126" s="11" t="s">
        <v>71</v>
      </c>
      <c r="P126" s="19"/>
      <c r="Q126" s="22"/>
      <c r="R126" s="22"/>
      <c r="S126" s="19"/>
      <c r="T126" s="19"/>
      <c r="U126" s="11"/>
      <c r="V126" s="19"/>
      <c r="W126" s="19"/>
      <c r="X126" s="19">
        <v>0.0</v>
      </c>
      <c r="Y126" s="22"/>
      <c r="Z126" s="22"/>
      <c r="AA126" s="19"/>
      <c r="AB126" s="19"/>
      <c r="AC126" s="11" t="s">
        <v>71</v>
      </c>
      <c r="AD126" s="11" t="s">
        <v>103</v>
      </c>
      <c r="AE126" s="22">
        <f t="shared" si="4"/>
        <v>5.5</v>
      </c>
      <c r="AF126" s="18" t="s">
        <v>176</v>
      </c>
      <c r="AG126" s="19">
        <v>6.0</v>
      </c>
      <c r="AH126" s="19">
        <f t="shared" si="5"/>
        <v>48</v>
      </c>
      <c r="AI126" s="18"/>
    </row>
    <row r="127" ht="15.75" customHeight="1">
      <c r="A127" s="25">
        <f t="shared" si="1"/>
        <v>124</v>
      </c>
      <c r="B127" s="27">
        <f>ROUND(Guida!$B$22*H127/Guida!$B$30+Guida!$B$23*MAX(0,MIN(1,(AE127-5.4)/1.6))+Guida!$B$24*0+Guida!$B$25*0.6,1)</f>
        <v>8.2</v>
      </c>
      <c r="C127" s="28" t="s">
        <v>1244</v>
      </c>
      <c r="D127" s="25" t="s">
        <v>272</v>
      </c>
      <c r="E127" s="29" t="s">
        <v>222</v>
      </c>
      <c r="F127" s="30">
        <v>8.0</v>
      </c>
      <c r="G127" s="30">
        <v>9.0</v>
      </c>
      <c r="H127" s="30">
        <v>15.0</v>
      </c>
      <c r="I127" s="30">
        <f>MAX(1,ROUND(H127^Guida!$B$18*Guida!$F$13,0))</f>
        <v>9</v>
      </c>
      <c r="J127" s="30">
        <f t="shared" si="2"/>
        <v>11</v>
      </c>
      <c r="K127" s="25" t="str">
        <f t="shared" si="3"/>
        <v>3a fascia</v>
      </c>
      <c r="L127" s="25" t="s">
        <v>68</v>
      </c>
      <c r="M127" s="21" t="s">
        <v>100</v>
      </c>
      <c r="N127" s="25" t="s">
        <v>71</v>
      </c>
      <c r="O127" s="25" t="s">
        <v>77</v>
      </c>
      <c r="P127" s="30"/>
      <c r="Q127" s="32"/>
      <c r="R127" s="32"/>
      <c r="S127" s="30"/>
      <c r="T127" s="30"/>
      <c r="U127" s="25"/>
      <c r="V127" s="30"/>
      <c r="W127" s="30"/>
      <c r="X127" s="30">
        <v>2.0</v>
      </c>
      <c r="Y127" s="32">
        <v>5.75</v>
      </c>
      <c r="Z127" s="32">
        <v>7.25</v>
      </c>
      <c r="AA127" s="30">
        <v>1.0</v>
      </c>
      <c r="AB127" s="30">
        <v>0.0</v>
      </c>
      <c r="AC127" s="25" t="s">
        <v>71</v>
      </c>
      <c r="AD127" s="25" t="s">
        <v>103</v>
      </c>
      <c r="AE127" s="32">
        <f t="shared" si="4"/>
        <v>5.5</v>
      </c>
      <c r="AF127" s="29" t="s">
        <v>644</v>
      </c>
      <c r="AG127" s="30">
        <v>6.0</v>
      </c>
      <c r="AH127" s="30">
        <f t="shared" si="5"/>
        <v>99</v>
      </c>
      <c r="AI127" s="29"/>
    </row>
    <row r="128" ht="15.75" customHeight="1">
      <c r="A128" s="11">
        <f t="shared" si="1"/>
        <v>125</v>
      </c>
      <c r="B128" s="16">
        <f>ROUND(Guida!$B$22*H128/Guida!$B$30+Guida!$B$23*MAX(0,MIN(1,(AE128-5.4)/1.6))+Guida!$B$24*0+Guida!$B$25*0,1)</f>
        <v>8.1</v>
      </c>
      <c r="C128" s="17" t="s">
        <v>1024</v>
      </c>
      <c r="D128" s="11" t="s">
        <v>283</v>
      </c>
      <c r="E128" s="18" t="s">
        <v>69</v>
      </c>
      <c r="F128" s="19">
        <v>2.0</v>
      </c>
      <c r="G128" s="19">
        <v>3.0</v>
      </c>
      <c r="H128" s="19">
        <v>10.0</v>
      </c>
      <c r="I128" s="19">
        <f>MAX(1,ROUND(H128^Guida!$B$18*Guida!$F$13,0))</f>
        <v>7</v>
      </c>
      <c r="J128" s="19">
        <f t="shared" si="2"/>
        <v>8</v>
      </c>
      <c r="K128" s="11" t="str">
        <f t="shared" si="3"/>
        <v>3a fascia</v>
      </c>
      <c r="L128" s="11" t="s">
        <v>332</v>
      </c>
      <c r="M128" s="18" t="s">
        <v>392</v>
      </c>
      <c r="N128" s="11" t="s">
        <v>71</v>
      </c>
      <c r="O128" s="11" t="s">
        <v>71</v>
      </c>
      <c r="P128" s="19">
        <v>21.0</v>
      </c>
      <c r="Q128" s="22">
        <v>5.79</v>
      </c>
      <c r="R128" s="22">
        <v>5.81</v>
      </c>
      <c r="S128" s="19">
        <v>1.0</v>
      </c>
      <c r="T128" s="19">
        <v>0.0</v>
      </c>
      <c r="U128" s="11" t="s">
        <v>72</v>
      </c>
      <c r="V128" s="19">
        <v>3.0</v>
      </c>
      <c r="W128" s="19">
        <v>1.0</v>
      </c>
      <c r="X128" s="19">
        <v>2.0</v>
      </c>
      <c r="Y128" s="22">
        <v>6.0</v>
      </c>
      <c r="Z128" s="22">
        <v>6.0</v>
      </c>
      <c r="AA128" s="19">
        <v>0.0</v>
      </c>
      <c r="AB128" s="19">
        <v>0.0</v>
      </c>
      <c r="AC128" s="11" t="s">
        <v>283</v>
      </c>
      <c r="AD128" s="11" t="s">
        <v>73</v>
      </c>
      <c r="AE128" s="22">
        <f t="shared" si="4"/>
        <v>5.76</v>
      </c>
      <c r="AF128" s="18" t="s">
        <v>397</v>
      </c>
      <c r="AG128" s="19">
        <v>4.0</v>
      </c>
      <c r="AH128" s="19">
        <f t="shared" si="5"/>
        <v>143</v>
      </c>
      <c r="AI128" s="18"/>
    </row>
    <row r="129" ht="15.75" customHeight="1">
      <c r="A129" s="25">
        <f t="shared" si="1"/>
        <v>125</v>
      </c>
      <c r="B129" s="27">
        <f>ROUND(Guida!$B$22*H129/Guida!$B$30+Guida!$B$23*MAX(0,MIN(1,(AE129-5.4)/1.6))+Guida!$B$24*0+Guida!$B$25*0,1)</f>
        <v>8.1</v>
      </c>
      <c r="C129" s="28" t="s">
        <v>994</v>
      </c>
      <c r="D129" s="25" t="s">
        <v>253</v>
      </c>
      <c r="E129" s="29" t="s">
        <v>69</v>
      </c>
      <c r="F129" s="30">
        <v>2.0</v>
      </c>
      <c r="G129" s="30">
        <v>2.0</v>
      </c>
      <c r="H129" s="30">
        <v>5.0</v>
      </c>
      <c r="I129" s="30">
        <f>MAX(1,ROUND(H129^Guida!$B$18*Guida!$F$13,0))</f>
        <v>5</v>
      </c>
      <c r="J129" s="30">
        <f t="shared" si="2"/>
        <v>6</v>
      </c>
      <c r="K129" s="25" t="str">
        <f t="shared" si="3"/>
        <v>4a fascia</v>
      </c>
      <c r="L129" s="25" t="s">
        <v>332</v>
      </c>
      <c r="M129" s="29" t="s">
        <v>333</v>
      </c>
      <c r="N129" s="25" t="s">
        <v>71</v>
      </c>
      <c r="O129" s="25" t="s">
        <v>71</v>
      </c>
      <c r="P129" s="30">
        <v>21.0</v>
      </c>
      <c r="Q129" s="32">
        <v>5.93</v>
      </c>
      <c r="R129" s="32">
        <v>5.9</v>
      </c>
      <c r="S129" s="30">
        <v>0.0</v>
      </c>
      <c r="T129" s="30">
        <v>1.0</v>
      </c>
      <c r="U129" s="25" t="s">
        <v>72</v>
      </c>
      <c r="V129" s="30">
        <v>3.0</v>
      </c>
      <c r="W129" s="30">
        <v>0.0</v>
      </c>
      <c r="X129" s="30">
        <v>0.0</v>
      </c>
      <c r="Y129" s="32"/>
      <c r="Z129" s="32"/>
      <c r="AA129" s="30"/>
      <c r="AB129" s="30"/>
      <c r="AC129" s="25" t="s">
        <v>253</v>
      </c>
      <c r="AD129" s="25" t="s">
        <v>73</v>
      </c>
      <c r="AE129" s="32">
        <f t="shared" si="4"/>
        <v>5.84</v>
      </c>
      <c r="AF129" s="29" t="s">
        <v>216</v>
      </c>
      <c r="AG129" s="30">
        <v>4.0</v>
      </c>
      <c r="AH129" s="30">
        <f t="shared" si="5"/>
        <v>168</v>
      </c>
      <c r="AI129" s="29"/>
    </row>
    <row r="130" ht="15.75" customHeight="1">
      <c r="A130" s="11">
        <f t="shared" si="1"/>
        <v>127</v>
      </c>
      <c r="B130" s="16">
        <f>ROUND(Guida!$B$22*H130/Guida!$B$30+Guida!$B$23*MAX(0,MIN(1,(AE130-5.4)/1.6))+Guida!$B$24*0+Guida!$B$25*0,1)</f>
        <v>7.7</v>
      </c>
      <c r="C130" s="17" t="s">
        <v>1268</v>
      </c>
      <c r="D130" s="11" t="s">
        <v>175</v>
      </c>
      <c r="E130" s="18" t="s">
        <v>183</v>
      </c>
      <c r="F130" s="19">
        <v>8.0</v>
      </c>
      <c r="G130" s="19">
        <v>8.0</v>
      </c>
      <c r="H130" s="19">
        <v>25.0</v>
      </c>
      <c r="I130" s="19">
        <f>MAX(1,ROUND(H130^Guida!$B$18*Guida!$F$13,0))</f>
        <v>12</v>
      </c>
      <c r="J130" s="19">
        <f t="shared" si="2"/>
        <v>14</v>
      </c>
      <c r="K130" s="11" t="str">
        <f t="shared" si="3"/>
        <v>3a fascia</v>
      </c>
      <c r="L130" s="11" t="s">
        <v>226</v>
      </c>
      <c r="M130" s="18" t="s">
        <v>227</v>
      </c>
      <c r="N130" s="11" t="s">
        <v>71</v>
      </c>
      <c r="O130" s="11" t="s">
        <v>71</v>
      </c>
      <c r="P130" s="19"/>
      <c r="Q130" s="22"/>
      <c r="R130" s="22"/>
      <c r="S130" s="19"/>
      <c r="T130" s="19"/>
      <c r="U130" s="11"/>
      <c r="V130" s="19"/>
      <c r="W130" s="19"/>
      <c r="X130" s="19">
        <v>0.0</v>
      </c>
      <c r="Y130" s="22"/>
      <c r="Z130" s="22"/>
      <c r="AA130" s="19"/>
      <c r="AB130" s="19"/>
      <c r="AC130" s="11" t="s">
        <v>71</v>
      </c>
      <c r="AD130" s="11" t="s">
        <v>103</v>
      </c>
      <c r="AE130" s="22">
        <f t="shared" si="4"/>
        <v>5.5</v>
      </c>
      <c r="AF130" s="18" t="s">
        <v>216</v>
      </c>
      <c r="AG130" s="19">
        <v>0.0</v>
      </c>
      <c r="AH130" s="19">
        <f t="shared" si="5"/>
        <v>54</v>
      </c>
      <c r="AI130" s="18"/>
    </row>
    <row r="131" ht="15.75" customHeight="1">
      <c r="A131" s="25">
        <f t="shared" si="1"/>
        <v>127</v>
      </c>
      <c r="B131" s="27">
        <f>ROUND(Guida!$B$22*H131/Guida!$B$30+Guida!$B$23*MAX(0,MIN(1,(AE131-5.4)/1.6))+Guida!$B$24*0+Guida!$B$25*0,1)</f>
        <v>7.7</v>
      </c>
      <c r="C131" s="28" t="s">
        <v>1275</v>
      </c>
      <c r="D131" s="25" t="s">
        <v>93</v>
      </c>
      <c r="E131" s="29" t="s">
        <v>69</v>
      </c>
      <c r="F131" s="30">
        <v>7.0</v>
      </c>
      <c r="G131" s="30">
        <v>7.0</v>
      </c>
      <c r="H131" s="30">
        <v>25.0</v>
      </c>
      <c r="I131" s="30">
        <f>MAX(1,ROUND(H131^Guida!$B$18*Guida!$F$13,0))</f>
        <v>12</v>
      </c>
      <c r="J131" s="30">
        <f t="shared" si="2"/>
        <v>14</v>
      </c>
      <c r="K131" s="25" t="str">
        <f t="shared" si="3"/>
        <v>3a fascia</v>
      </c>
      <c r="L131" s="25" t="s">
        <v>332</v>
      </c>
      <c r="M131" s="29" t="s">
        <v>338</v>
      </c>
      <c r="N131" s="25" t="s">
        <v>71</v>
      </c>
      <c r="O131" s="25" t="s">
        <v>71</v>
      </c>
      <c r="P131" s="30"/>
      <c r="Q131" s="32"/>
      <c r="R131" s="32"/>
      <c r="S131" s="30"/>
      <c r="T131" s="30"/>
      <c r="U131" s="25"/>
      <c r="V131" s="30"/>
      <c r="W131" s="30"/>
      <c r="X131" s="30">
        <v>0.0</v>
      </c>
      <c r="Y131" s="32"/>
      <c r="Z131" s="32"/>
      <c r="AA131" s="30"/>
      <c r="AB131" s="30"/>
      <c r="AC131" s="25" t="s">
        <v>71</v>
      </c>
      <c r="AD131" s="25" t="s">
        <v>103</v>
      </c>
      <c r="AE131" s="32">
        <f t="shared" si="4"/>
        <v>5.5</v>
      </c>
      <c r="AF131" s="29" t="s">
        <v>363</v>
      </c>
      <c r="AG131" s="30">
        <v>0.0</v>
      </c>
      <c r="AH131" s="30">
        <f t="shared" si="5"/>
        <v>54</v>
      </c>
      <c r="AI131" s="29"/>
    </row>
    <row r="132" ht="15.75" customHeight="1">
      <c r="A132" s="11">
        <f t="shared" si="1"/>
        <v>129</v>
      </c>
      <c r="B132" s="16">
        <f>ROUND(Guida!$B$22*H132/Guida!$B$30+Guida!$B$23*MAX(0,MIN(1,(AE132-5.4)/1.6))+Guida!$B$24*0+Guida!$B$25*0,1)</f>
        <v>7.4</v>
      </c>
      <c r="C132" s="17" t="s">
        <v>1282</v>
      </c>
      <c r="D132" s="11" t="s">
        <v>212</v>
      </c>
      <c r="E132" s="18" t="s">
        <v>65</v>
      </c>
      <c r="F132" s="19">
        <v>5.0</v>
      </c>
      <c r="G132" s="19">
        <v>6.0</v>
      </c>
      <c r="H132" s="19">
        <v>24.0</v>
      </c>
      <c r="I132" s="19">
        <f>MAX(1,ROUND(H132^Guida!$B$18*Guida!$F$13,0))</f>
        <v>12</v>
      </c>
      <c r="J132" s="19">
        <f t="shared" si="2"/>
        <v>14</v>
      </c>
      <c r="K132" s="11" t="str">
        <f t="shared" si="3"/>
        <v>3a fascia</v>
      </c>
      <c r="L132" s="11" t="s">
        <v>68</v>
      </c>
      <c r="M132" s="21" t="s">
        <v>100</v>
      </c>
      <c r="N132" s="11" t="s">
        <v>71</v>
      </c>
      <c r="O132" s="11" t="s">
        <v>71</v>
      </c>
      <c r="P132" s="19"/>
      <c r="Q132" s="22"/>
      <c r="R132" s="22"/>
      <c r="S132" s="19"/>
      <c r="T132" s="19"/>
      <c r="U132" s="11"/>
      <c r="V132" s="19"/>
      <c r="W132" s="19"/>
      <c r="X132" s="19">
        <v>2.0</v>
      </c>
      <c r="Y132" s="22">
        <v>6.0</v>
      </c>
      <c r="Z132" s="22">
        <v>6.5</v>
      </c>
      <c r="AA132" s="19">
        <v>0.0</v>
      </c>
      <c r="AB132" s="19">
        <v>1.0</v>
      </c>
      <c r="AC132" s="11" t="s">
        <v>71</v>
      </c>
      <c r="AD132" s="11" t="s">
        <v>103</v>
      </c>
      <c r="AE132" s="22">
        <f t="shared" si="4"/>
        <v>5.5</v>
      </c>
      <c r="AF132" s="18" t="s">
        <v>275</v>
      </c>
      <c r="AG132" s="19">
        <v>0.0</v>
      </c>
      <c r="AH132" s="19">
        <f t="shared" si="5"/>
        <v>61</v>
      </c>
      <c r="AI132" s="18"/>
    </row>
    <row r="133" ht="15.75" customHeight="1">
      <c r="A133" s="25">
        <f t="shared" si="1"/>
        <v>129</v>
      </c>
      <c r="B133" s="27">
        <f>ROUND(Guida!$B$22*H133/Guida!$B$30+Guida!$B$23*MAX(0,MIN(1,(AE133-5.4)/1.6))+Guida!$B$24*0+Guida!$B$25*0,1)</f>
        <v>7.4</v>
      </c>
      <c r="C133" s="28" t="s">
        <v>1292</v>
      </c>
      <c r="D133" s="25" t="s">
        <v>175</v>
      </c>
      <c r="E133" s="29" t="s">
        <v>387</v>
      </c>
      <c r="F133" s="30">
        <v>3.0</v>
      </c>
      <c r="G133" s="30">
        <v>5.0</v>
      </c>
      <c r="H133" s="30">
        <v>24.0</v>
      </c>
      <c r="I133" s="30">
        <f>MAX(1,ROUND(H133^Guida!$B$18*Guida!$F$13,0))</f>
        <v>12</v>
      </c>
      <c r="J133" s="30">
        <f t="shared" si="2"/>
        <v>14</v>
      </c>
      <c r="K133" s="25" t="str">
        <f t="shared" si="3"/>
        <v>3a fascia</v>
      </c>
      <c r="L133" s="25" t="s">
        <v>332</v>
      </c>
      <c r="M133" s="29" t="s">
        <v>473</v>
      </c>
      <c r="N133" s="25" t="s">
        <v>71</v>
      </c>
      <c r="O133" s="25" t="s">
        <v>71</v>
      </c>
      <c r="P133" s="30"/>
      <c r="Q133" s="32"/>
      <c r="R133" s="32"/>
      <c r="S133" s="30"/>
      <c r="T133" s="30"/>
      <c r="U133" s="25"/>
      <c r="V133" s="30"/>
      <c r="W133" s="30"/>
      <c r="X133" s="30">
        <v>2.0</v>
      </c>
      <c r="Y133" s="32">
        <v>6.25</v>
      </c>
      <c r="Z133" s="32">
        <v>7.75</v>
      </c>
      <c r="AA133" s="30">
        <v>1.0</v>
      </c>
      <c r="AB133" s="30">
        <v>0.0</v>
      </c>
      <c r="AC133" s="25" t="s">
        <v>71</v>
      </c>
      <c r="AD133" s="25" t="s">
        <v>103</v>
      </c>
      <c r="AE133" s="32">
        <f t="shared" si="4"/>
        <v>5.5</v>
      </c>
      <c r="AF133" s="29" t="s">
        <v>216</v>
      </c>
      <c r="AG133" s="30">
        <v>0.0</v>
      </c>
      <c r="AH133" s="30">
        <f t="shared" si="5"/>
        <v>61</v>
      </c>
      <c r="AI133" s="29"/>
    </row>
    <row r="134" ht="15.75" customHeight="1">
      <c r="A134" s="11">
        <f t="shared" si="1"/>
        <v>129</v>
      </c>
      <c r="B134" s="16">
        <f>ROUND(Guida!$B$22*H134/Guida!$B$30+Guida!$B$23*MAX(0,MIN(1,(AE134-5.4)/1.6))+Guida!$B$24*0+Guida!$B$25*0,1)</f>
        <v>7.4</v>
      </c>
      <c r="C134" s="17" t="s">
        <v>939</v>
      </c>
      <c r="D134" s="11" t="s">
        <v>283</v>
      </c>
      <c r="E134" s="18" t="s">
        <v>183</v>
      </c>
      <c r="F134" s="19">
        <v>4.0</v>
      </c>
      <c r="G134" s="19">
        <v>4.0</v>
      </c>
      <c r="H134" s="19">
        <v>11.0</v>
      </c>
      <c r="I134" s="19">
        <f>MAX(1,ROUND(H134^Guida!$B$18*Guida!$F$13,0))</f>
        <v>8</v>
      </c>
      <c r="J134" s="19">
        <f t="shared" si="2"/>
        <v>10</v>
      </c>
      <c r="K134" s="11" t="str">
        <f t="shared" si="3"/>
        <v>3a fascia</v>
      </c>
      <c r="L134" s="11" t="s">
        <v>68</v>
      </c>
      <c r="M134" s="18" t="s">
        <v>148</v>
      </c>
      <c r="N134" s="11" t="s">
        <v>71</v>
      </c>
      <c r="O134" s="11" t="s">
        <v>71</v>
      </c>
      <c r="P134" s="19">
        <v>9.0</v>
      </c>
      <c r="Q134" s="22">
        <v>5.94</v>
      </c>
      <c r="R134" s="22">
        <v>6.06</v>
      </c>
      <c r="S134" s="19">
        <v>0.0</v>
      </c>
      <c r="T134" s="19">
        <v>1.0</v>
      </c>
      <c r="U134" s="11" t="s">
        <v>72</v>
      </c>
      <c r="V134" s="19">
        <v>0.0</v>
      </c>
      <c r="W134" s="19">
        <v>0.0</v>
      </c>
      <c r="X134" s="19">
        <v>1.0</v>
      </c>
      <c r="Y134" s="22">
        <v>6.0</v>
      </c>
      <c r="Z134" s="22">
        <v>6.0</v>
      </c>
      <c r="AA134" s="19">
        <v>0.0</v>
      </c>
      <c r="AB134" s="19">
        <v>0.0</v>
      </c>
      <c r="AC134" s="11" t="s">
        <v>283</v>
      </c>
      <c r="AD134" s="11" t="s">
        <v>73</v>
      </c>
      <c r="AE134" s="22">
        <f t="shared" si="4"/>
        <v>5.7</v>
      </c>
      <c r="AF134" s="18" t="s">
        <v>397</v>
      </c>
      <c r="AG134" s="19">
        <v>4.0</v>
      </c>
      <c r="AH134" s="19">
        <f t="shared" si="5"/>
        <v>135</v>
      </c>
      <c r="AI134" s="18"/>
    </row>
    <row r="135" ht="15.75" customHeight="1">
      <c r="A135" s="25">
        <f t="shared" si="1"/>
        <v>132</v>
      </c>
      <c r="B135" s="27">
        <f>ROUND(Guida!$B$22*H135/Guida!$B$30+Guida!$B$23*MAX(0,MIN(1,(AE135-5.4)/1.6))+Guida!$B$24*0+Guida!$B$25*0,1)</f>
        <v>7.2</v>
      </c>
      <c r="C135" s="28" t="s">
        <v>1309</v>
      </c>
      <c r="D135" s="25" t="s">
        <v>232</v>
      </c>
      <c r="E135" s="29" t="s">
        <v>183</v>
      </c>
      <c r="F135" s="30">
        <v>7.0</v>
      </c>
      <c r="G135" s="30">
        <v>7.0</v>
      </c>
      <c r="H135" s="30">
        <v>23.0</v>
      </c>
      <c r="I135" s="30">
        <f>MAX(1,ROUND(H135^Guida!$B$18*Guida!$F$13,0))</f>
        <v>12</v>
      </c>
      <c r="J135" s="30">
        <f t="shared" si="2"/>
        <v>14</v>
      </c>
      <c r="K135" s="25" t="str">
        <f t="shared" si="3"/>
        <v>3a fascia</v>
      </c>
      <c r="L135" s="25" t="s">
        <v>68</v>
      </c>
      <c r="M135" s="37" t="s">
        <v>214</v>
      </c>
      <c r="N135" s="25" t="s">
        <v>71</v>
      </c>
      <c r="O135" s="25" t="s">
        <v>71</v>
      </c>
      <c r="P135" s="30"/>
      <c r="Q135" s="32"/>
      <c r="R135" s="32"/>
      <c r="S135" s="30"/>
      <c r="T135" s="30"/>
      <c r="U135" s="25"/>
      <c r="V135" s="30"/>
      <c r="W135" s="30"/>
      <c r="X135" s="30">
        <v>0.0</v>
      </c>
      <c r="Y135" s="32"/>
      <c r="Z135" s="32"/>
      <c r="AA135" s="30"/>
      <c r="AB135" s="30"/>
      <c r="AC135" s="25" t="s">
        <v>71</v>
      </c>
      <c r="AD135" s="25" t="s">
        <v>103</v>
      </c>
      <c r="AE135" s="32">
        <f t="shared" si="4"/>
        <v>5.5</v>
      </c>
      <c r="AF135" s="29" t="s">
        <v>609</v>
      </c>
      <c r="AG135" s="30">
        <v>4.0</v>
      </c>
      <c r="AH135" s="30">
        <f t="shared" si="5"/>
        <v>63</v>
      </c>
      <c r="AI135" s="29"/>
    </row>
    <row r="136" ht="15.75" customHeight="1">
      <c r="A136" s="11">
        <f t="shared" si="1"/>
        <v>132</v>
      </c>
      <c r="B136" s="16">
        <f>ROUND(Guida!$B$22*H136/Guida!$B$30+Guida!$B$23*MAX(0,MIN(1,(AE136-5.4)/1.6))+Guida!$B$24*0+Guida!$B$25*0.35,1)</f>
        <v>7.2</v>
      </c>
      <c r="C136" s="17" t="s">
        <v>1317</v>
      </c>
      <c r="D136" s="11" t="s">
        <v>185</v>
      </c>
      <c r="E136" s="18" t="s">
        <v>222</v>
      </c>
      <c r="F136" s="19">
        <v>7.0</v>
      </c>
      <c r="G136" s="19">
        <v>7.0</v>
      </c>
      <c r="H136" s="19">
        <v>16.0</v>
      </c>
      <c r="I136" s="19">
        <f>MAX(1,ROUND(H136^Guida!$B$18*Guida!$F$13,0))</f>
        <v>10</v>
      </c>
      <c r="J136" s="19">
        <f t="shared" si="2"/>
        <v>12</v>
      </c>
      <c r="K136" s="11" t="str">
        <f t="shared" si="3"/>
        <v>3a fascia</v>
      </c>
      <c r="L136" s="11" t="s">
        <v>68</v>
      </c>
      <c r="M136" s="18" t="s">
        <v>294</v>
      </c>
      <c r="N136" s="11" t="s">
        <v>71</v>
      </c>
      <c r="O136" s="11" t="s">
        <v>160</v>
      </c>
      <c r="P136" s="19"/>
      <c r="Q136" s="22"/>
      <c r="R136" s="22"/>
      <c r="S136" s="19"/>
      <c r="T136" s="19"/>
      <c r="U136" s="11"/>
      <c r="V136" s="19"/>
      <c r="W136" s="19"/>
      <c r="X136" s="19">
        <v>1.0</v>
      </c>
      <c r="Y136" s="22">
        <v>5.5</v>
      </c>
      <c r="Z136" s="22">
        <v>5.5</v>
      </c>
      <c r="AA136" s="19">
        <v>0.0</v>
      </c>
      <c r="AB136" s="19">
        <v>0.0</v>
      </c>
      <c r="AC136" s="11" t="s">
        <v>71</v>
      </c>
      <c r="AD136" s="11" t="s">
        <v>103</v>
      </c>
      <c r="AE136" s="22">
        <f t="shared" si="4"/>
        <v>5.5</v>
      </c>
      <c r="AF136" s="18" t="s">
        <v>106</v>
      </c>
      <c r="AG136" s="19">
        <v>7.0</v>
      </c>
      <c r="AH136" s="19">
        <f t="shared" si="5"/>
        <v>93</v>
      </c>
      <c r="AI136" s="18"/>
    </row>
    <row r="137" ht="15.75" customHeight="1">
      <c r="A137" s="25">
        <f t="shared" si="1"/>
        <v>134</v>
      </c>
      <c r="B137" s="27">
        <f>ROUND(Guida!$B$22*H137/Guida!$B$30+Guida!$B$23*MAX(0,MIN(1,(AE137-5.4)/1.6))+Guida!$B$24*0+Guida!$B$25*0,1)</f>
        <v>7</v>
      </c>
      <c r="C137" s="28" t="s">
        <v>1129</v>
      </c>
      <c r="D137" s="25" t="s">
        <v>175</v>
      </c>
      <c r="E137" s="29" t="s">
        <v>65</v>
      </c>
      <c r="F137" s="30">
        <v>6.0</v>
      </c>
      <c r="G137" s="30">
        <v>8.0</v>
      </c>
      <c r="H137" s="30">
        <v>22.0</v>
      </c>
      <c r="I137" s="30">
        <f>MAX(1,ROUND(H137^Guida!$B$18*Guida!$F$13,0))</f>
        <v>12</v>
      </c>
      <c r="J137" s="30">
        <f t="shared" si="2"/>
        <v>14</v>
      </c>
      <c r="K137" s="25" t="str">
        <f t="shared" si="3"/>
        <v>3a fascia</v>
      </c>
      <c r="L137" s="25" t="s">
        <v>332</v>
      </c>
      <c r="M137" s="29" t="s">
        <v>392</v>
      </c>
      <c r="N137" s="25" t="s">
        <v>71</v>
      </c>
      <c r="O137" s="25" t="s">
        <v>71</v>
      </c>
      <c r="P137" s="30">
        <v>1.0</v>
      </c>
      <c r="Q137" s="32">
        <v>5.5</v>
      </c>
      <c r="R137" s="32">
        <v>5.5</v>
      </c>
      <c r="S137" s="30">
        <v>0.0</v>
      </c>
      <c r="T137" s="30">
        <v>0.0</v>
      </c>
      <c r="U137" s="25" t="s">
        <v>72</v>
      </c>
      <c r="V137" s="30">
        <v>0.0</v>
      </c>
      <c r="W137" s="30">
        <v>0.0</v>
      </c>
      <c r="X137" s="30">
        <v>2.0</v>
      </c>
      <c r="Y137" s="32">
        <v>6.75</v>
      </c>
      <c r="Z137" s="32">
        <v>7.25</v>
      </c>
      <c r="AA137" s="30">
        <v>0.0</v>
      </c>
      <c r="AB137" s="30">
        <v>1.0</v>
      </c>
      <c r="AC137" s="25" t="s">
        <v>175</v>
      </c>
      <c r="AD137" s="25" t="s">
        <v>73</v>
      </c>
      <c r="AE137" s="32">
        <f t="shared" si="4"/>
        <v>5.5</v>
      </c>
      <c r="AF137" s="29" t="s">
        <v>216</v>
      </c>
      <c r="AG137" s="30">
        <v>0.0</v>
      </c>
      <c r="AH137" s="30">
        <f t="shared" si="5"/>
        <v>68</v>
      </c>
      <c r="AI137" s="29"/>
    </row>
    <row r="138" ht="15.75" customHeight="1">
      <c r="A138" s="11">
        <f t="shared" si="1"/>
        <v>134</v>
      </c>
      <c r="B138" s="16">
        <f>ROUND(Guida!$B$22*H138/Guida!$B$30+Guida!$B$23*MAX(0,MIN(1,(AE138-5.4)/1.6))+Guida!$B$24*0+Guida!$B$25*0.35,1)</f>
        <v>7</v>
      </c>
      <c r="C138" s="17" t="s">
        <v>1179</v>
      </c>
      <c r="D138" s="11" t="s">
        <v>93</v>
      </c>
      <c r="E138" s="18" t="s">
        <v>326</v>
      </c>
      <c r="F138" s="19">
        <v>4.0</v>
      </c>
      <c r="G138" s="19">
        <v>4.0</v>
      </c>
      <c r="H138" s="19">
        <v>15.0</v>
      </c>
      <c r="I138" s="19">
        <f>MAX(1,ROUND(H138^Guida!$B$18*Guida!$F$13,0))</f>
        <v>9</v>
      </c>
      <c r="J138" s="19">
        <f t="shared" si="2"/>
        <v>11</v>
      </c>
      <c r="K138" s="11" t="str">
        <f t="shared" si="3"/>
        <v>3a fascia</v>
      </c>
      <c r="L138" s="11" t="s">
        <v>332</v>
      </c>
      <c r="M138" s="18" t="s">
        <v>392</v>
      </c>
      <c r="N138" s="11" t="s">
        <v>71</v>
      </c>
      <c r="O138" s="11" t="s">
        <v>160</v>
      </c>
      <c r="P138" s="19"/>
      <c r="Q138" s="22"/>
      <c r="R138" s="22"/>
      <c r="S138" s="19"/>
      <c r="T138" s="19"/>
      <c r="U138" s="11"/>
      <c r="V138" s="19"/>
      <c r="W138" s="19"/>
      <c r="X138" s="19">
        <v>2.0</v>
      </c>
      <c r="Y138" s="22">
        <v>5.75</v>
      </c>
      <c r="Z138" s="22">
        <v>5.75</v>
      </c>
      <c r="AA138" s="19">
        <v>0.0</v>
      </c>
      <c r="AB138" s="19">
        <v>0.0</v>
      </c>
      <c r="AC138" s="11" t="s">
        <v>93</v>
      </c>
      <c r="AD138" s="11" t="s">
        <v>73</v>
      </c>
      <c r="AE138" s="22">
        <f t="shared" si="4"/>
        <v>5.5</v>
      </c>
      <c r="AF138" s="18" t="s">
        <v>363</v>
      </c>
      <c r="AG138" s="19">
        <v>0.0</v>
      </c>
      <c r="AH138" s="19">
        <f t="shared" si="5"/>
        <v>99</v>
      </c>
      <c r="AI138" s="18"/>
    </row>
    <row r="139" ht="15.75" customHeight="1">
      <c r="A139" s="25">
        <f t="shared" si="1"/>
        <v>134</v>
      </c>
      <c r="B139" s="27">
        <f>ROUND(Guida!$B$22*H139/Guida!$B$30+Guida!$B$23*MAX(0,MIN(1,(AE139-5.4)/1.6))+Guida!$B$24*0+Guida!$B$25*0.35,1)</f>
        <v>7</v>
      </c>
      <c r="C139" s="28" t="s">
        <v>1340</v>
      </c>
      <c r="D139" s="25" t="s">
        <v>264</v>
      </c>
      <c r="E139" s="29" t="s">
        <v>198</v>
      </c>
      <c r="F139" s="30">
        <v>5.0</v>
      </c>
      <c r="G139" s="30">
        <v>5.0</v>
      </c>
      <c r="H139" s="30">
        <v>15.0</v>
      </c>
      <c r="I139" s="30">
        <f>MAX(1,ROUND(H139^Guida!$B$18*Guida!$F$13,0))</f>
        <v>9</v>
      </c>
      <c r="J139" s="30">
        <f t="shared" si="2"/>
        <v>11</v>
      </c>
      <c r="K139" s="25" t="str">
        <f t="shared" si="3"/>
        <v>3a fascia</v>
      </c>
      <c r="L139" s="25" t="s">
        <v>68</v>
      </c>
      <c r="M139" s="21" t="s">
        <v>100</v>
      </c>
      <c r="N139" s="25" t="s">
        <v>71</v>
      </c>
      <c r="O139" s="25" t="s">
        <v>160</v>
      </c>
      <c r="P139" s="30"/>
      <c r="Q139" s="32"/>
      <c r="R139" s="32"/>
      <c r="S139" s="30"/>
      <c r="T139" s="30"/>
      <c r="U139" s="25"/>
      <c r="V139" s="30"/>
      <c r="W139" s="30"/>
      <c r="X139" s="30">
        <v>2.0</v>
      </c>
      <c r="Y139" s="32">
        <v>5.75</v>
      </c>
      <c r="Z139" s="32">
        <v>5.5</v>
      </c>
      <c r="AA139" s="30">
        <v>0.0</v>
      </c>
      <c r="AB139" s="30">
        <v>0.0</v>
      </c>
      <c r="AC139" s="25" t="s">
        <v>71</v>
      </c>
      <c r="AD139" s="25" t="s">
        <v>103</v>
      </c>
      <c r="AE139" s="32">
        <f t="shared" si="4"/>
        <v>5.5</v>
      </c>
      <c r="AF139" s="29" t="s">
        <v>678</v>
      </c>
      <c r="AG139" s="30">
        <v>6.0</v>
      </c>
      <c r="AH139" s="30">
        <f t="shared" si="5"/>
        <v>99</v>
      </c>
      <c r="AI139" s="29"/>
    </row>
    <row r="140" ht="15.75" customHeight="1">
      <c r="A140" s="11">
        <f t="shared" si="1"/>
        <v>137</v>
      </c>
      <c r="B140" s="16">
        <f>ROUND(Guida!$B$22*H140/Guida!$B$30+Guida!$B$23*MAX(0,MIN(1,(AE140-5.4)/1.6))+Guida!$B$24*0+Guida!$B$25*0,1)</f>
        <v>6.9</v>
      </c>
      <c r="C140" s="17" t="s">
        <v>1035</v>
      </c>
      <c r="D140" s="11" t="s">
        <v>175</v>
      </c>
      <c r="E140" s="18" t="s">
        <v>69</v>
      </c>
      <c r="F140" s="19">
        <v>4.0</v>
      </c>
      <c r="G140" s="19">
        <v>5.0</v>
      </c>
      <c r="H140" s="19">
        <v>13.0</v>
      </c>
      <c r="I140" s="19">
        <f>MAX(1,ROUND(H140^Guida!$B$18*Guida!$F$13,0))</f>
        <v>8</v>
      </c>
      <c r="J140" s="19">
        <f t="shared" si="2"/>
        <v>10</v>
      </c>
      <c r="K140" s="11" t="str">
        <f t="shared" si="3"/>
        <v>3a fascia</v>
      </c>
      <c r="L140" s="11" t="s">
        <v>332</v>
      </c>
      <c r="M140" s="18" t="s">
        <v>392</v>
      </c>
      <c r="N140" s="11" t="s">
        <v>71</v>
      </c>
      <c r="O140" s="11" t="s">
        <v>71</v>
      </c>
      <c r="P140" s="19">
        <v>12.0</v>
      </c>
      <c r="Q140" s="22">
        <v>5.71</v>
      </c>
      <c r="R140" s="22">
        <v>5.79</v>
      </c>
      <c r="S140" s="19">
        <v>0.0</v>
      </c>
      <c r="T140" s="19">
        <v>1.0</v>
      </c>
      <c r="U140" s="11" t="s">
        <v>72</v>
      </c>
      <c r="V140" s="19">
        <v>0.0</v>
      </c>
      <c r="W140" s="19">
        <v>0.0</v>
      </c>
      <c r="X140" s="19">
        <v>2.0</v>
      </c>
      <c r="Y140" s="22">
        <v>6.25</v>
      </c>
      <c r="Z140" s="22">
        <v>6.25</v>
      </c>
      <c r="AA140" s="19">
        <v>0.0</v>
      </c>
      <c r="AB140" s="19">
        <v>0.0</v>
      </c>
      <c r="AC140" s="11" t="s">
        <v>175</v>
      </c>
      <c r="AD140" s="11" t="s">
        <v>73</v>
      </c>
      <c r="AE140" s="22">
        <f t="shared" si="4"/>
        <v>5.64</v>
      </c>
      <c r="AF140" s="18" t="s">
        <v>216</v>
      </c>
      <c r="AG140" s="19">
        <v>0.0</v>
      </c>
      <c r="AH140" s="19">
        <f t="shared" si="5"/>
        <v>114</v>
      </c>
      <c r="AI140" s="18"/>
    </row>
    <row r="141" ht="15.75" customHeight="1">
      <c r="A141" s="25">
        <f t="shared" si="1"/>
        <v>138</v>
      </c>
      <c r="B141" s="27">
        <f>ROUND(Guida!$B$22*H141/Guida!$B$30+Guida!$B$23*MAX(0,MIN(1,(AE141-5.4)/1.6))+Guida!$B$24*0+Guida!$B$25*0,1)</f>
        <v>6.7</v>
      </c>
      <c r="C141" s="28" t="s">
        <v>1188</v>
      </c>
      <c r="D141" s="25" t="s">
        <v>133</v>
      </c>
      <c r="E141" s="29" t="s">
        <v>222</v>
      </c>
      <c r="F141" s="30">
        <v>6.0</v>
      </c>
      <c r="G141" s="30">
        <v>6.0</v>
      </c>
      <c r="H141" s="30">
        <v>21.0</v>
      </c>
      <c r="I141" s="30">
        <f>MAX(1,ROUND(H141^Guida!$B$18*Guida!$F$13,0))</f>
        <v>11</v>
      </c>
      <c r="J141" s="30">
        <f t="shared" si="2"/>
        <v>13</v>
      </c>
      <c r="K141" s="25" t="str">
        <f t="shared" si="3"/>
        <v>3a fascia</v>
      </c>
      <c r="L141" s="25" t="s">
        <v>332</v>
      </c>
      <c r="M141" s="29" t="s">
        <v>615</v>
      </c>
      <c r="N141" s="25" t="s">
        <v>71</v>
      </c>
      <c r="O141" s="25" t="s">
        <v>71</v>
      </c>
      <c r="P141" s="30"/>
      <c r="Q141" s="32"/>
      <c r="R141" s="32"/>
      <c r="S141" s="30"/>
      <c r="T141" s="30"/>
      <c r="U141" s="25"/>
      <c r="V141" s="30"/>
      <c r="W141" s="30"/>
      <c r="X141" s="30">
        <v>1.0</v>
      </c>
      <c r="Y141" s="32">
        <v>6.0</v>
      </c>
      <c r="Z141" s="32">
        <v>6.0</v>
      </c>
      <c r="AA141" s="30">
        <v>0.0</v>
      </c>
      <c r="AB141" s="30">
        <v>0.0</v>
      </c>
      <c r="AC141" s="25" t="s">
        <v>175</v>
      </c>
      <c r="AD141" s="25" t="s">
        <v>103</v>
      </c>
      <c r="AE141" s="32">
        <f t="shared" si="4"/>
        <v>5.5</v>
      </c>
      <c r="AF141" s="29" t="s">
        <v>254</v>
      </c>
      <c r="AG141" s="30">
        <v>6.0</v>
      </c>
      <c r="AH141" s="30">
        <f t="shared" si="5"/>
        <v>73</v>
      </c>
      <c r="AI141" s="29"/>
    </row>
    <row r="142" ht="15.75" customHeight="1">
      <c r="A142" s="11">
        <f t="shared" si="1"/>
        <v>139</v>
      </c>
      <c r="B142" s="16">
        <f>ROUND(Guida!$B$22*H142/Guida!$B$30+Guida!$B$23*MAX(0,MIN(1,(AE142-5.4)/1.6))+Guida!$B$24*0+Guida!$B$25*0,1)</f>
        <v>6.5</v>
      </c>
      <c r="C142" s="17" t="s">
        <v>1370</v>
      </c>
      <c r="D142" s="11" t="s">
        <v>212</v>
      </c>
      <c r="E142" s="18" t="s">
        <v>326</v>
      </c>
      <c r="F142" s="19">
        <v>6.0</v>
      </c>
      <c r="G142" s="19">
        <v>6.0</v>
      </c>
      <c r="H142" s="19">
        <v>20.0</v>
      </c>
      <c r="I142" s="19">
        <f>MAX(1,ROUND(H142^Guida!$B$18*Guida!$F$13,0))</f>
        <v>11</v>
      </c>
      <c r="J142" s="19">
        <f t="shared" si="2"/>
        <v>13</v>
      </c>
      <c r="K142" s="11" t="str">
        <f t="shared" si="3"/>
        <v>3a fascia</v>
      </c>
      <c r="L142" s="11" t="s">
        <v>226</v>
      </c>
      <c r="M142" s="18" t="s">
        <v>227</v>
      </c>
      <c r="N142" s="11" t="s">
        <v>71</v>
      </c>
      <c r="O142" s="11" t="s">
        <v>71</v>
      </c>
      <c r="P142" s="19"/>
      <c r="Q142" s="22"/>
      <c r="R142" s="22"/>
      <c r="S142" s="19"/>
      <c r="T142" s="19"/>
      <c r="U142" s="11"/>
      <c r="V142" s="19"/>
      <c r="W142" s="19"/>
      <c r="X142" s="19">
        <v>0.0</v>
      </c>
      <c r="Y142" s="22"/>
      <c r="Z142" s="22"/>
      <c r="AA142" s="19"/>
      <c r="AB142" s="19"/>
      <c r="AC142" s="11" t="s">
        <v>71</v>
      </c>
      <c r="AD142" s="11" t="s">
        <v>103</v>
      </c>
      <c r="AE142" s="22">
        <f t="shared" si="4"/>
        <v>5.5</v>
      </c>
      <c r="AF142" s="18" t="s">
        <v>275</v>
      </c>
      <c r="AG142" s="19">
        <v>0.0</v>
      </c>
      <c r="AH142" s="19">
        <f t="shared" si="5"/>
        <v>76</v>
      </c>
      <c r="AI142" s="18"/>
    </row>
    <row r="143" ht="15.75" customHeight="1">
      <c r="A143" s="25">
        <f t="shared" si="1"/>
        <v>140</v>
      </c>
      <c r="B143" s="27">
        <f>ROUND(Guida!$B$22*H143/Guida!$B$30+Guida!$B$23*MAX(0,MIN(1,(AE143-5.4)/1.6))+Guida!$B$24*0+Guida!$B$25*0,1)</f>
        <v>6.4</v>
      </c>
      <c r="C143" s="28" t="s">
        <v>1037</v>
      </c>
      <c r="D143" s="25" t="s">
        <v>253</v>
      </c>
      <c r="E143" s="29" t="s">
        <v>69</v>
      </c>
      <c r="F143" s="30">
        <v>3.0</v>
      </c>
      <c r="G143" s="30">
        <v>3.0</v>
      </c>
      <c r="H143" s="30">
        <v>7.0</v>
      </c>
      <c r="I143" s="30">
        <f>MAX(1,ROUND(H143^Guida!$B$18*Guida!$F$13,0))</f>
        <v>6</v>
      </c>
      <c r="J143" s="30">
        <f t="shared" si="2"/>
        <v>7</v>
      </c>
      <c r="K143" s="25" t="str">
        <f t="shared" si="3"/>
        <v>4a fascia</v>
      </c>
      <c r="L143" s="25" t="s">
        <v>332</v>
      </c>
      <c r="M143" s="29" t="s">
        <v>338</v>
      </c>
      <c r="N143" s="25" t="s">
        <v>71</v>
      </c>
      <c r="O143" s="25" t="s">
        <v>71</v>
      </c>
      <c r="P143" s="30">
        <v>18.0</v>
      </c>
      <c r="Q143" s="32">
        <v>5.69</v>
      </c>
      <c r="R143" s="32">
        <v>5.78</v>
      </c>
      <c r="S143" s="30">
        <v>1.0</v>
      </c>
      <c r="T143" s="30">
        <v>0.0</v>
      </c>
      <c r="U143" s="25" t="s">
        <v>72</v>
      </c>
      <c r="V143" s="30">
        <v>3.0</v>
      </c>
      <c r="W143" s="30">
        <v>0.0</v>
      </c>
      <c r="X143" s="30">
        <v>0.0</v>
      </c>
      <c r="Y143" s="32"/>
      <c r="Z143" s="32"/>
      <c r="AA143" s="30"/>
      <c r="AB143" s="30"/>
      <c r="AC143" s="25" t="s">
        <v>239</v>
      </c>
      <c r="AD143" s="25" t="s">
        <v>103</v>
      </c>
      <c r="AE143" s="32">
        <f t="shared" si="4"/>
        <v>5.7</v>
      </c>
      <c r="AF143" s="29" t="s">
        <v>216</v>
      </c>
      <c r="AG143" s="30">
        <v>4.0</v>
      </c>
      <c r="AH143" s="30">
        <f t="shared" si="5"/>
        <v>161</v>
      </c>
      <c r="AI143" s="29"/>
    </row>
    <row r="144" ht="15.75" customHeight="1">
      <c r="A144" s="11">
        <f t="shared" si="1"/>
        <v>141</v>
      </c>
      <c r="B144" s="16">
        <f>ROUND(Guida!$B$22*H144/Guida!$B$30+Guida!$B$23*MAX(0,MIN(1,(AE144-5.4)/1.6))+Guida!$B$24*0+Guida!$B$25*0,1)</f>
        <v>6.2</v>
      </c>
      <c r="C144" s="17" t="s">
        <v>924</v>
      </c>
      <c r="D144" s="11" t="s">
        <v>253</v>
      </c>
      <c r="E144" s="18" t="s">
        <v>198</v>
      </c>
      <c r="F144" s="19">
        <v>5.0</v>
      </c>
      <c r="G144" s="19">
        <v>6.0</v>
      </c>
      <c r="H144" s="19">
        <v>14.0</v>
      </c>
      <c r="I144" s="19">
        <f>MAX(1,ROUND(H144^Guida!$B$18*Guida!$F$13,0))</f>
        <v>9</v>
      </c>
      <c r="J144" s="19">
        <f t="shared" si="2"/>
        <v>11</v>
      </c>
      <c r="K144" s="11" t="str">
        <f t="shared" si="3"/>
        <v>3a fascia</v>
      </c>
      <c r="L144" s="11" t="s">
        <v>226</v>
      </c>
      <c r="M144" s="18" t="s">
        <v>277</v>
      </c>
      <c r="N144" s="11" t="s">
        <v>71</v>
      </c>
      <c r="O144" s="11" t="s">
        <v>71</v>
      </c>
      <c r="P144" s="19">
        <v>3.0</v>
      </c>
      <c r="Q144" s="22">
        <v>6.17</v>
      </c>
      <c r="R144" s="22">
        <v>6.17</v>
      </c>
      <c r="S144" s="19">
        <v>0.0</v>
      </c>
      <c r="T144" s="19">
        <v>0.0</v>
      </c>
      <c r="U144" s="11" t="s">
        <v>72</v>
      </c>
      <c r="V144" s="19">
        <v>0.0</v>
      </c>
      <c r="W144" s="19">
        <v>0.0</v>
      </c>
      <c r="X144" s="19">
        <v>2.0</v>
      </c>
      <c r="Y144" s="22">
        <v>6.0</v>
      </c>
      <c r="Z144" s="22">
        <v>6.0</v>
      </c>
      <c r="AA144" s="19">
        <v>0.0</v>
      </c>
      <c r="AB144" s="19">
        <v>0.0</v>
      </c>
      <c r="AC144" s="11" t="s">
        <v>253</v>
      </c>
      <c r="AD144" s="11" t="s">
        <v>73</v>
      </c>
      <c r="AE144" s="22">
        <f t="shared" si="4"/>
        <v>5.58</v>
      </c>
      <c r="AF144" s="18" t="s">
        <v>216</v>
      </c>
      <c r="AG144" s="19">
        <v>4.0</v>
      </c>
      <c r="AH144" s="19">
        <f t="shared" si="5"/>
        <v>110</v>
      </c>
      <c r="AI144" s="18"/>
    </row>
    <row r="145" ht="15.75" customHeight="1">
      <c r="A145" s="25">
        <f t="shared" si="1"/>
        <v>142</v>
      </c>
      <c r="B145" s="27">
        <f>ROUND(Guida!$B$22*H145/Guida!$B$30+Guida!$B$23*MAX(0,MIN(1,(AE145-5.4)/1.6))+Guida!$B$24*0+Guida!$B$25*0,1)</f>
        <v>6.1</v>
      </c>
      <c r="C145" s="28" t="s">
        <v>1087</v>
      </c>
      <c r="D145" s="25" t="s">
        <v>264</v>
      </c>
      <c r="E145" s="29" t="s">
        <v>326</v>
      </c>
      <c r="F145" s="30">
        <v>5.0</v>
      </c>
      <c r="G145" s="30">
        <v>5.0</v>
      </c>
      <c r="H145" s="30">
        <v>11.0</v>
      </c>
      <c r="I145" s="30">
        <f>MAX(1,ROUND(H145^Guida!$B$18*Guida!$F$13,0))</f>
        <v>8</v>
      </c>
      <c r="J145" s="30">
        <f t="shared" si="2"/>
        <v>10</v>
      </c>
      <c r="K145" s="25" t="str">
        <f t="shared" si="3"/>
        <v>3a fascia</v>
      </c>
      <c r="L145" s="25" t="s">
        <v>68</v>
      </c>
      <c r="M145" s="29" t="s">
        <v>294</v>
      </c>
      <c r="N145" s="25" t="s">
        <v>71</v>
      </c>
      <c r="O145" s="25" t="s">
        <v>71</v>
      </c>
      <c r="P145" s="30">
        <v>24.0</v>
      </c>
      <c r="Q145" s="32">
        <v>5.65</v>
      </c>
      <c r="R145" s="32">
        <v>5.62</v>
      </c>
      <c r="S145" s="30">
        <v>0.0</v>
      </c>
      <c r="T145" s="30">
        <v>1.0</v>
      </c>
      <c r="U145" s="25" t="s">
        <v>72</v>
      </c>
      <c r="V145" s="30">
        <v>3.0</v>
      </c>
      <c r="W145" s="30">
        <v>0.0</v>
      </c>
      <c r="X145" s="30">
        <v>1.0</v>
      </c>
      <c r="Y145" s="32">
        <v>6.0</v>
      </c>
      <c r="Z145" s="32">
        <v>6.0</v>
      </c>
      <c r="AA145" s="30">
        <v>0.0</v>
      </c>
      <c r="AB145" s="30">
        <v>0.0</v>
      </c>
      <c r="AC145" s="25" t="s">
        <v>182</v>
      </c>
      <c r="AD145" s="25" t="s">
        <v>103</v>
      </c>
      <c r="AE145" s="32">
        <f t="shared" si="4"/>
        <v>5.62</v>
      </c>
      <c r="AF145" s="29" t="s">
        <v>678</v>
      </c>
      <c r="AG145" s="30">
        <v>6.0</v>
      </c>
      <c r="AH145" s="30">
        <f t="shared" si="5"/>
        <v>135</v>
      </c>
      <c r="AI145" s="29"/>
    </row>
    <row r="146" ht="15.75" customHeight="1">
      <c r="A146" s="11">
        <f t="shared" si="1"/>
        <v>142</v>
      </c>
      <c r="B146" s="16">
        <f>ROUND(Guida!$B$22*H146/Guida!$B$30+Guida!$B$23*MAX(0,MIN(1,(AE146-5.4)/1.6))+Guida!$B$24*0+Guida!$B$25*0,1)</f>
        <v>6.1</v>
      </c>
      <c r="C146" s="17" t="s">
        <v>1057</v>
      </c>
      <c r="D146" s="11" t="s">
        <v>232</v>
      </c>
      <c r="E146" s="18" t="s">
        <v>69</v>
      </c>
      <c r="F146" s="19">
        <v>2.0</v>
      </c>
      <c r="G146" s="19">
        <v>3.0</v>
      </c>
      <c r="H146" s="19">
        <v>7.0</v>
      </c>
      <c r="I146" s="19">
        <f>MAX(1,ROUND(H146^Guida!$B$18*Guida!$F$13,0))</f>
        <v>6</v>
      </c>
      <c r="J146" s="19">
        <f t="shared" si="2"/>
        <v>7</v>
      </c>
      <c r="K146" s="11" t="str">
        <f t="shared" si="3"/>
        <v>4a fascia</v>
      </c>
      <c r="L146" s="11" t="s">
        <v>332</v>
      </c>
      <c r="M146" s="18" t="s">
        <v>473</v>
      </c>
      <c r="N146" s="11" t="s">
        <v>71</v>
      </c>
      <c r="O146" s="11" t="s">
        <v>71</v>
      </c>
      <c r="P146" s="19">
        <v>21.0</v>
      </c>
      <c r="Q146" s="22">
        <v>5.69</v>
      </c>
      <c r="R146" s="22">
        <v>5.71</v>
      </c>
      <c r="S146" s="19">
        <v>1.0</v>
      </c>
      <c r="T146" s="19">
        <v>0.0</v>
      </c>
      <c r="U146" s="11" t="s">
        <v>72</v>
      </c>
      <c r="V146" s="19">
        <v>3.0</v>
      </c>
      <c r="W146" s="19">
        <v>1.0</v>
      </c>
      <c r="X146" s="19">
        <v>2.0</v>
      </c>
      <c r="Y146" s="22">
        <v>6.0</v>
      </c>
      <c r="Z146" s="22">
        <v>6.0</v>
      </c>
      <c r="AA146" s="19">
        <v>0.0</v>
      </c>
      <c r="AB146" s="19">
        <v>0.0</v>
      </c>
      <c r="AC146" s="11" t="s">
        <v>734</v>
      </c>
      <c r="AD146" s="11" t="s">
        <v>103</v>
      </c>
      <c r="AE146" s="22">
        <f t="shared" si="4"/>
        <v>5.68</v>
      </c>
      <c r="AF146" s="18" t="s">
        <v>609</v>
      </c>
      <c r="AG146" s="19">
        <v>4.0</v>
      </c>
      <c r="AH146" s="19">
        <f t="shared" si="5"/>
        <v>161</v>
      </c>
      <c r="AI146" s="18"/>
    </row>
    <row r="147" ht="15.75" customHeight="1">
      <c r="A147" s="25">
        <f t="shared" si="1"/>
        <v>144</v>
      </c>
      <c r="B147" s="27">
        <f>ROUND(Guida!$B$22*H147/Guida!$B$30+Guida!$B$23*MAX(0,MIN(1,(AE147-5.4)/1.6))+Guida!$B$24*0+Guida!$B$25*0,1)</f>
        <v>6</v>
      </c>
      <c r="C147" s="28" t="s">
        <v>1413</v>
      </c>
      <c r="D147" s="25" t="s">
        <v>212</v>
      </c>
      <c r="E147" s="29" t="s">
        <v>69</v>
      </c>
      <c r="F147" s="30">
        <v>4.0</v>
      </c>
      <c r="G147" s="30">
        <v>5.0</v>
      </c>
      <c r="H147" s="30">
        <v>18.0</v>
      </c>
      <c r="I147" s="30">
        <f>MAX(1,ROUND(H147^Guida!$B$18*Guida!$F$13,0))</f>
        <v>10</v>
      </c>
      <c r="J147" s="30">
        <f t="shared" si="2"/>
        <v>12</v>
      </c>
      <c r="K147" s="25" t="str">
        <f t="shared" si="3"/>
        <v>3a fascia</v>
      </c>
      <c r="L147" s="25" t="s">
        <v>332</v>
      </c>
      <c r="M147" s="29" t="s">
        <v>473</v>
      </c>
      <c r="N147" s="25" t="s">
        <v>71</v>
      </c>
      <c r="O147" s="25" t="s">
        <v>71</v>
      </c>
      <c r="P147" s="30"/>
      <c r="Q147" s="32"/>
      <c r="R147" s="32"/>
      <c r="S147" s="30"/>
      <c r="T147" s="30"/>
      <c r="U147" s="25"/>
      <c r="V147" s="30"/>
      <c r="W147" s="30"/>
      <c r="X147" s="30">
        <v>2.0</v>
      </c>
      <c r="Y147" s="32">
        <v>6.0</v>
      </c>
      <c r="Z147" s="32">
        <v>6.0</v>
      </c>
      <c r="AA147" s="30">
        <v>0.0</v>
      </c>
      <c r="AB147" s="30">
        <v>0.0</v>
      </c>
      <c r="AC147" s="25" t="s">
        <v>71</v>
      </c>
      <c r="AD147" s="25" t="s">
        <v>103</v>
      </c>
      <c r="AE147" s="32">
        <f t="shared" si="4"/>
        <v>5.5</v>
      </c>
      <c r="AF147" s="29" t="s">
        <v>275</v>
      </c>
      <c r="AG147" s="30">
        <v>0.0</v>
      </c>
      <c r="AH147" s="30">
        <f t="shared" si="5"/>
        <v>85</v>
      </c>
      <c r="AI147" s="29"/>
    </row>
    <row r="148" ht="15.75" customHeight="1">
      <c r="A148" s="11">
        <f t="shared" si="1"/>
        <v>144</v>
      </c>
      <c r="B148" s="16">
        <f>ROUND(Guida!$B$22*H148/Guida!$B$30+Guida!$B$23*MAX(0,MIN(1,(AE148-5.4)/1.6))+Guida!$B$24*0+Guida!$B$25*0,1)</f>
        <v>6</v>
      </c>
      <c r="C148" s="17" t="s">
        <v>1423</v>
      </c>
      <c r="D148" s="11" t="s">
        <v>208</v>
      </c>
      <c r="E148" s="18" t="s">
        <v>69</v>
      </c>
      <c r="F148" s="19">
        <v>6.0</v>
      </c>
      <c r="G148" s="19">
        <v>6.0</v>
      </c>
      <c r="H148" s="19">
        <v>18.0</v>
      </c>
      <c r="I148" s="19">
        <f>MAX(1,ROUND(H148^Guida!$B$18*Guida!$F$13,0))</f>
        <v>10</v>
      </c>
      <c r="J148" s="19">
        <f t="shared" si="2"/>
        <v>12</v>
      </c>
      <c r="K148" s="11" t="str">
        <f t="shared" si="3"/>
        <v>3a fascia</v>
      </c>
      <c r="L148" s="11" t="s">
        <v>226</v>
      </c>
      <c r="M148" s="18" t="s">
        <v>300</v>
      </c>
      <c r="N148" s="11" t="s">
        <v>71</v>
      </c>
      <c r="O148" s="11" t="s">
        <v>71</v>
      </c>
      <c r="P148" s="19"/>
      <c r="Q148" s="22"/>
      <c r="R148" s="22"/>
      <c r="S148" s="19"/>
      <c r="T148" s="19"/>
      <c r="U148" s="11"/>
      <c r="V148" s="19"/>
      <c r="W148" s="19"/>
      <c r="X148" s="19">
        <v>2.0</v>
      </c>
      <c r="Y148" s="22">
        <v>5.5</v>
      </c>
      <c r="Z148" s="22">
        <v>5.5</v>
      </c>
      <c r="AA148" s="19">
        <v>0.0</v>
      </c>
      <c r="AB148" s="19">
        <v>0.0</v>
      </c>
      <c r="AC148" s="11" t="s">
        <v>71</v>
      </c>
      <c r="AD148" s="11" t="s">
        <v>103</v>
      </c>
      <c r="AE148" s="22">
        <f t="shared" si="4"/>
        <v>5.5</v>
      </c>
      <c r="AF148" s="18" t="s">
        <v>303</v>
      </c>
      <c r="AG148" s="19">
        <v>6.0</v>
      </c>
      <c r="AH148" s="19">
        <f t="shared" si="5"/>
        <v>85</v>
      </c>
      <c r="AI148" s="18"/>
    </row>
    <row r="149" ht="15.75" customHeight="1">
      <c r="A149" s="25">
        <f t="shared" si="1"/>
        <v>144</v>
      </c>
      <c r="B149" s="27">
        <f>ROUND(Guida!$B$22*H149/Guida!$B$30+Guida!$B$23*MAX(0,MIN(1,(AE149-5.4)/1.6))+Guida!$B$24*0+Guida!$B$25*0,1)</f>
        <v>6</v>
      </c>
      <c r="C149" s="28" t="s">
        <v>1112</v>
      </c>
      <c r="D149" s="25" t="s">
        <v>93</v>
      </c>
      <c r="E149" s="29" t="s">
        <v>198</v>
      </c>
      <c r="F149" s="30">
        <v>5.0</v>
      </c>
      <c r="G149" s="30">
        <v>7.0</v>
      </c>
      <c r="H149" s="30">
        <v>15.0</v>
      </c>
      <c r="I149" s="30">
        <f>MAX(1,ROUND(H149^Guida!$B$18*Guida!$F$13,0))</f>
        <v>9</v>
      </c>
      <c r="J149" s="30">
        <f t="shared" si="2"/>
        <v>11</v>
      </c>
      <c r="K149" s="25" t="str">
        <f t="shared" si="3"/>
        <v>3a fascia</v>
      </c>
      <c r="L149" s="25" t="s">
        <v>332</v>
      </c>
      <c r="M149" s="29" t="s">
        <v>408</v>
      </c>
      <c r="N149" s="25" t="s">
        <v>71</v>
      </c>
      <c r="O149" s="25" t="s">
        <v>71</v>
      </c>
      <c r="P149" s="30">
        <v>29.0</v>
      </c>
      <c r="Q149" s="32">
        <v>5.64</v>
      </c>
      <c r="R149" s="32">
        <v>5.55</v>
      </c>
      <c r="S149" s="30">
        <v>0.0</v>
      </c>
      <c r="T149" s="30">
        <v>0.0</v>
      </c>
      <c r="U149" s="25" t="s">
        <v>72</v>
      </c>
      <c r="V149" s="30">
        <v>5.0</v>
      </c>
      <c r="W149" s="30">
        <v>0.0</v>
      </c>
      <c r="X149" s="30">
        <v>1.0</v>
      </c>
      <c r="Y149" s="32">
        <v>7.0</v>
      </c>
      <c r="Z149" s="32">
        <v>10.0</v>
      </c>
      <c r="AA149" s="30">
        <v>1.0</v>
      </c>
      <c r="AB149" s="30">
        <v>0.0</v>
      </c>
      <c r="AC149" s="25" t="s">
        <v>93</v>
      </c>
      <c r="AD149" s="25" t="s">
        <v>73</v>
      </c>
      <c r="AE149" s="32">
        <f t="shared" si="4"/>
        <v>5.55</v>
      </c>
      <c r="AF149" s="29" t="s">
        <v>363</v>
      </c>
      <c r="AG149" s="30">
        <v>0.0</v>
      </c>
      <c r="AH149" s="30">
        <f t="shared" si="5"/>
        <v>99</v>
      </c>
      <c r="AI149" s="29"/>
    </row>
    <row r="150" ht="15.75" customHeight="1">
      <c r="A150" s="11">
        <f t="shared" si="1"/>
        <v>147</v>
      </c>
      <c r="B150" s="16">
        <f>ROUND(Guida!$B$22*H150/Guida!$B$30+Guida!$B$23*MAX(0,MIN(1,(AE150-5.4)/1.6))+Guida!$B$24*0+Guida!$B$25*0,1)</f>
        <v>5.9</v>
      </c>
      <c r="C150" s="17" t="s">
        <v>1001</v>
      </c>
      <c r="D150" s="11" t="s">
        <v>232</v>
      </c>
      <c r="E150" s="18" t="s">
        <v>69</v>
      </c>
      <c r="F150" s="19">
        <v>1.0</v>
      </c>
      <c r="G150" s="19">
        <v>1.0</v>
      </c>
      <c r="H150" s="19">
        <v>10.0</v>
      </c>
      <c r="I150" s="19">
        <f>MAX(1,ROUND(H150^Guida!$B$18*Guida!$F$13,0))</f>
        <v>7</v>
      </c>
      <c r="J150" s="19">
        <f t="shared" si="2"/>
        <v>8</v>
      </c>
      <c r="K150" s="11" t="str">
        <f t="shared" si="3"/>
        <v>3a fascia</v>
      </c>
      <c r="L150" s="11" t="s">
        <v>332</v>
      </c>
      <c r="M150" s="18" t="s">
        <v>615</v>
      </c>
      <c r="N150" s="11" t="s">
        <v>71</v>
      </c>
      <c r="O150" s="11" t="s">
        <v>71</v>
      </c>
      <c r="P150" s="19">
        <v>8.0</v>
      </c>
      <c r="Q150" s="22">
        <v>6.0</v>
      </c>
      <c r="R150" s="22">
        <v>5.88</v>
      </c>
      <c r="S150" s="19">
        <v>0.0</v>
      </c>
      <c r="T150" s="19">
        <v>0.0</v>
      </c>
      <c r="U150" s="11" t="s">
        <v>72</v>
      </c>
      <c r="V150" s="19">
        <v>2.0</v>
      </c>
      <c r="W150" s="19">
        <v>0.0</v>
      </c>
      <c r="X150" s="19">
        <v>1.0</v>
      </c>
      <c r="Y150" s="22">
        <v>5.5</v>
      </c>
      <c r="Z150" s="22">
        <v>5.0</v>
      </c>
      <c r="AA150" s="19">
        <v>0.0</v>
      </c>
      <c r="AB150" s="19">
        <v>0.0</v>
      </c>
      <c r="AC150" s="11" t="s">
        <v>212</v>
      </c>
      <c r="AD150" s="11" t="s">
        <v>103</v>
      </c>
      <c r="AE150" s="22">
        <f t="shared" si="4"/>
        <v>5.62</v>
      </c>
      <c r="AF150" s="18" t="s">
        <v>609</v>
      </c>
      <c r="AG150" s="19">
        <v>4.0</v>
      </c>
      <c r="AH150" s="19">
        <f t="shared" si="5"/>
        <v>143</v>
      </c>
      <c r="AI150" s="18"/>
    </row>
    <row r="151" ht="15.75" customHeight="1">
      <c r="A151" s="25">
        <f t="shared" si="1"/>
        <v>148</v>
      </c>
      <c r="B151" s="27">
        <f>ROUND(Guida!$B$22*H151/Guida!$B$30+Guida!$B$23*MAX(0,MIN(1,(AE151-5.4)/1.6))+Guida!$B$24*0+Guida!$B$25*0,1)</f>
        <v>5.8</v>
      </c>
      <c r="C151" s="28" t="s">
        <v>1079</v>
      </c>
      <c r="D151" s="25" t="s">
        <v>232</v>
      </c>
      <c r="E151" s="29" t="s">
        <v>69</v>
      </c>
      <c r="F151" s="30">
        <v>4.0</v>
      </c>
      <c r="G151" s="30">
        <v>4.0</v>
      </c>
      <c r="H151" s="30">
        <v>12.0</v>
      </c>
      <c r="I151" s="30">
        <f>MAX(1,ROUND(H151^Guida!$B$18*Guida!$F$13,0))</f>
        <v>8</v>
      </c>
      <c r="J151" s="30">
        <f t="shared" si="2"/>
        <v>10</v>
      </c>
      <c r="K151" s="25" t="str">
        <f t="shared" si="3"/>
        <v>3a fascia</v>
      </c>
      <c r="L151" s="25" t="s">
        <v>68</v>
      </c>
      <c r="M151" s="21" t="s">
        <v>70</v>
      </c>
      <c r="N151" s="25" t="s">
        <v>71</v>
      </c>
      <c r="O151" s="25" t="s">
        <v>71</v>
      </c>
      <c r="P151" s="30">
        <v>13.0</v>
      </c>
      <c r="Q151" s="32">
        <v>5.69</v>
      </c>
      <c r="R151" s="32">
        <v>5.65</v>
      </c>
      <c r="S151" s="30">
        <v>0.0</v>
      </c>
      <c r="T151" s="30">
        <v>0.0</v>
      </c>
      <c r="U151" s="25" t="s">
        <v>72</v>
      </c>
      <c r="V151" s="30">
        <v>1.0</v>
      </c>
      <c r="W151" s="30">
        <v>0.0</v>
      </c>
      <c r="X151" s="30">
        <v>2.0</v>
      </c>
      <c r="Y151" s="32">
        <v>5.5</v>
      </c>
      <c r="Z151" s="32">
        <v>5.25</v>
      </c>
      <c r="AA151" s="30">
        <v>0.0</v>
      </c>
      <c r="AB151" s="30">
        <v>0.0</v>
      </c>
      <c r="AC151" s="25" t="s">
        <v>232</v>
      </c>
      <c r="AD151" s="25" t="s">
        <v>73</v>
      </c>
      <c r="AE151" s="32">
        <f t="shared" si="4"/>
        <v>5.58</v>
      </c>
      <c r="AF151" s="29" t="s">
        <v>609</v>
      </c>
      <c r="AG151" s="30">
        <v>4.0</v>
      </c>
      <c r="AH151" s="30">
        <f t="shared" si="5"/>
        <v>118</v>
      </c>
      <c r="AI151" s="29"/>
    </row>
    <row r="152" ht="15.75" customHeight="1">
      <c r="A152" s="11">
        <f t="shared" si="1"/>
        <v>149</v>
      </c>
      <c r="B152" s="16">
        <f>ROUND(Guida!$B$22*H152/Guida!$B$30+Guida!$B$23*MAX(0,MIN(1,(AE152-5.4)/1.6))+Guida!$B$24*0+Guida!$B$25*0,1)</f>
        <v>5.2</v>
      </c>
      <c r="C152" s="17" t="s">
        <v>1452</v>
      </c>
      <c r="D152" s="11" t="s">
        <v>177</v>
      </c>
      <c r="E152" s="18" t="s">
        <v>69</v>
      </c>
      <c r="F152" s="19">
        <v>7.0</v>
      </c>
      <c r="G152" s="19">
        <v>7.0</v>
      </c>
      <c r="H152" s="19">
        <v>15.0</v>
      </c>
      <c r="I152" s="19">
        <f>MAX(1,ROUND(H152^Guida!$B$18*Guida!$F$13,0))</f>
        <v>9</v>
      </c>
      <c r="J152" s="19">
        <f t="shared" si="2"/>
        <v>11</v>
      </c>
      <c r="K152" s="11" t="str">
        <f t="shared" si="3"/>
        <v>3a fascia</v>
      </c>
      <c r="L152" s="11" t="s">
        <v>68</v>
      </c>
      <c r="M152" s="21" t="s">
        <v>100</v>
      </c>
      <c r="N152" s="11" t="s">
        <v>71</v>
      </c>
      <c r="O152" s="11" t="s">
        <v>71</v>
      </c>
      <c r="P152" s="19"/>
      <c r="Q152" s="22"/>
      <c r="R152" s="22"/>
      <c r="S152" s="19"/>
      <c r="T152" s="19"/>
      <c r="U152" s="11"/>
      <c r="V152" s="19"/>
      <c r="W152" s="19"/>
      <c r="X152" s="19">
        <v>2.0</v>
      </c>
      <c r="Y152" s="22">
        <v>5.75</v>
      </c>
      <c r="Z152" s="22">
        <v>5.75</v>
      </c>
      <c r="AA152" s="19">
        <v>0.0</v>
      </c>
      <c r="AB152" s="19">
        <v>0.0</v>
      </c>
      <c r="AC152" s="11" t="s">
        <v>71</v>
      </c>
      <c r="AD152" s="11" t="s">
        <v>103</v>
      </c>
      <c r="AE152" s="22">
        <f t="shared" si="4"/>
        <v>5.5</v>
      </c>
      <c r="AF152" s="18" t="s">
        <v>275</v>
      </c>
      <c r="AG152" s="19">
        <v>5.0</v>
      </c>
      <c r="AH152" s="19">
        <f t="shared" si="5"/>
        <v>99</v>
      </c>
      <c r="AI152" s="18"/>
    </row>
    <row r="153" ht="15.75" customHeight="1">
      <c r="A153" s="25">
        <f t="shared" si="1"/>
        <v>149</v>
      </c>
      <c r="B153" s="27">
        <f>ROUND(Guida!$B$22*H153/Guida!$B$30+Guida!$B$23*MAX(0,MIN(1,(AE153-5.4)/1.6))+Guida!$B$24*0+Guida!$B$25*0,1)</f>
        <v>5.2</v>
      </c>
      <c r="C153" s="28" t="s">
        <v>1457</v>
      </c>
      <c r="D153" s="25" t="s">
        <v>239</v>
      </c>
      <c r="E153" s="29" t="s">
        <v>69</v>
      </c>
      <c r="F153" s="30">
        <v>6.0</v>
      </c>
      <c r="G153" s="30">
        <v>6.0</v>
      </c>
      <c r="H153" s="30">
        <v>15.0</v>
      </c>
      <c r="I153" s="30">
        <f>MAX(1,ROUND(H153^Guida!$B$18*Guida!$F$13,0))</f>
        <v>9</v>
      </c>
      <c r="J153" s="30">
        <f t="shared" si="2"/>
        <v>11</v>
      </c>
      <c r="K153" s="25" t="str">
        <f t="shared" si="3"/>
        <v>3a fascia</v>
      </c>
      <c r="L153" s="25" t="s">
        <v>68</v>
      </c>
      <c r="M153" s="21" t="s">
        <v>100</v>
      </c>
      <c r="N153" s="25" t="s">
        <v>71</v>
      </c>
      <c r="O153" s="25" t="s">
        <v>71</v>
      </c>
      <c r="P153" s="30"/>
      <c r="Q153" s="32"/>
      <c r="R153" s="32"/>
      <c r="S153" s="30"/>
      <c r="T153" s="30"/>
      <c r="U153" s="25"/>
      <c r="V153" s="30"/>
      <c r="W153" s="30"/>
      <c r="X153" s="30">
        <v>2.0</v>
      </c>
      <c r="Y153" s="32">
        <v>5.5</v>
      </c>
      <c r="Z153" s="32">
        <v>5.5</v>
      </c>
      <c r="AA153" s="30">
        <v>0.0</v>
      </c>
      <c r="AB153" s="30">
        <v>0.0</v>
      </c>
      <c r="AC153" s="25" t="s">
        <v>71</v>
      </c>
      <c r="AD153" s="25" t="s">
        <v>103</v>
      </c>
      <c r="AE153" s="32">
        <f t="shared" si="4"/>
        <v>5.5</v>
      </c>
      <c r="AF153" s="29" t="s">
        <v>254</v>
      </c>
      <c r="AG153" s="30">
        <v>6.0</v>
      </c>
      <c r="AH153" s="30">
        <f t="shared" si="5"/>
        <v>99</v>
      </c>
      <c r="AI153" s="29"/>
    </row>
    <row r="154" ht="15.75" customHeight="1">
      <c r="A154" s="11">
        <f t="shared" si="1"/>
        <v>149</v>
      </c>
      <c r="B154" s="16">
        <f>ROUND(Guida!$B$22*H154/Guida!$B$30+Guida!$B$23*MAX(0,MIN(1,(AE154-5.4)/1.6))+Guida!$B$24*0+Guida!$B$25*0,1)</f>
        <v>5.2</v>
      </c>
      <c r="C154" s="17" t="s">
        <v>1073</v>
      </c>
      <c r="D154" s="11" t="s">
        <v>177</v>
      </c>
      <c r="E154" s="18" t="s">
        <v>69</v>
      </c>
      <c r="F154" s="19">
        <v>4.0</v>
      </c>
      <c r="G154" s="19">
        <v>4.0</v>
      </c>
      <c r="H154" s="19">
        <v>11.0</v>
      </c>
      <c r="I154" s="19">
        <f>MAX(1,ROUND(H154^Guida!$B$18*Guida!$F$13,0))</f>
        <v>8</v>
      </c>
      <c r="J154" s="19">
        <f t="shared" si="2"/>
        <v>10</v>
      </c>
      <c r="K154" s="11" t="str">
        <f t="shared" si="3"/>
        <v>3a fascia</v>
      </c>
      <c r="L154" s="11" t="s">
        <v>226</v>
      </c>
      <c r="M154" s="18" t="s">
        <v>301</v>
      </c>
      <c r="N154" s="11" t="s">
        <v>71</v>
      </c>
      <c r="O154" s="11" t="s">
        <v>71</v>
      </c>
      <c r="P154" s="19">
        <v>9.0</v>
      </c>
      <c r="Q154" s="22">
        <v>5.72</v>
      </c>
      <c r="R154" s="22">
        <v>5.67</v>
      </c>
      <c r="S154" s="19">
        <v>0.0</v>
      </c>
      <c r="T154" s="19">
        <v>0.0</v>
      </c>
      <c r="U154" s="11" t="s">
        <v>72</v>
      </c>
      <c r="V154" s="19">
        <v>1.0</v>
      </c>
      <c r="W154" s="19">
        <v>0.0</v>
      </c>
      <c r="X154" s="19">
        <v>1.0</v>
      </c>
      <c r="Y154" s="22">
        <v>6.5</v>
      </c>
      <c r="Z154" s="22">
        <v>6.5</v>
      </c>
      <c r="AA154" s="19">
        <v>0.0</v>
      </c>
      <c r="AB154" s="19">
        <v>0.0</v>
      </c>
      <c r="AC154" s="11" t="s">
        <v>177</v>
      </c>
      <c r="AD154" s="11" t="s">
        <v>73</v>
      </c>
      <c r="AE154" s="22">
        <f t="shared" si="4"/>
        <v>5.56</v>
      </c>
      <c r="AF154" s="18" t="s">
        <v>275</v>
      </c>
      <c r="AG154" s="19">
        <v>5.0</v>
      </c>
      <c r="AH154" s="19">
        <f t="shared" si="5"/>
        <v>135</v>
      </c>
      <c r="AI154" s="18"/>
    </row>
    <row r="155" ht="15.75" customHeight="1">
      <c r="A155" s="25">
        <f t="shared" si="1"/>
        <v>152</v>
      </c>
      <c r="B155" s="27">
        <f>ROUND(Guida!$B$22*H155/Guida!$B$30+Guida!$B$23*MAX(0,MIN(1,(AE155-5.4)/1.6))+Guida!$B$24*0+Guida!$B$25*0,1)</f>
        <v>4.7</v>
      </c>
      <c r="C155" s="28" t="s">
        <v>1130</v>
      </c>
      <c r="D155" s="25" t="s">
        <v>261</v>
      </c>
      <c r="E155" s="29" t="s">
        <v>403</v>
      </c>
      <c r="F155" s="30">
        <v>3.0</v>
      </c>
      <c r="G155" s="30">
        <v>4.0</v>
      </c>
      <c r="H155" s="30">
        <v>13.0</v>
      </c>
      <c r="I155" s="30">
        <f>MAX(1,ROUND(H155^Guida!$B$18*Guida!$F$13,0))</f>
        <v>8</v>
      </c>
      <c r="J155" s="30">
        <f t="shared" si="2"/>
        <v>10</v>
      </c>
      <c r="K155" s="25" t="str">
        <f t="shared" si="3"/>
        <v>3a fascia</v>
      </c>
      <c r="L155" s="25" t="s">
        <v>68</v>
      </c>
      <c r="M155" s="21" t="s">
        <v>100</v>
      </c>
      <c r="N155" s="25" t="s">
        <v>71</v>
      </c>
      <c r="O155" s="25" t="s">
        <v>71</v>
      </c>
      <c r="P155" s="30">
        <v>1.0</v>
      </c>
      <c r="Q155" s="32">
        <v>5.5</v>
      </c>
      <c r="R155" s="32">
        <v>5.5</v>
      </c>
      <c r="S155" s="30">
        <v>0.0</v>
      </c>
      <c r="T155" s="30">
        <v>0.0</v>
      </c>
      <c r="U155" s="25" t="s">
        <v>72</v>
      </c>
      <c r="V155" s="30">
        <v>0.0</v>
      </c>
      <c r="W155" s="30">
        <v>0.0</v>
      </c>
      <c r="X155" s="30">
        <v>2.0</v>
      </c>
      <c r="Y155" s="32">
        <v>6.0</v>
      </c>
      <c r="Z155" s="32">
        <v>6.0</v>
      </c>
      <c r="AA155" s="30">
        <v>0.0</v>
      </c>
      <c r="AB155" s="30">
        <v>0.0</v>
      </c>
      <c r="AC155" s="25" t="s">
        <v>177</v>
      </c>
      <c r="AD155" s="25" t="s">
        <v>103</v>
      </c>
      <c r="AE155" s="32">
        <f t="shared" si="4"/>
        <v>5.5</v>
      </c>
      <c r="AF155" s="29" t="s">
        <v>563</v>
      </c>
      <c r="AG155" s="30">
        <v>5.0</v>
      </c>
      <c r="AH155" s="30">
        <f t="shared" si="5"/>
        <v>114</v>
      </c>
      <c r="AI155" s="29"/>
    </row>
    <row r="156" ht="15.75" customHeight="1">
      <c r="A156" s="11">
        <f t="shared" si="1"/>
        <v>153</v>
      </c>
      <c r="B156" s="16">
        <f>ROUND(Guida!$B$22*H156/Guida!$B$30+Guida!$B$23*MAX(0,MIN(1,(AE156-5.4)/1.6))+Guida!$B$24*0+Guida!$B$25*0,1)</f>
        <v>4.5</v>
      </c>
      <c r="C156" s="17" t="s">
        <v>1476</v>
      </c>
      <c r="D156" s="11" t="s">
        <v>261</v>
      </c>
      <c r="E156" s="18" t="s">
        <v>69</v>
      </c>
      <c r="F156" s="19">
        <v>4.0</v>
      </c>
      <c r="G156" s="19">
        <v>4.0</v>
      </c>
      <c r="H156" s="19">
        <v>12.0</v>
      </c>
      <c r="I156" s="19">
        <f>MAX(1,ROUND(H156^Guida!$B$18*Guida!$F$13,0))</f>
        <v>8</v>
      </c>
      <c r="J156" s="19">
        <f t="shared" si="2"/>
        <v>10</v>
      </c>
      <c r="K156" s="11" t="str">
        <f t="shared" si="3"/>
        <v>3a fascia</v>
      </c>
      <c r="L156" s="11" t="s">
        <v>226</v>
      </c>
      <c r="M156" s="18" t="s">
        <v>495</v>
      </c>
      <c r="N156" s="11" t="s">
        <v>71</v>
      </c>
      <c r="O156" s="11" t="s">
        <v>71</v>
      </c>
      <c r="P156" s="19"/>
      <c r="Q156" s="22"/>
      <c r="R156" s="22"/>
      <c r="S156" s="19"/>
      <c r="T156" s="19"/>
      <c r="U156" s="11"/>
      <c r="V156" s="19"/>
      <c r="W156" s="19"/>
      <c r="X156" s="19">
        <v>1.0</v>
      </c>
      <c r="Y156" s="22">
        <v>5.5</v>
      </c>
      <c r="Z156" s="22">
        <v>5.5</v>
      </c>
      <c r="AA156" s="19">
        <v>0.0</v>
      </c>
      <c r="AB156" s="19">
        <v>0.0</v>
      </c>
      <c r="AC156" s="11" t="s">
        <v>71</v>
      </c>
      <c r="AD156" s="11" t="s">
        <v>103</v>
      </c>
      <c r="AE156" s="22">
        <f t="shared" si="4"/>
        <v>5.5</v>
      </c>
      <c r="AF156" s="18" t="s">
        <v>563</v>
      </c>
      <c r="AG156" s="19">
        <v>5.0</v>
      </c>
      <c r="AH156" s="19">
        <f t="shared" si="5"/>
        <v>118</v>
      </c>
      <c r="AI156" s="18"/>
    </row>
    <row r="157" ht="15.75" customHeight="1">
      <c r="A157" s="25">
        <f t="shared" si="1"/>
        <v>153</v>
      </c>
      <c r="B157" s="27">
        <f>ROUND(Guida!$B$22*H157/Guida!$B$30+Guida!$B$23*MAX(0,MIN(1,(AE157-5.4)/1.6))+Guida!$B$24*0+Guida!$B$25*0,1)</f>
        <v>4.5</v>
      </c>
      <c r="C157" s="28" t="s">
        <v>1483</v>
      </c>
      <c r="D157" s="25" t="s">
        <v>283</v>
      </c>
      <c r="E157" s="29" t="s">
        <v>183</v>
      </c>
      <c r="F157" s="30">
        <v>3.0</v>
      </c>
      <c r="G157" s="30">
        <v>3.0</v>
      </c>
      <c r="H157" s="30">
        <v>12.0</v>
      </c>
      <c r="I157" s="30">
        <f>MAX(1,ROUND(H157^Guida!$B$18*Guida!$F$13,0))</f>
        <v>8</v>
      </c>
      <c r="J157" s="30">
        <f t="shared" si="2"/>
        <v>10</v>
      </c>
      <c r="K157" s="25" t="str">
        <f t="shared" si="3"/>
        <v>3a fascia</v>
      </c>
      <c r="L157" s="25" t="s">
        <v>226</v>
      </c>
      <c r="M157" s="29" t="s">
        <v>495</v>
      </c>
      <c r="N157" s="25" t="s">
        <v>71</v>
      </c>
      <c r="O157" s="25" t="s">
        <v>71</v>
      </c>
      <c r="P157" s="30"/>
      <c r="Q157" s="32"/>
      <c r="R157" s="32"/>
      <c r="S157" s="30"/>
      <c r="T157" s="30"/>
      <c r="U157" s="25"/>
      <c r="V157" s="30"/>
      <c r="W157" s="30"/>
      <c r="X157" s="30">
        <v>1.0</v>
      </c>
      <c r="Y157" s="32">
        <v>6.0</v>
      </c>
      <c r="Z157" s="32">
        <v>6.0</v>
      </c>
      <c r="AA157" s="30">
        <v>0.0</v>
      </c>
      <c r="AB157" s="30">
        <v>0.0</v>
      </c>
      <c r="AC157" s="25" t="s">
        <v>71</v>
      </c>
      <c r="AD157" s="25" t="s">
        <v>103</v>
      </c>
      <c r="AE157" s="32">
        <f t="shared" si="4"/>
        <v>5.5</v>
      </c>
      <c r="AF157" s="29" t="s">
        <v>397</v>
      </c>
      <c r="AG157" s="30">
        <v>4.0</v>
      </c>
      <c r="AH157" s="30">
        <f t="shared" si="5"/>
        <v>118</v>
      </c>
      <c r="AI157" s="29"/>
    </row>
    <row r="158" ht="15.75" customHeight="1">
      <c r="A158" s="11">
        <f t="shared" si="1"/>
        <v>153</v>
      </c>
      <c r="B158" s="16">
        <f>ROUND(Guida!$B$22*H158/Guida!$B$30+Guida!$B$23*MAX(0,MIN(1,(AE158-5.4)/1.6))+Guida!$B$24*0+Guida!$B$25*0,1)</f>
        <v>4.5</v>
      </c>
      <c r="C158" s="17" t="s">
        <v>1131</v>
      </c>
      <c r="D158" s="11" t="s">
        <v>232</v>
      </c>
      <c r="E158" s="18" t="s">
        <v>69</v>
      </c>
      <c r="F158" s="19">
        <v>1.0</v>
      </c>
      <c r="G158" s="19">
        <v>3.0</v>
      </c>
      <c r="H158" s="19">
        <v>12.0</v>
      </c>
      <c r="I158" s="19">
        <f>MAX(1,ROUND(H158^Guida!$B$18*Guida!$F$13,0))</f>
        <v>8</v>
      </c>
      <c r="J158" s="19">
        <f t="shared" si="2"/>
        <v>10</v>
      </c>
      <c r="K158" s="11" t="str">
        <f t="shared" si="3"/>
        <v>3a fascia</v>
      </c>
      <c r="L158" s="11" t="s">
        <v>332</v>
      </c>
      <c r="M158" s="18" t="s">
        <v>392</v>
      </c>
      <c r="N158" s="11" t="s">
        <v>71</v>
      </c>
      <c r="O158" s="11" t="s">
        <v>71</v>
      </c>
      <c r="P158" s="19">
        <v>1.0</v>
      </c>
      <c r="Q158" s="22">
        <v>5.5</v>
      </c>
      <c r="R158" s="22">
        <v>5.5</v>
      </c>
      <c r="S158" s="19">
        <v>0.0</v>
      </c>
      <c r="T158" s="19">
        <v>0.0</v>
      </c>
      <c r="U158" s="11" t="s">
        <v>72</v>
      </c>
      <c r="V158" s="19">
        <v>0.0</v>
      </c>
      <c r="W158" s="19">
        <v>0.0</v>
      </c>
      <c r="X158" s="19">
        <v>2.0</v>
      </c>
      <c r="Y158" s="22">
        <v>6.0</v>
      </c>
      <c r="Z158" s="22">
        <v>7.5</v>
      </c>
      <c r="AA158" s="19">
        <v>1.0</v>
      </c>
      <c r="AB158" s="19">
        <v>0.0</v>
      </c>
      <c r="AC158" s="11" t="s">
        <v>232</v>
      </c>
      <c r="AD158" s="11" t="s">
        <v>73</v>
      </c>
      <c r="AE158" s="22">
        <f t="shared" si="4"/>
        <v>5.5</v>
      </c>
      <c r="AF158" s="18" t="s">
        <v>609</v>
      </c>
      <c r="AG158" s="19">
        <v>4.0</v>
      </c>
      <c r="AH158" s="19">
        <f t="shared" si="5"/>
        <v>118</v>
      </c>
      <c r="AI158" s="18"/>
    </row>
    <row r="159" ht="15.75" customHeight="1">
      <c r="A159" s="25">
        <f t="shared" si="1"/>
        <v>153</v>
      </c>
      <c r="B159" s="27">
        <f>ROUND(Guida!$B$22*H159/Guida!$B$30+Guida!$B$23*MAX(0,MIN(1,(AE159-5.4)/1.6))+Guida!$B$24*0+Guida!$B$25*0,1)</f>
        <v>4.5</v>
      </c>
      <c r="C159" s="28" t="s">
        <v>1494</v>
      </c>
      <c r="D159" s="25" t="s">
        <v>239</v>
      </c>
      <c r="E159" s="29" t="s">
        <v>198</v>
      </c>
      <c r="F159" s="30">
        <v>4.0</v>
      </c>
      <c r="G159" s="30">
        <v>4.0</v>
      </c>
      <c r="H159" s="30">
        <v>12.0</v>
      </c>
      <c r="I159" s="30">
        <f>MAX(1,ROUND(H159^Guida!$B$18*Guida!$F$13,0))</f>
        <v>8</v>
      </c>
      <c r="J159" s="30">
        <f t="shared" si="2"/>
        <v>10</v>
      </c>
      <c r="K159" s="25" t="str">
        <f t="shared" si="3"/>
        <v>3a fascia</v>
      </c>
      <c r="L159" s="25" t="s">
        <v>226</v>
      </c>
      <c r="M159" s="29" t="s">
        <v>227</v>
      </c>
      <c r="N159" s="25" t="s">
        <v>71</v>
      </c>
      <c r="O159" s="25" t="s">
        <v>71</v>
      </c>
      <c r="P159" s="30"/>
      <c r="Q159" s="32"/>
      <c r="R159" s="32"/>
      <c r="S159" s="30"/>
      <c r="T159" s="30"/>
      <c r="U159" s="25"/>
      <c r="V159" s="30"/>
      <c r="W159" s="30"/>
      <c r="X159" s="30">
        <v>0.0</v>
      </c>
      <c r="Y159" s="32"/>
      <c r="Z159" s="32"/>
      <c r="AA159" s="30"/>
      <c r="AB159" s="30"/>
      <c r="AC159" s="25" t="s">
        <v>71</v>
      </c>
      <c r="AD159" s="25" t="s">
        <v>103</v>
      </c>
      <c r="AE159" s="32">
        <f t="shared" si="4"/>
        <v>5.5</v>
      </c>
      <c r="AF159" s="29" t="s">
        <v>254</v>
      </c>
      <c r="AG159" s="30">
        <v>6.0</v>
      </c>
      <c r="AH159" s="30">
        <f t="shared" si="5"/>
        <v>118</v>
      </c>
      <c r="AI159" s="29"/>
    </row>
    <row r="160" ht="15.75" customHeight="1">
      <c r="A160" s="11">
        <f t="shared" si="1"/>
        <v>153</v>
      </c>
      <c r="B160" s="16">
        <f>ROUND(Guida!$B$22*H160/Guida!$B$30+Guida!$B$23*MAX(0,MIN(1,(AE160-5.4)/1.6))+Guida!$B$24*0+Guida!$B$25*0,1)</f>
        <v>4.5</v>
      </c>
      <c r="C160" s="17" t="s">
        <v>1503</v>
      </c>
      <c r="D160" s="11" t="s">
        <v>272</v>
      </c>
      <c r="E160" s="18" t="s">
        <v>326</v>
      </c>
      <c r="F160" s="19">
        <v>1.0</v>
      </c>
      <c r="G160" s="19">
        <v>1.0</v>
      </c>
      <c r="H160" s="19">
        <v>12.0</v>
      </c>
      <c r="I160" s="19">
        <f>MAX(1,ROUND(H160^Guida!$B$18*Guida!$F$13,0))</f>
        <v>8</v>
      </c>
      <c r="J160" s="19">
        <f t="shared" si="2"/>
        <v>10</v>
      </c>
      <c r="K160" s="11" t="str">
        <f t="shared" si="3"/>
        <v>3a fascia</v>
      </c>
      <c r="L160" s="11" t="s">
        <v>332</v>
      </c>
      <c r="M160" s="18" t="s">
        <v>615</v>
      </c>
      <c r="N160" s="11" t="s">
        <v>71</v>
      </c>
      <c r="O160" s="11" t="s">
        <v>71</v>
      </c>
      <c r="P160" s="19"/>
      <c r="Q160" s="22"/>
      <c r="R160" s="22"/>
      <c r="S160" s="19"/>
      <c r="T160" s="19"/>
      <c r="U160" s="11"/>
      <c r="V160" s="19"/>
      <c r="W160" s="19"/>
      <c r="X160" s="19">
        <v>1.0</v>
      </c>
      <c r="Y160" s="22">
        <v>5.0</v>
      </c>
      <c r="Z160" s="22">
        <v>5.0</v>
      </c>
      <c r="AA160" s="19">
        <v>0.0</v>
      </c>
      <c r="AB160" s="19">
        <v>0.0</v>
      </c>
      <c r="AC160" s="11" t="s">
        <v>71</v>
      </c>
      <c r="AD160" s="11" t="s">
        <v>103</v>
      </c>
      <c r="AE160" s="22">
        <f t="shared" si="4"/>
        <v>5.5</v>
      </c>
      <c r="AF160" s="18" t="s">
        <v>644</v>
      </c>
      <c r="AG160" s="19">
        <v>6.0</v>
      </c>
      <c r="AH160" s="19">
        <f t="shared" si="5"/>
        <v>118</v>
      </c>
      <c r="AI160" s="18"/>
    </row>
    <row r="161" ht="15.75" customHeight="1">
      <c r="A161" s="25">
        <f t="shared" si="1"/>
        <v>153</v>
      </c>
      <c r="B161" s="27">
        <f>ROUND(Guida!$B$22*H161/Guida!$B$30+Guida!$B$23*MAX(0,MIN(1,(AE161-5.4)/1.6))+Guida!$B$24*0+Guida!$B$25*0,1)</f>
        <v>4.5</v>
      </c>
      <c r="C161" s="28" t="s">
        <v>1021</v>
      </c>
      <c r="D161" s="25" t="s">
        <v>195</v>
      </c>
      <c r="E161" s="29" t="s">
        <v>69</v>
      </c>
      <c r="F161" s="30">
        <v>1.0</v>
      </c>
      <c r="G161" s="30">
        <v>2.0</v>
      </c>
      <c r="H161" s="30">
        <v>3.0</v>
      </c>
      <c r="I161" s="30">
        <f>MAX(1,ROUND(H161^Guida!$B$18*Guida!$F$13,0))</f>
        <v>4</v>
      </c>
      <c r="J161" s="30">
        <f t="shared" si="2"/>
        <v>5</v>
      </c>
      <c r="K161" s="25" t="str">
        <f t="shared" si="3"/>
        <v>4a fascia</v>
      </c>
      <c r="L161" s="25" t="s">
        <v>332</v>
      </c>
      <c r="M161" s="29" t="s">
        <v>408</v>
      </c>
      <c r="N161" s="25" t="s">
        <v>71</v>
      </c>
      <c r="O161" s="25" t="s">
        <v>71</v>
      </c>
      <c r="P161" s="30">
        <v>11.0</v>
      </c>
      <c r="Q161" s="32">
        <v>5.77</v>
      </c>
      <c r="R161" s="32">
        <v>5.82</v>
      </c>
      <c r="S161" s="30">
        <v>0.0</v>
      </c>
      <c r="T161" s="30">
        <v>2.0</v>
      </c>
      <c r="U161" s="25" t="s">
        <v>72</v>
      </c>
      <c r="V161" s="30">
        <v>1.0</v>
      </c>
      <c r="W161" s="30">
        <v>1.0</v>
      </c>
      <c r="X161" s="30">
        <v>1.0</v>
      </c>
      <c r="Y161" s="32">
        <v>6.0</v>
      </c>
      <c r="Z161" s="32">
        <v>6.0</v>
      </c>
      <c r="AA161" s="30">
        <v>0.0</v>
      </c>
      <c r="AB161" s="30">
        <v>0.0</v>
      </c>
      <c r="AC161" s="25" t="s">
        <v>195</v>
      </c>
      <c r="AD161" s="25" t="s">
        <v>73</v>
      </c>
      <c r="AE161" s="32">
        <f t="shared" si="4"/>
        <v>5.64</v>
      </c>
      <c r="AF161" s="29" t="s">
        <v>320</v>
      </c>
      <c r="AG161" s="30">
        <v>0.0</v>
      </c>
      <c r="AH161" s="30">
        <f t="shared" si="5"/>
        <v>179</v>
      </c>
      <c r="AI161" s="29"/>
    </row>
    <row r="162" ht="15.75" customHeight="1">
      <c r="A162" s="11">
        <f t="shared" si="1"/>
        <v>159</v>
      </c>
      <c r="B162" s="16">
        <f>ROUND(Guida!$B$22*H162/Guida!$B$30+Guida!$B$23*MAX(0,MIN(1,(AE162-5.4)/1.6))+Guida!$B$24*0+Guida!$B$25*0,1)</f>
        <v>4.3</v>
      </c>
      <c r="C162" s="17" t="s">
        <v>1520</v>
      </c>
      <c r="D162" s="11" t="s">
        <v>261</v>
      </c>
      <c r="E162" s="18" t="s">
        <v>326</v>
      </c>
      <c r="F162" s="19">
        <v>4.0</v>
      </c>
      <c r="G162" s="19">
        <v>4.0</v>
      </c>
      <c r="H162" s="19">
        <v>11.0</v>
      </c>
      <c r="I162" s="19">
        <f>MAX(1,ROUND(H162^Guida!$B$18*Guida!$F$13,0))</f>
        <v>8</v>
      </c>
      <c r="J162" s="19">
        <f t="shared" si="2"/>
        <v>10</v>
      </c>
      <c r="K162" s="11" t="str">
        <f t="shared" si="3"/>
        <v>3a fascia</v>
      </c>
      <c r="L162" s="11" t="s">
        <v>226</v>
      </c>
      <c r="M162" s="18" t="s">
        <v>227</v>
      </c>
      <c r="N162" s="11" t="s">
        <v>71</v>
      </c>
      <c r="O162" s="11" t="s">
        <v>71</v>
      </c>
      <c r="P162" s="19"/>
      <c r="Q162" s="22"/>
      <c r="R162" s="22"/>
      <c r="S162" s="19"/>
      <c r="T162" s="19"/>
      <c r="U162" s="11"/>
      <c r="V162" s="19"/>
      <c r="W162" s="19"/>
      <c r="X162" s="19">
        <v>0.0</v>
      </c>
      <c r="Y162" s="22"/>
      <c r="Z162" s="22"/>
      <c r="AA162" s="19"/>
      <c r="AB162" s="19"/>
      <c r="AC162" s="11" t="s">
        <v>71</v>
      </c>
      <c r="AD162" s="11" t="s">
        <v>103</v>
      </c>
      <c r="AE162" s="22">
        <f t="shared" si="4"/>
        <v>5.5</v>
      </c>
      <c r="AF162" s="18" t="s">
        <v>563</v>
      </c>
      <c r="AG162" s="19">
        <v>5.0</v>
      </c>
      <c r="AH162" s="19">
        <f t="shared" si="5"/>
        <v>135</v>
      </c>
      <c r="AI162" s="18"/>
    </row>
    <row r="163" ht="15.75" customHeight="1">
      <c r="A163" s="25">
        <f t="shared" si="1"/>
        <v>159</v>
      </c>
      <c r="B163" s="27">
        <f>ROUND(Guida!$B$22*H163/Guida!$B$30+Guida!$B$23*MAX(0,MIN(1,(AE163-5.4)/1.6))+Guida!$B$24*0+Guida!$B$25*0,1)</f>
        <v>4.3</v>
      </c>
      <c r="C163" s="28" t="s">
        <v>1525</v>
      </c>
      <c r="D163" s="25" t="s">
        <v>177</v>
      </c>
      <c r="E163" s="29" t="s">
        <v>387</v>
      </c>
      <c r="F163" s="30">
        <v>5.0</v>
      </c>
      <c r="G163" s="30">
        <v>5.0</v>
      </c>
      <c r="H163" s="30">
        <v>11.0</v>
      </c>
      <c r="I163" s="30">
        <f>MAX(1,ROUND(H163^Guida!$B$18*Guida!$F$13,0))</f>
        <v>8</v>
      </c>
      <c r="J163" s="30">
        <f t="shared" si="2"/>
        <v>10</v>
      </c>
      <c r="K163" s="25" t="str">
        <f t="shared" si="3"/>
        <v>3a fascia</v>
      </c>
      <c r="L163" s="25" t="s">
        <v>226</v>
      </c>
      <c r="M163" s="29" t="s">
        <v>300</v>
      </c>
      <c r="N163" s="25" t="s">
        <v>71</v>
      </c>
      <c r="O163" s="25" t="s">
        <v>71</v>
      </c>
      <c r="P163" s="30"/>
      <c r="Q163" s="32"/>
      <c r="R163" s="32"/>
      <c r="S163" s="30"/>
      <c r="T163" s="30"/>
      <c r="U163" s="25"/>
      <c r="V163" s="30"/>
      <c r="W163" s="30"/>
      <c r="X163" s="30">
        <v>2.0</v>
      </c>
      <c r="Y163" s="32">
        <v>5.5</v>
      </c>
      <c r="Z163" s="32">
        <v>5.5</v>
      </c>
      <c r="AA163" s="30">
        <v>0.0</v>
      </c>
      <c r="AB163" s="30">
        <v>0.0</v>
      </c>
      <c r="AC163" s="25" t="s">
        <v>71</v>
      </c>
      <c r="AD163" s="25" t="s">
        <v>103</v>
      </c>
      <c r="AE163" s="32">
        <f t="shared" si="4"/>
        <v>5.5</v>
      </c>
      <c r="AF163" s="29" t="s">
        <v>275</v>
      </c>
      <c r="AG163" s="30">
        <v>5.0</v>
      </c>
      <c r="AH163" s="30">
        <f t="shared" si="5"/>
        <v>135</v>
      </c>
      <c r="AI163" s="29"/>
    </row>
    <row r="164" ht="15.75" customHeight="1">
      <c r="A164" s="11">
        <f t="shared" si="1"/>
        <v>159</v>
      </c>
      <c r="B164" s="16">
        <f>ROUND(Guida!$B$22*H164/Guida!$B$30+Guida!$B$23*MAX(0,MIN(1,(AE164-5.4)/1.6))+Guida!$B$24*0+Guida!$B$25*0,1)</f>
        <v>4.3</v>
      </c>
      <c r="C164" s="17" t="s">
        <v>1532</v>
      </c>
      <c r="D164" s="11" t="s">
        <v>177</v>
      </c>
      <c r="E164" s="18" t="s">
        <v>387</v>
      </c>
      <c r="F164" s="19">
        <v>5.0</v>
      </c>
      <c r="G164" s="19">
        <v>4.0</v>
      </c>
      <c r="H164" s="19">
        <v>11.0</v>
      </c>
      <c r="I164" s="19">
        <f>MAX(1,ROUND(H164^Guida!$B$18*Guida!$F$13,0))</f>
        <v>8</v>
      </c>
      <c r="J164" s="19">
        <f t="shared" si="2"/>
        <v>10</v>
      </c>
      <c r="K164" s="11" t="str">
        <f t="shared" si="3"/>
        <v>3a fascia</v>
      </c>
      <c r="L164" s="11" t="s">
        <v>332</v>
      </c>
      <c r="M164" s="18" t="s">
        <v>338</v>
      </c>
      <c r="N164" s="11" t="s">
        <v>71</v>
      </c>
      <c r="O164" s="11" t="s">
        <v>71</v>
      </c>
      <c r="P164" s="19"/>
      <c r="Q164" s="22"/>
      <c r="R164" s="22"/>
      <c r="S164" s="19"/>
      <c r="T164" s="19"/>
      <c r="U164" s="11"/>
      <c r="V164" s="19"/>
      <c r="W164" s="19"/>
      <c r="X164" s="19">
        <v>0.0</v>
      </c>
      <c r="Y164" s="22"/>
      <c r="Z164" s="22"/>
      <c r="AA164" s="19"/>
      <c r="AB164" s="19"/>
      <c r="AC164" s="11" t="s">
        <v>71</v>
      </c>
      <c r="AD164" s="11" t="s">
        <v>103</v>
      </c>
      <c r="AE164" s="22">
        <f t="shared" si="4"/>
        <v>5.5</v>
      </c>
      <c r="AF164" s="18" t="s">
        <v>275</v>
      </c>
      <c r="AG164" s="19">
        <v>5.0</v>
      </c>
      <c r="AH164" s="19">
        <f t="shared" si="5"/>
        <v>135</v>
      </c>
      <c r="AI164" s="18"/>
    </row>
    <row r="165" ht="15.75" customHeight="1">
      <c r="A165" s="25">
        <f t="shared" si="1"/>
        <v>162</v>
      </c>
      <c r="B165" s="27">
        <f>ROUND(Guida!$B$22*H165/Guida!$B$30+Guida!$B$23*MAX(0,MIN(1,(AE165-5.4)/1.6))+Guida!$B$24*0+Guida!$B$25*0,1)</f>
        <v>4.1</v>
      </c>
      <c r="C165" s="28" t="s">
        <v>1007</v>
      </c>
      <c r="D165" s="25" t="s">
        <v>177</v>
      </c>
      <c r="E165" s="29" t="s">
        <v>403</v>
      </c>
      <c r="F165" s="30">
        <v>2.0</v>
      </c>
      <c r="G165" s="30">
        <v>2.0</v>
      </c>
      <c r="H165" s="30">
        <v>4.0</v>
      </c>
      <c r="I165" s="30">
        <f>MAX(1,ROUND(H165^Guida!$B$18*Guida!$F$13,0))</f>
        <v>4</v>
      </c>
      <c r="J165" s="30">
        <f t="shared" si="2"/>
        <v>5</v>
      </c>
      <c r="K165" s="25" t="str">
        <f t="shared" si="3"/>
        <v>4a fascia</v>
      </c>
      <c r="L165" s="25" t="s">
        <v>332</v>
      </c>
      <c r="M165" s="29" t="s">
        <v>338</v>
      </c>
      <c r="N165" s="25" t="s">
        <v>71</v>
      </c>
      <c r="O165" s="25" t="s">
        <v>71</v>
      </c>
      <c r="P165" s="30">
        <v>7.0</v>
      </c>
      <c r="Q165" s="32">
        <v>5.86</v>
      </c>
      <c r="R165" s="32">
        <v>5.86</v>
      </c>
      <c r="S165" s="30">
        <v>0.0</v>
      </c>
      <c r="T165" s="30">
        <v>0.0</v>
      </c>
      <c r="U165" s="25" t="s">
        <v>72</v>
      </c>
      <c r="V165" s="30">
        <v>0.0</v>
      </c>
      <c r="W165" s="30">
        <v>0.0</v>
      </c>
      <c r="X165" s="30">
        <v>0.0</v>
      </c>
      <c r="Y165" s="32"/>
      <c r="Z165" s="32"/>
      <c r="AA165" s="30"/>
      <c r="AB165" s="30"/>
      <c r="AC165" s="25" t="s">
        <v>60</v>
      </c>
      <c r="AD165" s="25" t="s">
        <v>103</v>
      </c>
      <c r="AE165" s="32">
        <f t="shared" si="4"/>
        <v>5.6</v>
      </c>
      <c r="AF165" s="29" t="s">
        <v>275</v>
      </c>
      <c r="AG165" s="30">
        <v>5.0</v>
      </c>
      <c r="AH165" s="30">
        <f t="shared" si="5"/>
        <v>174</v>
      </c>
      <c r="AI165" s="29"/>
    </row>
    <row r="166" ht="15.75" customHeight="1">
      <c r="A166" s="11">
        <f t="shared" si="1"/>
        <v>163</v>
      </c>
      <c r="B166" s="16">
        <f>ROUND(Guida!$B$22*H166/Guida!$B$30+Guida!$B$23*MAX(0,MIN(1,(AE166-5.4)/1.6))+Guida!$B$24*0+Guida!$B$25*0,1)</f>
        <v>4</v>
      </c>
      <c r="C166" s="17" t="s">
        <v>1545</v>
      </c>
      <c r="D166" s="11" t="s">
        <v>182</v>
      </c>
      <c r="E166" s="18" t="s">
        <v>69</v>
      </c>
      <c r="F166" s="19">
        <v>5.0</v>
      </c>
      <c r="G166" s="19">
        <v>5.0</v>
      </c>
      <c r="H166" s="19">
        <v>10.0</v>
      </c>
      <c r="I166" s="19">
        <f>MAX(1,ROUND(H166^Guida!$B$18*Guida!$F$13,0))</f>
        <v>7</v>
      </c>
      <c r="J166" s="19">
        <f t="shared" si="2"/>
        <v>8</v>
      </c>
      <c r="K166" s="11" t="str">
        <f t="shared" si="3"/>
        <v>3a fascia</v>
      </c>
      <c r="L166" s="11" t="s">
        <v>332</v>
      </c>
      <c r="M166" s="18" t="s">
        <v>615</v>
      </c>
      <c r="N166" s="11" t="s">
        <v>71</v>
      </c>
      <c r="O166" s="11" t="s">
        <v>71</v>
      </c>
      <c r="P166" s="19"/>
      <c r="Q166" s="22"/>
      <c r="R166" s="22"/>
      <c r="S166" s="19"/>
      <c r="T166" s="19"/>
      <c r="U166" s="11"/>
      <c r="V166" s="19"/>
      <c r="W166" s="19"/>
      <c r="X166" s="19">
        <v>1.0</v>
      </c>
      <c r="Y166" s="22">
        <v>5.5</v>
      </c>
      <c r="Z166" s="22">
        <v>5.5</v>
      </c>
      <c r="AA166" s="19">
        <v>0.0</v>
      </c>
      <c r="AB166" s="19">
        <v>0.0</v>
      </c>
      <c r="AC166" s="11" t="s">
        <v>71</v>
      </c>
      <c r="AD166" s="11" t="s">
        <v>103</v>
      </c>
      <c r="AE166" s="22">
        <f t="shared" si="4"/>
        <v>5.5</v>
      </c>
      <c r="AF166" s="18" t="s">
        <v>176</v>
      </c>
      <c r="AG166" s="19">
        <v>6.0</v>
      </c>
      <c r="AH166" s="19">
        <f t="shared" si="5"/>
        <v>143</v>
      </c>
      <c r="AI166" s="18"/>
    </row>
    <row r="167" ht="15.75" customHeight="1">
      <c r="A167" s="25">
        <f t="shared" si="1"/>
        <v>163</v>
      </c>
      <c r="B167" s="27">
        <f>ROUND(Guida!$B$22*H167/Guida!$B$30+Guida!$B$23*MAX(0,MIN(1,(AE167-5.4)/1.6))+Guida!$B$24*0+Guida!$B$25*0,1)</f>
        <v>4</v>
      </c>
      <c r="C167" s="28" t="s">
        <v>681</v>
      </c>
      <c r="D167" s="25" t="s">
        <v>182</v>
      </c>
      <c r="E167" s="29" t="s">
        <v>69</v>
      </c>
      <c r="F167" s="30">
        <v>2.0</v>
      </c>
      <c r="G167" s="30">
        <v>2.0</v>
      </c>
      <c r="H167" s="30">
        <v>10.0</v>
      </c>
      <c r="I167" s="30">
        <f>MAX(1,ROUND(H167^Guida!$B$18*Guida!$F$13,0))</f>
        <v>7</v>
      </c>
      <c r="J167" s="30">
        <f t="shared" si="2"/>
        <v>8</v>
      </c>
      <c r="K167" s="25" t="str">
        <f t="shared" si="3"/>
        <v>3a fascia</v>
      </c>
      <c r="L167" s="25" t="s">
        <v>332</v>
      </c>
      <c r="M167" s="36" t="s">
        <v>1550</v>
      </c>
      <c r="N167" s="25" t="s">
        <v>71</v>
      </c>
      <c r="O167" s="25" t="s">
        <v>71</v>
      </c>
      <c r="P167" s="30"/>
      <c r="Q167" s="32"/>
      <c r="R167" s="32"/>
      <c r="S167" s="30"/>
      <c r="T167" s="30"/>
      <c r="U167" s="25"/>
      <c r="V167" s="30"/>
      <c r="W167" s="30"/>
      <c r="X167" s="30">
        <v>1.0</v>
      </c>
      <c r="Y167" s="32">
        <v>5.0</v>
      </c>
      <c r="Z167" s="32">
        <v>4.5</v>
      </c>
      <c r="AA167" s="30">
        <v>0.0</v>
      </c>
      <c r="AB167" s="30">
        <v>0.0</v>
      </c>
      <c r="AC167" s="25" t="s">
        <v>71</v>
      </c>
      <c r="AD167" s="25" t="s">
        <v>103</v>
      </c>
      <c r="AE167" s="32">
        <f t="shared" si="4"/>
        <v>5.5</v>
      </c>
      <c r="AF167" s="29" t="s">
        <v>176</v>
      </c>
      <c r="AG167" s="30">
        <v>6.0</v>
      </c>
      <c r="AH167" s="30">
        <f t="shared" si="5"/>
        <v>143</v>
      </c>
      <c r="AI167" s="29" t="s">
        <v>683</v>
      </c>
    </row>
    <row r="168" ht="15.75" customHeight="1">
      <c r="A168" s="11">
        <f t="shared" si="1"/>
        <v>163</v>
      </c>
      <c r="B168" s="16">
        <f>ROUND(Guida!$B$22*H168/Guida!$B$30+Guida!$B$23*MAX(0,MIN(1,(AE168-5.4)/1.6))+Guida!$B$24*0+Guida!$B$25*0,1)</f>
        <v>4</v>
      </c>
      <c r="C168" s="17" t="s">
        <v>1555</v>
      </c>
      <c r="D168" s="11" t="s">
        <v>261</v>
      </c>
      <c r="E168" s="18" t="s">
        <v>69</v>
      </c>
      <c r="F168" s="19">
        <v>5.0</v>
      </c>
      <c r="G168" s="19">
        <v>4.0</v>
      </c>
      <c r="H168" s="19">
        <v>10.0</v>
      </c>
      <c r="I168" s="19">
        <f>MAX(1,ROUND(H168^Guida!$B$18*Guida!$F$13,0))</f>
        <v>7</v>
      </c>
      <c r="J168" s="19">
        <f t="shared" si="2"/>
        <v>8</v>
      </c>
      <c r="K168" s="11" t="str">
        <f t="shared" si="3"/>
        <v>3a fascia</v>
      </c>
      <c r="L168" s="11" t="s">
        <v>332</v>
      </c>
      <c r="M168" s="18" t="s">
        <v>338</v>
      </c>
      <c r="N168" s="11" t="s">
        <v>71</v>
      </c>
      <c r="O168" s="11" t="s">
        <v>71</v>
      </c>
      <c r="P168" s="19"/>
      <c r="Q168" s="22"/>
      <c r="R168" s="22"/>
      <c r="S168" s="19"/>
      <c r="T168" s="19"/>
      <c r="U168" s="11"/>
      <c r="V168" s="19"/>
      <c r="W168" s="19"/>
      <c r="X168" s="19">
        <v>0.0</v>
      </c>
      <c r="Y168" s="22"/>
      <c r="Z168" s="22"/>
      <c r="AA168" s="19"/>
      <c r="AB168" s="19"/>
      <c r="AC168" s="11" t="s">
        <v>71</v>
      </c>
      <c r="AD168" s="11" t="s">
        <v>103</v>
      </c>
      <c r="AE168" s="22">
        <f t="shared" si="4"/>
        <v>5.5</v>
      </c>
      <c r="AF168" s="18" t="s">
        <v>563</v>
      </c>
      <c r="AG168" s="19">
        <v>5.0</v>
      </c>
      <c r="AH168" s="19">
        <f t="shared" si="5"/>
        <v>143</v>
      </c>
      <c r="AI168" s="18"/>
    </row>
    <row r="169" ht="15.75" customHeight="1">
      <c r="A169" s="25">
        <f t="shared" si="1"/>
        <v>166</v>
      </c>
      <c r="B169" s="27">
        <f>ROUND(Guida!$B$22*H169/Guida!$B$30+Guida!$B$23*MAX(0,MIN(1,(AE169-5.4)/1.6))+Guida!$B$24*0+Guida!$B$25*0,1)</f>
        <v>3.8</v>
      </c>
      <c r="C169" s="28" t="s">
        <v>1056</v>
      </c>
      <c r="D169" s="25" t="s">
        <v>212</v>
      </c>
      <c r="E169" s="29" t="s">
        <v>198</v>
      </c>
      <c r="F169" s="30">
        <v>1.0</v>
      </c>
      <c r="G169" s="30">
        <v>1.0</v>
      </c>
      <c r="H169" s="30">
        <v>4.0</v>
      </c>
      <c r="I169" s="30">
        <f>MAX(1,ROUND(H169^Guida!$B$18*Guida!$F$13,0))</f>
        <v>4</v>
      </c>
      <c r="J169" s="30">
        <f t="shared" si="2"/>
        <v>5</v>
      </c>
      <c r="K169" s="25" t="str">
        <f t="shared" si="3"/>
        <v>4a fascia</v>
      </c>
      <c r="L169" s="25" t="s">
        <v>332</v>
      </c>
      <c r="M169" s="29" t="s">
        <v>333</v>
      </c>
      <c r="N169" s="25" t="s">
        <v>71</v>
      </c>
      <c r="O169" s="25" t="s">
        <v>71</v>
      </c>
      <c r="P169" s="30">
        <v>9.0</v>
      </c>
      <c r="Q169" s="32">
        <v>5.78</v>
      </c>
      <c r="R169" s="32">
        <v>5.72</v>
      </c>
      <c r="S169" s="30">
        <v>0.0</v>
      </c>
      <c r="T169" s="30">
        <v>0.0</v>
      </c>
      <c r="U169" s="25" t="s">
        <v>72</v>
      </c>
      <c r="V169" s="30">
        <v>1.0</v>
      </c>
      <c r="W169" s="30">
        <v>0.0</v>
      </c>
      <c r="X169" s="30">
        <v>0.0</v>
      </c>
      <c r="Y169" s="32"/>
      <c r="Z169" s="32"/>
      <c r="AA169" s="30"/>
      <c r="AB169" s="30"/>
      <c r="AC169" s="25" t="s">
        <v>212</v>
      </c>
      <c r="AD169" s="25" t="s">
        <v>73</v>
      </c>
      <c r="AE169" s="32">
        <f t="shared" si="4"/>
        <v>5.58</v>
      </c>
      <c r="AF169" s="29" t="s">
        <v>275</v>
      </c>
      <c r="AG169" s="30">
        <v>0.0</v>
      </c>
      <c r="AH169" s="30">
        <f t="shared" si="5"/>
        <v>174</v>
      </c>
      <c r="AI169" s="29"/>
    </row>
    <row r="170" ht="15.75" customHeight="1">
      <c r="A170" s="11">
        <f t="shared" si="1"/>
        <v>166</v>
      </c>
      <c r="B170" s="16">
        <f>ROUND(Guida!$B$22*H170/Guida!$B$30+Guida!$B$23*MAX(0,MIN(1,(AE170-5.4)/1.6))+Guida!$B$24*0+Guida!$B$25*0,1)</f>
        <v>3.8</v>
      </c>
      <c r="C170" s="17" t="s">
        <v>1063</v>
      </c>
      <c r="D170" s="11" t="s">
        <v>185</v>
      </c>
      <c r="E170" s="18" t="s">
        <v>69</v>
      </c>
      <c r="F170" s="19">
        <v>1.0</v>
      </c>
      <c r="G170" s="19">
        <v>2.0</v>
      </c>
      <c r="H170" s="19">
        <v>4.0</v>
      </c>
      <c r="I170" s="19">
        <f>MAX(1,ROUND(H170^Guida!$B$18*Guida!$F$13,0))</f>
        <v>4</v>
      </c>
      <c r="J170" s="19">
        <f t="shared" si="2"/>
        <v>5</v>
      </c>
      <c r="K170" s="11" t="str">
        <f t="shared" si="3"/>
        <v>4a fascia</v>
      </c>
      <c r="L170" s="11" t="s">
        <v>332</v>
      </c>
      <c r="M170" s="18" t="s">
        <v>408</v>
      </c>
      <c r="N170" s="11" t="s">
        <v>71</v>
      </c>
      <c r="O170" s="11" t="s">
        <v>71</v>
      </c>
      <c r="P170" s="19">
        <v>10.0</v>
      </c>
      <c r="Q170" s="22">
        <v>5.75</v>
      </c>
      <c r="R170" s="22">
        <v>5.7</v>
      </c>
      <c r="S170" s="19">
        <v>0.0</v>
      </c>
      <c r="T170" s="19">
        <v>0.0</v>
      </c>
      <c r="U170" s="11" t="s">
        <v>72</v>
      </c>
      <c r="V170" s="19">
        <v>2.0</v>
      </c>
      <c r="W170" s="19">
        <v>0.0</v>
      </c>
      <c r="X170" s="19">
        <v>1.0</v>
      </c>
      <c r="Y170" s="22">
        <v>6.0</v>
      </c>
      <c r="Z170" s="22">
        <v>6.0</v>
      </c>
      <c r="AA170" s="19">
        <v>0.0</v>
      </c>
      <c r="AB170" s="19">
        <v>0.0</v>
      </c>
      <c r="AC170" s="11" t="s">
        <v>185</v>
      </c>
      <c r="AD170" s="11" t="s">
        <v>73</v>
      </c>
      <c r="AE170" s="22">
        <f t="shared" si="4"/>
        <v>5.58</v>
      </c>
      <c r="AF170" s="18" t="s">
        <v>106</v>
      </c>
      <c r="AG170" s="19">
        <v>7.0</v>
      </c>
      <c r="AH170" s="19">
        <f t="shared" si="5"/>
        <v>174</v>
      </c>
      <c r="AI170" s="18"/>
    </row>
    <row r="171" ht="15.75" customHeight="1">
      <c r="A171" s="25">
        <f t="shared" si="1"/>
        <v>168</v>
      </c>
      <c r="B171" s="27">
        <f>ROUND(Guida!$B$22*H171/Guida!$B$30+Guida!$B$23*MAX(0,MIN(1,(AE171-5.4)/1.6))+Guida!$B$24*0+Guida!$B$25*0,1)</f>
        <v>3.7</v>
      </c>
      <c r="C171" s="28" t="s">
        <v>1084</v>
      </c>
      <c r="D171" s="25" t="s">
        <v>212</v>
      </c>
      <c r="E171" s="29" t="s">
        <v>183</v>
      </c>
      <c r="F171" s="30">
        <v>3.0</v>
      </c>
      <c r="G171" s="30">
        <v>3.0</v>
      </c>
      <c r="H171" s="30">
        <v>5.0</v>
      </c>
      <c r="I171" s="30">
        <f>MAX(1,ROUND(H171^Guida!$B$18*Guida!$F$13,0))</f>
        <v>5</v>
      </c>
      <c r="J171" s="30">
        <f t="shared" si="2"/>
        <v>6</v>
      </c>
      <c r="K171" s="25" t="str">
        <f t="shared" si="3"/>
        <v>4a fascia</v>
      </c>
      <c r="L171" s="25" t="s">
        <v>332</v>
      </c>
      <c r="M171" s="29" t="s">
        <v>392</v>
      </c>
      <c r="N171" s="25" t="s">
        <v>71</v>
      </c>
      <c r="O171" s="25" t="s">
        <v>71</v>
      </c>
      <c r="P171" s="30">
        <v>11.0</v>
      </c>
      <c r="Q171" s="32">
        <v>5.77</v>
      </c>
      <c r="R171" s="32">
        <v>5.64</v>
      </c>
      <c r="S171" s="30">
        <v>0.0</v>
      </c>
      <c r="T171" s="30">
        <v>0.0</v>
      </c>
      <c r="U171" s="25" t="s">
        <v>72</v>
      </c>
      <c r="V171" s="30">
        <v>4.0</v>
      </c>
      <c r="W171" s="30">
        <v>0.0</v>
      </c>
      <c r="X171" s="30">
        <v>2.0</v>
      </c>
      <c r="Y171" s="32">
        <v>5.5</v>
      </c>
      <c r="Z171" s="32">
        <v>5.5</v>
      </c>
      <c r="AA171" s="30">
        <v>0.0</v>
      </c>
      <c r="AB171" s="30">
        <v>0.0</v>
      </c>
      <c r="AC171" s="25" t="s">
        <v>212</v>
      </c>
      <c r="AD171" s="25" t="s">
        <v>73</v>
      </c>
      <c r="AE171" s="32">
        <f t="shared" si="4"/>
        <v>5.56</v>
      </c>
      <c r="AF171" s="29" t="s">
        <v>275</v>
      </c>
      <c r="AG171" s="30">
        <v>0.0</v>
      </c>
      <c r="AH171" s="30">
        <f t="shared" si="5"/>
        <v>168</v>
      </c>
      <c r="AI171" s="29"/>
    </row>
    <row r="172" ht="15.75" customHeight="1">
      <c r="A172" s="11">
        <f t="shared" si="1"/>
        <v>169</v>
      </c>
      <c r="B172" s="16">
        <f>ROUND(Guida!$B$22*H172/Guida!$B$30+Guida!$B$23*MAX(0,MIN(1,(AE172-5.4)/1.6))+Guida!$B$24*0+Guida!$B$25*0,1)</f>
        <v>3.6</v>
      </c>
      <c r="C172" s="17" t="s">
        <v>1051</v>
      </c>
      <c r="D172" s="11" t="s">
        <v>232</v>
      </c>
      <c r="E172" s="18" t="s">
        <v>69</v>
      </c>
      <c r="F172" s="19">
        <v>1.0</v>
      </c>
      <c r="G172" s="19">
        <v>1.0</v>
      </c>
      <c r="H172" s="19">
        <v>2.0</v>
      </c>
      <c r="I172" s="19">
        <f>MAX(1,ROUND(H172^Guida!$B$18*Guida!$F$13,0))</f>
        <v>3</v>
      </c>
      <c r="J172" s="19">
        <f t="shared" si="2"/>
        <v>4</v>
      </c>
      <c r="K172" s="11" t="str">
        <f t="shared" si="3"/>
        <v>4a fascia</v>
      </c>
      <c r="L172" s="11" t="s">
        <v>332</v>
      </c>
      <c r="M172" s="18" t="s">
        <v>333</v>
      </c>
      <c r="N172" s="11" t="s">
        <v>71</v>
      </c>
      <c r="O172" s="11" t="s">
        <v>71</v>
      </c>
      <c r="P172" s="19">
        <v>11.0</v>
      </c>
      <c r="Q172" s="22">
        <v>5.77</v>
      </c>
      <c r="R172" s="22">
        <v>5.73</v>
      </c>
      <c r="S172" s="19">
        <v>0.0</v>
      </c>
      <c r="T172" s="19">
        <v>0.0</v>
      </c>
      <c r="U172" s="11" t="s">
        <v>72</v>
      </c>
      <c r="V172" s="19">
        <v>1.0</v>
      </c>
      <c r="W172" s="19">
        <v>0.0</v>
      </c>
      <c r="X172" s="19">
        <v>0.0</v>
      </c>
      <c r="Y172" s="22"/>
      <c r="Z172" s="22"/>
      <c r="AA172" s="19"/>
      <c r="AB172" s="19"/>
      <c r="AC172" s="11" t="s">
        <v>232</v>
      </c>
      <c r="AD172" s="11" t="s">
        <v>73</v>
      </c>
      <c r="AE172" s="22">
        <f t="shared" si="4"/>
        <v>5.6</v>
      </c>
      <c r="AF172" s="18" t="s">
        <v>609</v>
      </c>
      <c r="AG172" s="19">
        <v>4.0</v>
      </c>
      <c r="AH172" s="19">
        <f t="shared" si="5"/>
        <v>183</v>
      </c>
      <c r="AI172" s="18"/>
    </row>
    <row r="173" ht="15.75" customHeight="1">
      <c r="A173" s="25">
        <f t="shared" si="1"/>
        <v>170</v>
      </c>
      <c r="B173" s="27">
        <f>ROUND(Guida!$B$22*H173/Guida!$B$30+Guida!$B$23*MAX(0,MIN(1,(AE173-5.4)/1.6))+Guida!$B$24*0+Guida!$B$25*0,1)</f>
        <v>3.5</v>
      </c>
      <c r="C173" s="28" t="s">
        <v>1574</v>
      </c>
      <c r="D173" s="25" t="s">
        <v>264</v>
      </c>
      <c r="E173" s="29" t="s">
        <v>134</v>
      </c>
      <c r="F173" s="30">
        <v>3.0</v>
      </c>
      <c r="G173" s="30">
        <v>3.0</v>
      </c>
      <c r="H173" s="30">
        <v>8.0</v>
      </c>
      <c r="I173" s="30">
        <f>MAX(1,ROUND(H173^Guida!$B$18*Guida!$F$13,0))</f>
        <v>6</v>
      </c>
      <c r="J173" s="30">
        <f t="shared" si="2"/>
        <v>7</v>
      </c>
      <c r="K173" s="25" t="str">
        <f t="shared" si="3"/>
        <v>4a fascia</v>
      </c>
      <c r="L173" s="25" t="s">
        <v>226</v>
      </c>
      <c r="M173" s="29" t="s">
        <v>227</v>
      </c>
      <c r="N173" s="25" t="s">
        <v>71</v>
      </c>
      <c r="O173" s="25" t="s">
        <v>71</v>
      </c>
      <c r="P173" s="30"/>
      <c r="Q173" s="32"/>
      <c r="R173" s="32"/>
      <c r="S173" s="30"/>
      <c r="T173" s="30"/>
      <c r="U173" s="25"/>
      <c r="V173" s="30"/>
      <c r="W173" s="30"/>
      <c r="X173" s="30">
        <v>0.0</v>
      </c>
      <c r="Y173" s="32"/>
      <c r="Z173" s="32"/>
      <c r="AA173" s="30"/>
      <c r="AB173" s="30"/>
      <c r="AC173" s="25" t="s">
        <v>71</v>
      </c>
      <c r="AD173" s="25" t="s">
        <v>103</v>
      </c>
      <c r="AE173" s="32">
        <f t="shared" si="4"/>
        <v>5.5</v>
      </c>
      <c r="AF173" s="29" t="s">
        <v>678</v>
      </c>
      <c r="AG173" s="30">
        <v>6.0</v>
      </c>
      <c r="AH173" s="30">
        <f t="shared" si="5"/>
        <v>154</v>
      </c>
      <c r="AI173" s="29"/>
    </row>
    <row r="174" ht="15.75" customHeight="1">
      <c r="A174" s="11">
        <f t="shared" si="1"/>
        <v>171</v>
      </c>
      <c r="B174" s="16">
        <f>ROUND(Guida!$B$22*H174/Guida!$B$30+Guida!$B$23*MAX(0,MIN(1,(AE174-5.4)/1.6))+Guida!$B$24*0+Guida!$B$25*0,1)</f>
        <v>3.3</v>
      </c>
      <c r="C174" s="17" t="s">
        <v>1579</v>
      </c>
      <c r="D174" s="11" t="s">
        <v>64</v>
      </c>
      <c r="E174" s="18" t="s">
        <v>69</v>
      </c>
      <c r="F174" s="19">
        <v>3.0</v>
      </c>
      <c r="G174" s="19">
        <v>3.0</v>
      </c>
      <c r="H174" s="19">
        <v>7.0</v>
      </c>
      <c r="I174" s="19">
        <f>MAX(1,ROUND(H174^Guida!$B$18*Guida!$F$13,0))</f>
        <v>6</v>
      </c>
      <c r="J174" s="19">
        <f t="shared" si="2"/>
        <v>7</v>
      </c>
      <c r="K174" s="11" t="str">
        <f t="shared" si="3"/>
        <v>4a fascia</v>
      </c>
      <c r="L174" s="11" t="s">
        <v>332</v>
      </c>
      <c r="M174" s="18" t="s">
        <v>338</v>
      </c>
      <c r="N174" s="11" t="s">
        <v>71</v>
      </c>
      <c r="O174" s="11" t="s">
        <v>71</v>
      </c>
      <c r="P174" s="19"/>
      <c r="Q174" s="22"/>
      <c r="R174" s="22"/>
      <c r="S174" s="19"/>
      <c r="T174" s="19"/>
      <c r="U174" s="11"/>
      <c r="V174" s="19"/>
      <c r="W174" s="19"/>
      <c r="X174" s="19">
        <v>0.0</v>
      </c>
      <c r="Y174" s="22"/>
      <c r="Z174" s="22"/>
      <c r="AA174" s="19"/>
      <c r="AB174" s="19"/>
      <c r="AC174" s="11" t="s">
        <v>71</v>
      </c>
      <c r="AD174" s="11" t="s">
        <v>103</v>
      </c>
      <c r="AE174" s="22">
        <f t="shared" si="4"/>
        <v>5.5</v>
      </c>
      <c r="AF174" s="18" t="s">
        <v>106</v>
      </c>
      <c r="AG174" s="19">
        <v>0.0</v>
      </c>
      <c r="AH174" s="19">
        <f t="shared" si="5"/>
        <v>161</v>
      </c>
      <c r="AI174" s="18"/>
    </row>
    <row r="175" ht="15.75" customHeight="1">
      <c r="A175" s="25">
        <f t="shared" si="1"/>
        <v>172</v>
      </c>
      <c r="B175" s="27">
        <f>ROUND(Guida!$B$22*H175/Guida!$B$30+Guida!$B$23*MAX(0,MIN(1,(AE175-5.4)/1.6))+Guida!$B$24*0+Guida!$B$25*0,1)</f>
        <v>3.1</v>
      </c>
      <c r="C175" s="28" t="s">
        <v>701</v>
      </c>
      <c r="D175" s="25" t="s">
        <v>253</v>
      </c>
      <c r="E175" s="29" t="s">
        <v>69</v>
      </c>
      <c r="F175" s="30">
        <v>2.0</v>
      </c>
      <c r="G175" s="30">
        <v>2.0</v>
      </c>
      <c r="H175" s="30">
        <v>5.0</v>
      </c>
      <c r="I175" s="30">
        <f>MAX(1,ROUND(H175^Guida!$B$18*Guida!$F$13,0))</f>
        <v>5</v>
      </c>
      <c r="J175" s="30">
        <f t="shared" si="2"/>
        <v>6</v>
      </c>
      <c r="K175" s="25" t="str">
        <f t="shared" si="3"/>
        <v>4a fascia</v>
      </c>
      <c r="L175" s="25" t="s">
        <v>332</v>
      </c>
      <c r="M175" s="36" t="s">
        <v>477</v>
      </c>
      <c r="N175" s="25" t="s">
        <v>71</v>
      </c>
      <c r="O175" s="25" t="s">
        <v>71</v>
      </c>
      <c r="P175" s="30">
        <v>2.0</v>
      </c>
      <c r="Q175" s="32">
        <v>5.75</v>
      </c>
      <c r="R175" s="32">
        <v>5.75</v>
      </c>
      <c r="S175" s="30">
        <v>0.0</v>
      </c>
      <c r="T175" s="30">
        <v>0.0</v>
      </c>
      <c r="U175" s="25" t="s">
        <v>72</v>
      </c>
      <c r="V175" s="30">
        <v>0.0</v>
      </c>
      <c r="W175" s="30">
        <v>0.0</v>
      </c>
      <c r="X175" s="30">
        <v>0.0</v>
      </c>
      <c r="Y175" s="32"/>
      <c r="Z175" s="32"/>
      <c r="AA175" s="30"/>
      <c r="AB175" s="30"/>
      <c r="AC175" s="25" t="s">
        <v>253</v>
      </c>
      <c r="AD175" s="25" t="s">
        <v>73</v>
      </c>
      <c r="AE175" s="32">
        <f t="shared" si="4"/>
        <v>5.52</v>
      </c>
      <c r="AF175" s="29" t="s">
        <v>216</v>
      </c>
      <c r="AG175" s="30">
        <v>4.0</v>
      </c>
      <c r="AH175" s="30">
        <f t="shared" si="5"/>
        <v>168</v>
      </c>
      <c r="AI175" s="29" t="s">
        <v>702</v>
      </c>
    </row>
    <row r="176" ht="15.75" customHeight="1">
      <c r="A176" s="11">
        <f t="shared" si="1"/>
        <v>173</v>
      </c>
      <c r="B176" s="16">
        <f>ROUND(Guida!$B$22*H176/Guida!$B$30+Guida!$B$23*MAX(0,MIN(1,(AE176-5.4)/1.6))+Guida!$B$24*0+Guida!$B$25*0,1)</f>
        <v>3</v>
      </c>
      <c r="C176" s="17" t="s">
        <v>707</v>
      </c>
      <c r="D176" s="11" t="s">
        <v>185</v>
      </c>
      <c r="E176" s="18" t="s">
        <v>387</v>
      </c>
      <c r="F176" s="19">
        <v>2.0</v>
      </c>
      <c r="G176" s="19">
        <v>2.0</v>
      </c>
      <c r="H176" s="19">
        <v>6.0</v>
      </c>
      <c r="I176" s="19">
        <f>MAX(1,ROUND(H176^Guida!$B$18*Guida!$F$13,0))</f>
        <v>5</v>
      </c>
      <c r="J176" s="19">
        <f t="shared" si="2"/>
        <v>6</v>
      </c>
      <c r="K176" s="11" t="str">
        <f t="shared" si="3"/>
        <v>4a fascia</v>
      </c>
      <c r="L176" s="11" t="s">
        <v>332</v>
      </c>
      <c r="M176" s="36" t="s">
        <v>1588</v>
      </c>
      <c r="N176" s="11" t="s">
        <v>71</v>
      </c>
      <c r="O176" s="11" t="s">
        <v>71</v>
      </c>
      <c r="P176" s="19"/>
      <c r="Q176" s="22"/>
      <c r="R176" s="22"/>
      <c r="S176" s="19"/>
      <c r="T176" s="19"/>
      <c r="U176" s="11"/>
      <c r="V176" s="19"/>
      <c r="W176" s="19"/>
      <c r="X176" s="19">
        <v>0.0</v>
      </c>
      <c r="Y176" s="22"/>
      <c r="Z176" s="22"/>
      <c r="AA176" s="19"/>
      <c r="AB176" s="19"/>
      <c r="AC176" s="11" t="s">
        <v>71</v>
      </c>
      <c r="AD176" s="11" t="s">
        <v>103</v>
      </c>
      <c r="AE176" s="22">
        <f t="shared" si="4"/>
        <v>5.5</v>
      </c>
      <c r="AF176" s="18" t="s">
        <v>106</v>
      </c>
      <c r="AG176" s="19">
        <v>7.0</v>
      </c>
      <c r="AH176" s="19">
        <f t="shared" si="5"/>
        <v>165</v>
      </c>
      <c r="AI176" s="18" t="s">
        <v>708</v>
      </c>
    </row>
    <row r="177" ht="15.75" customHeight="1">
      <c r="A177" s="25">
        <f t="shared" si="1"/>
        <v>173</v>
      </c>
      <c r="B177" s="27">
        <f>ROUND(Guida!$B$22*H177/Guida!$B$30+Guida!$B$23*MAX(0,MIN(1,(AE177-5.4)/1.6))+Guida!$B$24*0+Guida!$B$25*0,1)</f>
        <v>3</v>
      </c>
      <c r="C177" s="28" t="s">
        <v>713</v>
      </c>
      <c r="D177" s="25" t="s">
        <v>272</v>
      </c>
      <c r="E177" s="29" t="s">
        <v>65</v>
      </c>
      <c r="F177" s="30">
        <v>2.0</v>
      </c>
      <c r="G177" s="30">
        <v>2.0</v>
      </c>
      <c r="H177" s="30">
        <v>6.0</v>
      </c>
      <c r="I177" s="30">
        <f>MAX(1,ROUND(H177^Guida!$B$18*Guida!$F$13,0))</f>
        <v>5</v>
      </c>
      <c r="J177" s="30">
        <f t="shared" si="2"/>
        <v>6</v>
      </c>
      <c r="K177" s="25" t="str">
        <f t="shared" si="3"/>
        <v>4a fascia</v>
      </c>
      <c r="L177" s="25" t="s">
        <v>332</v>
      </c>
      <c r="M177" s="38" t="s">
        <v>348</v>
      </c>
      <c r="N177" s="25" t="s">
        <v>71</v>
      </c>
      <c r="O177" s="25" t="s">
        <v>71</v>
      </c>
      <c r="P177" s="30"/>
      <c r="Q177" s="32"/>
      <c r="R177" s="32"/>
      <c r="S177" s="30"/>
      <c r="T177" s="30"/>
      <c r="U177" s="25"/>
      <c r="V177" s="30"/>
      <c r="W177" s="30"/>
      <c r="X177" s="30">
        <v>0.0</v>
      </c>
      <c r="Y177" s="32"/>
      <c r="Z177" s="32"/>
      <c r="AA177" s="30"/>
      <c r="AB177" s="30"/>
      <c r="AC177" s="25" t="s">
        <v>71</v>
      </c>
      <c r="AD177" s="25" t="s">
        <v>103</v>
      </c>
      <c r="AE177" s="32">
        <f t="shared" si="4"/>
        <v>5.5</v>
      </c>
      <c r="AF177" s="29" t="s">
        <v>644</v>
      </c>
      <c r="AG177" s="30">
        <v>6.0</v>
      </c>
      <c r="AH177" s="30">
        <f t="shared" si="5"/>
        <v>165</v>
      </c>
      <c r="AI177" s="29" t="s">
        <v>714</v>
      </c>
    </row>
    <row r="178" ht="15.75" customHeight="1">
      <c r="A178" s="11">
        <f t="shared" si="1"/>
        <v>173</v>
      </c>
      <c r="B178" s="16">
        <f>ROUND(Guida!$B$22*H178/Guida!$B$30+Guida!$B$23*MAX(0,MIN(1,(AE178-5.4)/1.6))+Guida!$B$24*0+Guida!$B$25*0,1)</f>
        <v>3</v>
      </c>
      <c r="C178" s="17" t="s">
        <v>1595</v>
      </c>
      <c r="D178" s="11" t="s">
        <v>261</v>
      </c>
      <c r="E178" s="18" t="s">
        <v>198</v>
      </c>
      <c r="F178" s="19">
        <v>3.0</v>
      </c>
      <c r="G178" s="19">
        <v>3.0</v>
      </c>
      <c r="H178" s="19">
        <v>6.0</v>
      </c>
      <c r="I178" s="19">
        <f>MAX(1,ROUND(H178^Guida!$B$18*Guida!$F$13,0))</f>
        <v>5</v>
      </c>
      <c r="J178" s="19">
        <f t="shared" si="2"/>
        <v>6</v>
      </c>
      <c r="K178" s="11" t="str">
        <f t="shared" si="3"/>
        <v>4a fascia</v>
      </c>
      <c r="L178" s="11" t="s">
        <v>332</v>
      </c>
      <c r="M178" s="18" t="s">
        <v>338</v>
      </c>
      <c r="N178" s="11" t="s">
        <v>71</v>
      </c>
      <c r="O178" s="11" t="s">
        <v>71</v>
      </c>
      <c r="P178" s="19"/>
      <c r="Q178" s="22"/>
      <c r="R178" s="22"/>
      <c r="S178" s="19"/>
      <c r="T178" s="19"/>
      <c r="U178" s="11"/>
      <c r="V178" s="19"/>
      <c r="W178" s="19"/>
      <c r="X178" s="19">
        <v>0.0</v>
      </c>
      <c r="Y178" s="22"/>
      <c r="Z178" s="22"/>
      <c r="AA178" s="19"/>
      <c r="AB178" s="19"/>
      <c r="AC178" s="11" t="s">
        <v>71</v>
      </c>
      <c r="AD178" s="11" t="s">
        <v>103</v>
      </c>
      <c r="AE178" s="22">
        <f t="shared" si="4"/>
        <v>5.5</v>
      </c>
      <c r="AF178" s="18" t="s">
        <v>563</v>
      </c>
      <c r="AG178" s="19">
        <v>5.0</v>
      </c>
      <c r="AH178" s="19">
        <f t="shared" si="5"/>
        <v>165</v>
      </c>
      <c r="AI178" s="18"/>
    </row>
    <row r="179" ht="15.75" customHeight="1">
      <c r="A179" s="25">
        <f t="shared" si="1"/>
        <v>176</v>
      </c>
      <c r="B179" s="27">
        <f>ROUND(Guida!$B$22*H179/Guida!$B$30+Guida!$B$23*MAX(0,MIN(1,(AE179-5.4)/1.6))+Guida!$B$24*0+Guida!$B$25*0,1)</f>
        <v>2.8</v>
      </c>
      <c r="C179" s="28" t="s">
        <v>1598</v>
      </c>
      <c r="D179" s="25" t="s">
        <v>261</v>
      </c>
      <c r="E179" s="29" t="s">
        <v>198</v>
      </c>
      <c r="F179" s="30">
        <v>2.0</v>
      </c>
      <c r="G179" s="30">
        <v>2.0</v>
      </c>
      <c r="H179" s="30">
        <v>5.0</v>
      </c>
      <c r="I179" s="30">
        <f>MAX(1,ROUND(H179^Guida!$B$18*Guida!$F$13,0))</f>
        <v>5</v>
      </c>
      <c r="J179" s="30">
        <f t="shared" si="2"/>
        <v>6</v>
      </c>
      <c r="K179" s="25" t="str">
        <f t="shared" si="3"/>
        <v>4a fascia</v>
      </c>
      <c r="L179" s="25" t="s">
        <v>332</v>
      </c>
      <c r="M179" s="29" t="s">
        <v>615</v>
      </c>
      <c r="N179" s="25" t="s">
        <v>71</v>
      </c>
      <c r="O179" s="25" t="s">
        <v>71</v>
      </c>
      <c r="P179" s="30"/>
      <c r="Q179" s="32"/>
      <c r="R179" s="32"/>
      <c r="S179" s="30"/>
      <c r="T179" s="30"/>
      <c r="U179" s="25"/>
      <c r="V179" s="30"/>
      <c r="W179" s="30"/>
      <c r="X179" s="30">
        <v>1.0</v>
      </c>
      <c r="Y179" s="32">
        <v>6.0</v>
      </c>
      <c r="Z179" s="32">
        <v>6.0</v>
      </c>
      <c r="AA179" s="30">
        <v>0.0</v>
      </c>
      <c r="AB179" s="30">
        <v>0.0</v>
      </c>
      <c r="AC179" s="25" t="s">
        <v>71</v>
      </c>
      <c r="AD179" s="25" t="s">
        <v>103</v>
      </c>
      <c r="AE179" s="32">
        <f t="shared" si="4"/>
        <v>5.5</v>
      </c>
      <c r="AF179" s="29" t="s">
        <v>563</v>
      </c>
      <c r="AG179" s="30">
        <v>5.0</v>
      </c>
      <c r="AH179" s="30">
        <f t="shared" si="5"/>
        <v>168</v>
      </c>
      <c r="AI179" s="29"/>
    </row>
    <row r="180" ht="15.75" customHeight="1">
      <c r="A180" s="11">
        <f t="shared" si="1"/>
        <v>176</v>
      </c>
      <c r="B180" s="16">
        <f>ROUND(Guida!$B$22*H180/Guida!$B$30+Guida!$B$23*MAX(0,MIN(1,(AE180-5.4)/1.6))+Guida!$B$24*0+Guida!$B$25*0,1)</f>
        <v>2.8</v>
      </c>
      <c r="C180" s="17" t="s">
        <v>1603</v>
      </c>
      <c r="D180" s="11" t="s">
        <v>185</v>
      </c>
      <c r="E180" s="18" t="s">
        <v>387</v>
      </c>
      <c r="F180" s="19">
        <v>2.0</v>
      </c>
      <c r="G180" s="19">
        <v>2.0</v>
      </c>
      <c r="H180" s="19">
        <v>5.0</v>
      </c>
      <c r="I180" s="19">
        <f>MAX(1,ROUND(H180^Guida!$B$18*Guida!$F$13,0))</f>
        <v>5</v>
      </c>
      <c r="J180" s="19">
        <f t="shared" si="2"/>
        <v>6</v>
      </c>
      <c r="K180" s="11" t="str">
        <f t="shared" si="3"/>
        <v>4a fascia</v>
      </c>
      <c r="L180" s="11" t="s">
        <v>332</v>
      </c>
      <c r="M180" s="18" t="s">
        <v>338</v>
      </c>
      <c r="N180" s="11" t="s">
        <v>71</v>
      </c>
      <c r="O180" s="11" t="s">
        <v>71</v>
      </c>
      <c r="P180" s="19"/>
      <c r="Q180" s="22"/>
      <c r="R180" s="22"/>
      <c r="S180" s="19"/>
      <c r="T180" s="19"/>
      <c r="U180" s="11"/>
      <c r="V180" s="19"/>
      <c r="W180" s="19"/>
      <c r="X180" s="19">
        <v>0.0</v>
      </c>
      <c r="Y180" s="22"/>
      <c r="Z180" s="22"/>
      <c r="AA180" s="19"/>
      <c r="AB180" s="19"/>
      <c r="AC180" s="11" t="s">
        <v>71</v>
      </c>
      <c r="AD180" s="11" t="s">
        <v>103</v>
      </c>
      <c r="AE180" s="22">
        <f t="shared" si="4"/>
        <v>5.5</v>
      </c>
      <c r="AF180" s="18" t="s">
        <v>106</v>
      </c>
      <c r="AG180" s="19">
        <v>7.0</v>
      </c>
      <c r="AH180" s="19">
        <f t="shared" si="5"/>
        <v>168</v>
      </c>
      <c r="AI180" s="18"/>
    </row>
    <row r="181" ht="15.75" customHeight="1">
      <c r="A181" s="25">
        <f t="shared" si="1"/>
        <v>176</v>
      </c>
      <c r="B181" s="27">
        <f>ROUND(Guida!$B$22*H181/Guida!$B$30+Guida!$B$23*MAX(0,MIN(1,(AE181-5.4)/1.6))+Guida!$B$24*0+Guida!$B$25*0,1)</f>
        <v>2.8</v>
      </c>
      <c r="C181" s="28" t="s">
        <v>1184</v>
      </c>
      <c r="D181" s="25" t="s">
        <v>195</v>
      </c>
      <c r="E181" s="29" t="s">
        <v>387</v>
      </c>
      <c r="F181" s="30">
        <v>1.0</v>
      </c>
      <c r="G181" s="30">
        <v>1.0</v>
      </c>
      <c r="H181" s="30">
        <v>5.0</v>
      </c>
      <c r="I181" s="30">
        <f>MAX(1,ROUND(H181^Guida!$B$18*Guida!$F$13,0))</f>
        <v>5</v>
      </c>
      <c r="J181" s="30">
        <f t="shared" si="2"/>
        <v>6</v>
      </c>
      <c r="K181" s="25" t="str">
        <f t="shared" si="3"/>
        <v>4a fascia</v>
      </c>
      <c r="L181" s="25" t="s">
        <v>332</v>
      </c>
      <c r="M181" s="29" t="s">
        <v>333</v>
      </c>
      <c r="N181" s="25" t="s">
        <v>71</v>
      </c>
      <c r="O181" s="25" t="s">
        <v>71</v>
      </c>
      <c r="P181" s="30"/>
      <c r="Q181" s="32"/>
      <c r="R181" s="32"/>
      <c r="S181" s="30"/>
      <c r="T181" s="30"/>
      <c r="U181" s="25"/>
      <c r="V181" s="30"/>
      <c r="W181" s="30"/>
      <c r="X181" s="30">
        <v>0.0</v>
      </c>
      <c r="Y181" s="32"/>
      <c r="Z181" s="32"/>
      <c r="AA181" s="30"/>
      <c r="AB181" s="30"/>
      <c r="AC181" s="25" t="s">
        <v>195</v>
      </c>
      <c r="AD181" s="25" t="s">
        <v>73</v>
      </c>
      <c r="AE181" s="32">
        <f t="shared" si="4"/>
        <v>5.5</v>
      </c>
      <c r="AF181" s="29" t="s">
        <v>320</v>
      </c>
      <c r="AG181" s="30">
        <v>0.0</v>
      </c>
      <c r="AH181" s="30">
        <f t="shared" si="5"/>
        <v>168</v>
      </c>
      <c r="AI181" s="29"/>
    </row>
    <row r="182" ht="15.75" customHeight="1">
      <c r="A182" s="11">
        <f t="shared" si="1"/>
        <v>179</v>
      </c>
      <c r="B182" s="16">
        <f>ROUND(Guida!$B$22*H182/Guida!$B$30+Guida!$B$23*MAX(0,MIN(1,(AE182-5.4)/1.6))+Guida!$B$24*0+Guida!$B$25*0,1)</f>
        <v>2.6</v>
      </c>
      <c r="C182" s="17" t="s">
        <v>970</v>
      </c>
      <c r="D182" s="11" t="s">
        <v>283</v>
      </c>
      <c r="E182" s="18" t="s">
        <v>758</v>
      </c>
      <c r="F182" s="19">
        <v>1.0</v>
      </c>
      <c r="G182" s="19">
        <v>2.0</v>
      </c>
      <c r="H182" s="19">
        <v>3.0</v>
      </c>
      <c r="I182" s="19">
        <f>MAX(1,ROUND(H182^Guida!$B$18*Guida!$F$13,0))</f>
        <v>4</v>
      </c>
      <c r="J182" s="19">
        <f t="shared" si="2"/>
        <v>5</v>
      </c>
      <c r="K182" s="11" t="str">
        <f t="shared" si="3"/>
        <v>4a fascia</v>
      </c>
      <c r="L182" s="11" t="s">
        <v>332</v>
      </c>
      <c r="M182" s="18" t="s">
        <v>408</v>
      </c>
      <c r="N182" s="11" t="s">
        <v>71</v>
      </c>
      <c r="O182" s="11" t="s">
        <v>71</v>
      </c>
      <c r="P182" s="19">
        <v>1.0</v>
      </c>
      <c r="Q182" s="22">
        <v>6.0</v>
      </c>
      <c r="R182" s="22">
        <v>6.0</v>
      </c>
      <c r="S182" s="19">
        <v>0.0</v>
      </c>
      <c r="T182" s="19">
        <v>0.0</v>
      </c>
      <c r="U182" s="11" t="s">
        <v>72</v>
      </c>
      <c r="V182" s="19">
        <v>0.0</v>
      </c>
      <c r="W182" s="19">
        <v>0.0</v>
      </c>
      <c r="X182" s="19">
        <v>1.0</v>
      </c>
      <c r="Y182" s="22">
        <v>5.5</v>
      </c>
      <c r="Z182" s="22">
        <v>5.5</v>
      </c>
      <c r="AA182" s="19">
        <v>0.0</v>
      </c>
      <c r="AB182" s="19">
        <v>0.0</v>
      </c>
      <c r="AC182" s="11" t="s">
        <v>283</v>
      </c>
      <c r="AD182" s="11" t="s">
        <v>73</v>
      </c>
      <c r="AE182" s="22">
        <f t="shared" si="4"/>
        <v>5.52</v>
      </c>
      <c r="AF182" s="18" t="s">
        <v>397</v>
      </c>
      <c r="AG182" s="19">
        <v>4.0</v>
      </c>
      <c r="AH182" s="19">
        <f t="shared" si="5"/>
        <v>179</v>
      </c>
      <c r="AI182" s="18"/>
    </row>
    <row r="183" ht="15.75" customHeight="1">
      <c r="A183" s="25">
        <f t="shared" si="1"/>
        <v>179</v>
      </c>
      <c r="B183" s="27">
        <f>ROUND(Guida!$B$22*H183/Guida!$B$30+Guida!$B$23*MAX(0,MIN(1,(AE183-5.4)/1.6))+Guida!$B$24*0+Guida!$B$25*0,1)</f>
        <v>2.6</v>
      </c>
      <c r="C183" s="28" t="s">
        <v>1088</v>
      </c>
      <c r="D183" s="25" t="s">
        <v>264</v>
      </c>
      <c r="E183" s="29" t="s">
        <v>198</v>
      </c>
      <c r="F183" s="30">
        <v>3.0</v>
      </c>
      <c r="G183" s="30">
        <v>3.0</v>
      </c>
      <c r="H183" s="30">
        <v>3.0</v>
      </c>
      <c r="I183" s="30">
        <f>MAX(1,ROUND(H183^Guida!$B$18*Guida!$F$13,0))</f>
        <v>4</v>
      </c>
      <c r="J183" s="30">
        <f t="shared" si="2"/>
        <v>5</v>
      </c>
      <c r="K183" s="25" t="str">
        <f t="shared" si="3"/>
        <v>4a fascia</v>
      </c>
      <c r="L183" s="25" t="s">
        <v>226</v>
      </c>
      <c r="M183" s="29" t="s">
        <v>227</v>
      </c>
      <c r="N183" s="25" t="s">
        <v>71</v>
      </c>
      <c r="O183" s="25" t="s">
        <v>71</v>
      </c>
      <c r="P183" s="30">
        <v>4.0</v>
      </c>
      <c r="Q183" s="32">
        <v>5.62</v>
      </c>
      <c r="R183" s="32">
        <v>5.62</v>
      </c>
      <c r="S183" s="30">
        <v>0.0</v>
      </c>
      <c r="T183" s="30">
        <v>0.0</v>
      </c>
      <c r="U183" s="25" t="s">
        <v>72</v>
      </c>
      <c r="V183" s="30">
        <v>0.0</v>
      </c>
      <c r="W183" s="30">
        <v>0.0</v>
      </c>
      <c r="X183" s="30">
        <v>0.0</v>
      </c>
      <c r="Y183" s="32"/>
      <c r="Z183" s="32"/>
      <c r="AA183" s="30"/>
      <c r="AB183" s="30"/>
      <c r="AC183" s="25" t="s">
        <v>232</v>
      </c>
      <c r="AD183" s="25" t="s">
        <v>103</v>
      </c>
      <c r="AE183" s="32">
        <f t="shared" si="4"/>
        <v>5.52</v>
      </c>
      <c r="AF183" s="29" t="s">
        <v>678</v>
      </c>
      <c r="AG183" s="30">
        <v>6.0</v>
      </c>
      <c r="AH183" s="30">
        <f t="shared" si="5"/>
        <v>179</v>
      </c>
      <c r="AI183" s="29"/>
    </row>
    <row r="184" ht="15.75" customHeight="1">
      <c r="A184" s="11">
        <f t="shared" si="1"/>
        <v>181</v>
      </c>
      <c r="B184" s="16">
        <f>ROUND(Guida!$B$22*H184/Guida!$B$30+Guida!$B$23*MAX(0,MIN(1,(AE184-5.4)/1.6))+Guida!$B$24*0+Guida!$B$25*0,1)</f>
        <v>2.5</v>
      </c>
      <c r="C184" s="17" t="s">
        <v>1616</v>
      </c>
      <c r="D184" s="11" t="s">
        <v>272</v>
      </c>
      <c r="E184" s="18" t="s">
        <v>69</v>
      </c>
      <c r="F184" s="19">
        <v>3.0</v>
      </c>
      <c r="G184" s="19">
        <v>3.0</v>
      </c>
      <c r="H184" s="19">
        <v>4.0</v>
      </c>
      <c r="I184" s="19">
        <f>MAX(1,ROUND(H184^Guida!$B$18*Guida!$F$13,0))</f>
        <v>4</v>
      </c>
      <c r="J184" s="19">
        <f t="shared" si="2"/>
        <v>5</v>
      </c>
      <c r="K184" s="11" t="str">
        <f t="shared" si="3"/>
        <v>4a fascia</v>
      </c>
      <c r="L184" s="11" t="s">
        <v>226</v>
      </c>
      <c r="M184" s="18" t="s">
        <v>227</v>
      </c>
      <c r="N184" s="11" t="s">
        <v>71</v>
      </c>
      <c r="O184" s="11" t="s">
        <v>71</v>
      </c>
      <c r="P184" s="19"/>
      <c r="Q184" s="22"/>
      <c r="R184" s="22"/>
      <c r="S184" s="19"/>
      <c r="T184" s="19"/>
      <c r="U184" s="11"/>
      <c r="V184" s="19"/>
      <c r="W184" s="19"/>
      <c r="X184" s="19">
        <v>0.0</v>
      </c>
      <c r="Y184" s="22"/>
      <c r="Z184" s="22"/>
      <c r="AA184" s="19"/>
      <c r="AB184" s="19"/>
      <c r="AC184" s="11" t="s">
        <v>71</v>
      </c>
      <c r="AD184" s="11" t="s">
        <v>103</v>
      </c>
      <c r="AE184" s="22">
        <f t="shared" si="4"/>
        <v>5.5</v>
      </c>
      <c r="AF184" s="18" t="s">
        <v>644</v>
      </c>
      <c r="AG184" s="19">
        <v>6.0</v>
      </c>
      <c r="AH184" s="19">
        <f t="shared" si="5"/>
        <v>174</v>
      </c>
      <c r="AI184" s="18"/>
    </row>
    <row r="185" ht="15.75" customHeight="1">
      <c r="A185" s="25">
        <f t="shared" si="1"/>
        <v>181</v>
      </c>
      <c r="B185" s="27">
        <f>ROUND(Guida!$B$22*H185/Guida!$B$30+Guida!$B$23*MAX(0,MIN(1,(AE185-5.4)/1.6))+Guida!$B$24*0+Guida!$B$25*0,1)</f>
        <v>2.5</v>
      </c>
      <c r="C185" s="28" t="s">
        <v>1621</v>
      </c>
      <c r="D185" s="25" t="s">
        <v>264</v>
      </c>
      <c r="E185" s="29" t="s">
        <v>326</v>
      </c>
      <c r="F185" s="30">
        <v>2.0</v>
      </c>
      <c r="G185" s="30">
        <v>2.0</v>
      </c>
      <c r="H185" s="30">
        <v>4.0</v>
      </c>
      <c r="I185" s="30">
        <f>MAX(1,ROUND(H185^Guida!$B$18*Guida!$F$13,0))</f>
        <v>4</v>
      </c>
      <c r="J185" s="30">
        <f t="shared" si="2"/>
        <v>5</v>
      </c>
      <c r="K185" s="25" t="str">
        <f t="shared" si="3"/>
        <v>4a fascia</v>
      </c>
      <c r="L185" s="25" t="s">
        <v>332</v>
      </c>
      <c r="M185" s="29" t="s">
        <v>338</v>
      </c>
      <c r="N185" s="25" t="s">
        <v>71</v>
      </c>
      <c r="O185" s="25" t="s">
        <v>71</v>
      </c>
      <c r="P185" s="30"/>
      <c r="Q185" s="32"/>
      <c r="R185" s="32"/>
      <c r="S185" s="30"/>
      <c r="T185" s="30"/>
      <c r="U185" s="25"/>
      <c r="V185" s="30"/>
      <c r="W185" s="30"/>
      <c r="X185" s="30">
        <v>0.0</v>
      </c>
      <c r="Y185" s="32"/>
      <c r="Z185" s="32"/>
      <c r="AA185" s="30"/>
      <c r="AB185" s="30"/>
      <c r="AC185" s="25" t="s">
        <v>71</v>
      </c>
      <c r="AD185" s="25" t="s">
        <v>103</v>
      </c>
      <c r="AE185" s="32">
        <f t="shared" si="4"/>
        <v>5.5</v>
      </c>
      <c r="AF185" s="29" t="s">
        <v>678</v>
      </c>
      <c r="AG185" s="30">
        <v>6.0</v>
      </c>
      <c r="AH185" s="30">
        <f t="shared" si="5"/>
        <v>174</v>
      </c>
      <c r="AI185" s="29"/>
    </row>
    <row r="186" ht="15.75" customHeight="1">
      <c r="A186" s="11">
        <f t="shared" si="1"/>
        <v>183</v>
      </c>
      <c r="B186" s="16">
        <f>ROUND(Guida!$B$22*H186/Guida!$B$30+Guida!$B$23*MAX(0,MIN(1,(AE186-5.4)/1.6))+Guida!$B$24*0+Guida!$B$25*0,1)</f>
        <v>2.4</v>
      </c>
      <c r="C186" s="17" t="s">
        <v>1044</v>
      </c>
      <c r="D186" s="11" t="s">
        <v>239</v>
      </c>
      <c r="E186" s="18" t="s">
        <v>69</v>
      </c>
      <c r="F186" s="19">
        <v>1.0</v>
      </c>
      <c r="G186" s="19">
        <v>1.0</v>
      </c>
      <c r="H186" s="19">
        <v>1.0</v>
      </c>
      <c r="I186" s="19">
        <f>MAX(1,ROUND(H186^Guida!$B$18*Guida!$F$13,0))</f>
        <v>2</v>
      </c>
      <c r="J186" s="19">
        <f t="shared" si="2"/>
        <v>2</v>
      </c>
      <c r="K186" s="11" t="str">
        <f t="shared" si="3"/>
        <v>Scommessa</v>
      </c>
      <c r="L186" s="11" t="s">
        <v>332</v>
      </c>
      <c r="M186" s="18" t="s">
        <v>333</v>
      </c>
      <c r="N186" s="11" t="s">
        <v>71</v>
      </c>
      <c r="O186" s="11" t="s">
        <v>71</v>
      </c>
      <c r="P186" s="19">
        <v>4.0</v>
      </c>
      <c r="Q186" s="22">
        <v>5.75</v>
      </c>
      <c r="R186" s="22">
        <v>5.75</v>
      </c>
      <c r="S186" s="19">
        <v>0.0</v>
      </c>
      <c r="T186" s="19">
        <v>0.0</v>
      </c>
      <c r="U186" s="11" t="s">
        <v>72</v>
      </c>
      <c r="V186" s="19">
        <v>0.0</v>
      </c>
      <c r="W186" s="19">
        <v>0.0</v>
      </c>
      <c r="X186" s="19">
        <v>0.0</v>
      </c>
      <c r="Y186" s="22"/>
      <c r="Z186" s="22"/>
      <c r="AA186" s="19"/>
      <c r="AB186" s="19"/>
      <c r="AC186" s="11" t="s">
        <v>239</v>
      </c>
      <c r="AD186" s="11" t="s">
        <v>73</v>
      </c>
      <c r="AE186" s="22">
        <f t="shared" si="4"/>
        <v>5.54</v>
      </c>
      <c r="AF186" s="18" t="s">
        <v>254</v>
      </c>
      <c r="AG186" s="19">
        <v>6.0</v>
      </c>
      <c r="AH186" s="19">
        <f t="shared" si="5"/>
        <v>185</v>
      </c>
      <c r="AI186" s="18"/>
    </row>
    <row r="187" ht="15.75" customHeight="1">
      <c r="A187" s="25">
        <f t="shared" si="1"/>
        <v>184</v>
      </c>
      <c r="B187" s="27">
        <f>ROUND(Guida!$B$22*H187/Guida!$B$30+Guida!$B$23*MAX(0,MIN(1,(AE187-5.4)/1.6))+Guida!$B$24*0+Guida!$B$25*0,1)</f>
        <v>2.3</v>
      </c>
      <c r="C187" s="28" t="s">
        <v>1630</v>
      </c>
      <c r="D187" s="25" t="s">
        <v>261</v>
      </c>
      <c r="E187" s="29" t="s">
        <v>326</v>
      </c>
      <c r="F187" s="30">
        <v>1.0</v>
      </c>
      <c r="G187" s="30">
        <v>1.0</v>
      </c>
      <c r="H187" s="30">
        <v>3.0</v>
      </c>
      <c r="I187" s="30">
        <f>MAX(1,ROUND(H187^Guida!$B$18*Guida!$F$13,0))</f>
        <v>4</v>
      </c>
      <c r="J187" s="30">
        <f t="shared" si="2"/>
        <v>5</v>
      </c>
      <c r="K187" s="25" t="str">
        <f t="shared" si="3"/>
        <v>4a fascia</v>
      </c>
      <c r="L187" s="25" t="s">
        <v>332</v>
      </c>
      <c r="M187" s="29" t="s">
        <v>338</v>
      </c>
      <c r="N187" s="25" t="s">
        <v>71</v>
      </c>
      <c r="O187" s="25" t="s">
        <v>71</v>
      </c>
      <c r="P187" s="30"/>
      <c r="Q187" s="32"/>
      <c r="R187" s="32"/>
      <c r="S187" s="30"/>
      <c r="T187" s="30"/>
      <c r="U187" s="25"/>
      <c r="V187" s="30"/>
      <c r="W187" s="30"/>
      <c r="X187" s="30">
        <v>0.0</v>
      </c>
      <c r="Y187" s="32"/>
      <c r="Z187" s="32"/>
      <c r="AA187" s="30"/>
      <c r="AB187" s="30"/>
      <c r="AC187" s="25" t="s">
        <v>71</v>
      </c>
      <c r="AD187" s="25" t="s">
        <v>103</v>
      </c>
      <c r="AE187" s="32">
        <f t="shared" si="4"/>
        <v>5.5</v>
      </c>
      <c r="AF187" s="29" t="s">
        <v>563</v>
      </c>
      <c r="AG187" s="30">
        <v>5.0</v>
      </c>
      <c r="AH187" s="30">
        <f t="shared" si="5"/>
        <v>179</v>
      </c>
      <c r="AI187" s="29"/>
    </row>
    <row r="188" ht="15.75" customHeight="1">
      <c r="A188" s="11">
        <f t="shared" si="1"/>
        <v>185</v>
      </c>
      <c r="B188" s="16">
        <f>ROUND(Guida!$B$22*H188/Guida!$B$30+Guida!$B$23*MAX(0,MIN(1,(AE188-5.4)/1.6))+Guida!$B$24*0+Guida!$B$25*0,1)</f>
        <v>2.1</v>
      </c>
      <c r="C188" s="17" t="s">
        <v>1633</v>
      </c>
      <c r="D188" s="11" t="s">
        <v>272</v>
      </c>
      <c r="E188" s="18" t="s">
        <v>326</v>
      </c>
      <c r="F188" s="19">
        <v>1.0</v>
      </c>
      <c r="G188" s="19">
        <v>2.0</v>
      </c>
      <c r="H188" s="19">
        <v>2.0</v>
      </c>
      <c r="I188" s="19">
        <f>MAX(1,ROUND(H188^Guida!$B$18*Guida!$F$13,0))</f>
        <v>3</v>
      </c>
      <c r="J188" s="19">
        <f t="shared" si="2"/>
        <v>4</v>
      </c>
      <c r="K188" s="11" t="str">
        <f t="shared" si="3"/>
        <v>4a fascia</v>
      </c>
      <c r="L188" s="11" t="s">
        <v>332</v>
      </c>
      <c r="M188" s="18" t="s">
        <v>615</v>
      </c>
      <c r="N188" s="11" t="s">
        <v>71</v>
      </c>
      <c r="O188" s="11" t="s">
        <v>71</v>
      </c>
      <c r="P188" s="19"/>
      <c r="Q188" s="22"/>
      <c r="R188" s="22"/>
      <c r="S188" s="19"/>
      <c r="T188" s="19"/>
      <c r="U188" s="11"/>
      <c r="V188" s="19"/>
      <c r="W188" s="19"/>
      <c r="X188" s="19">
        <v>1.0</v>
      </c>
      <c r="Y188" s="22">
        <v>5.5</v>
      </c>
      <c r="Z188" s="22">
        <v>5.5</v>
      </c>
      <c r="AA188" s="19">
        <v>0.0</v>
      </c>
      <c r="AB188" s="19">
        <v>0.0</v>
      </c>
      <c r="AC188" s="11" t="s">
        <v>71</v>
      </c>
      <c r="AD188" s="11" t="s">
        <v>103</v>
      </c>
      <c r="AE188" s="22">
        <f t="shared" si="4"/>
        <v>5.5</v>
      </c>
      <c r="AF188" s="18" t="s">
        <v>644</v>
      </c>
      <c r="AG188" s="19">
        <v>6.0</v>
      </c>
      <c r="AH188" s="19">
        <f t="shared" si="5"/>
        <v>183</v>
      </c>
      <c r="AI188" s="18"/>
    </row>
    <row r="189" ht="15.75" customHeight="1">
      <c r="A189" s="25">
        <f t="shared" si="1"/>
        <v>186</v>
      </c>
      <c r="B189" s="27">
        <f>ROUND(Guida!$B$22*H189/Guida!$B$30+Guida!$B$23*MAX(0,MIN(1,(AE189-5.4)/1.6))+Guida!$B$24*0+Guida!$B$25*0,1)</f>
        <v>1.8</v>
      </c>
      <c r="C189" s="28" t="s">
        <v>1638</v>
      </c>
      <c r="D189" s="25" t="s">
        <v>239</v>
      </c>
      <c r="E189" s="29" t="s">
        <v>403</v>
      </c>
      <c r="F189" s="30">
        <v>1.0</v>
      </c>
      <c r="G189" s="30">
        <v>1.0</v>
      </c>
      <c r="H189" s="30">
        <v>1.0</v>
      </c>
      <c r="I189" s="30">
        <f>MAX(1,ROUND(H189^Guida!$B$18*Guida!$F$13,0))</f>
        <v>2</v>
      </c>
      <c r="J189" s="30">
        <f t="shared" si="2"/>
        <v>2</v>
      </c>
      <c r="K189" s="25" t="str">
        <f t="shared" si="3"/>
        <v>Scommessa</v>
      </c>
      <c r="L189" s="25" t="s">
        <v>332</v>
      </c>
      <c r="M189" s="29" t="s">
        <v>338</v>
      </c>
      <c r="N189" s="25" t="s">
        <v>71</v>
      </c>
      <c r="O189" s="25" t="s">
        <v>71</v>
      </c>
      <c r="P189" s="30"/>
      <c r="Q189" s="32"/>
      <c r="R189" s="32"/>
      <c r="S189" s="30"/>
      <c r="T189" s="30"/>
      <c r="U189" s="25"/>
      <c r="V189" s="30"/>
      <c r="W189" s="30"/>
      <c r="X189" s="30">
        <v>0.0</v>
      </c>
      <c r="Y189" s="32"/>
      <c r="Z189" s="32"/>
      <c r="AA189" s="30"/>
      <c r="AB189" s="30"/>
      <c r="AC189" s="25" t="s">
        <v>71</v>
      </c>
      <c r="AD189" s="25" t="s">
        <v>103</v>
      </c>
      <c r="AE189" s="32">
        <f t="shared" si="4"/>
        <v>5.5</v>
      </c>
      <c r="AF189" s="29" t="s">
        <v>254</v>
      </c>
      <c r="AG189" s="30">
        <v>6.0</v>
      </c>
      <c r="AH189" s="30">
        <f t="shared" si="5"/>
        <v>185</v>
      </c>
      <c r="AI189" s="29"/>
    </row>
    <row r="190" ht="15.75" customHeight="1">
      <c r="A190" s="11">
        <f t="shared" si="1"/>
        <v>186</v>
      </c>
      <c r="B190" s="16">
        <f>ROUND(Guida!$B$22*H190/Guida!$B$30+Guida!$B$23*MAX(0,MIN(1,(AE190-5.4)/1.6))+Guida!$B$24*0+Guida!$B$25*0,1)</f>
        <v>1.8</v>
      </c>
      <c r="C190" s="17" t="s">
        <v>1643</v>
      </c>
      <c r="D190" s="11" t="s">
        <v>175</v>
      </c>
      <c r="E190" s="18" t="s">
        <v>69</v>
      </c>
      <c r="F190" s="19">
        <v>1.0</v>
      </c>
      <c r="G190" s="19">
        <v>1.0</v>
      </c>
      <c r="H190" s="19">
        <v>1.0</v>
      </c>
      <c r="I190" s="19">
        <f>MAX(1,ROUND(H190^Guida!$B$18*Guida!$F$13,0))</f>
        <v>2</v>
      </c>
      <c r="J190" s="19">
        <f t="shared" si="2"/>
        <v>2</v>
      </c>
      <c r="K190" s="11" t="str">
        <f t="shared" si="3"/>
        <v>Scommessa</v>
      </c>
      <c r="L190" s="11" t="s">
        <v>332</v>
      </c>
      <c r="M190" s="18" t="s">
        <v>338</v>
      </c>
      <c r="N190" s="11" t="s">
        <v>71</v>
      </c>
      <c r="O190" s="11" t="s">
        <v>71</v>
      </c>
      <c r="P190" s="19"/>
      <c r="Q190" s="22"/>
      <c r="R190" s="22"/>
      <c r="S190" s="19"/>
      <c r="T190" s="19"/>
      <c r="U190" s="11"/>
      <c r="V190" s="19"/>
      <c r="W190" s="19"/>
      <c r="X190" s="19">
        <v>0.0</v>
      </c>
      <c r="Y190" s="22"/>
      <c r="Z190" s="22"/>
      <c r="AA190" s="19"/>
      <c r="AB190" s="19"/>
      <c r="AC190" s="11" t="s">
        <v>71</v>
      </c>
      <c r="AD190" s="11" t="s">
        <v>103</v>
      </c>
      <c r="AE190" s="22">
        <f t="shared" si="4"/>
        <v>5.5</v>
      </c>
      <c r="AF190" s="18" t="s">
        <v>216</v>
      </c>
      <c r="AG190" s="19">
        <v>0.0</v>
      </c>
      <c r="AH190" s="19">
        <f t="shared" si="5"/>
        <v>185</v>
      </c>
      <c r="AI190" s="18"/>
    </row>
    <row r="191" ht="15.75" customHeight="1">
      <c r="A191" s="25">
        <f t="shared" si="1"/>
        <v>186</v>
      </c>
      <c r="B191" s="27">
        <f>ROUND(Guida!$B$22*H191/Guida!$B$30+Guida!$B$23*MAX(0,MIN(1,(AE191-5.4)/1.6))+Guida!$B$24*0+Guida!$B$25*0,1)</f>
        <v>1.8</v>
      </c>
      <c r="C191" s="28" t="s">
        <v>1648</v>
      </c>
      <c r="D191" s="25" t="s">
        <v>264</v>
      </c>
      <c r="E191" s="29" t="s">
        <v>326</v>
      </c>
      <c r="F191" s="30">
        <v>1.0</v>
      </c>
      <c r="G191" s="30">
        <v>1.0</v>
      </c>
      <c r="H191" s="30">
        <v>1.0</v>
      </c>
      <c r="I191" s="30">
        <f>MAX(1,ROUND(H191^Guida!$B$18*Guida!$F$13,0))</f>
        <v>2</v>
      </c>
      <c r="J191" s="30">
        <f t="shared" si="2"/>
        <v>2</v>
      </c>
      <c r="K191" s="25" t="str">
        <f t="shared" si="3"/>
        <v>Scommessa</v>
      </c>
      <c r="L191" s="25" t="s">
        <v>332</v>
      </c>
      <c r="M191" s="29" t="s">
        <v>615</v>
      </c>
      <c r="N191" s="25" t="s">
        <v>71</v>
      </c>
      <c r="O191" s="25" t="s">
        <v>71</v>
      </c>
      <c r="P191" s="30"/>
      <c r="Q191" s="32"/>
      <c r="R191" s="32"/>
      <c r="S191" s="30"/>
      <c r="T191" s="30"/>
      <c r="U191" s="25"/>
      <c r="V191" s="30"/>
      <c r="W191" s="30"/>
      <c r="X191" s="30">
        <v>1.0</v>
      </c>
      <c r="Y191" s="32">
        <v>5.0</v>
      </c>
      <c r="Z191" s="32">
        <v>4.5</v>
      </c>
      <c r="AA191" s="30">
        <v>0.0</v>
      </c>
      <c r="AB191" s="30">
        <v>0.0</v>
      </c>
      <c r="AC191" s="25" t="s">
        <v>71</v>
      </c>
      <c r="AD191" s="25" t="s">
        <v>103</v>
      </c>
      <c r="AE191" s="32">
        <f t="shared" si="4"/>
        <v>5.5</v>
      </c>
      <c r="AF191" s="29" t="s">
        <v>678</v>
      </c>
      <c r="AG191" s="30">
        <v>6.0</v>
      </c>
      <c r="AH191" s="30">
        <f t="shared" si="5"/>
        <v>185</v>
      </c>
      <c r="AI191" s="29"/>
    </row>
    <row r="192" ht="15.75" customHeight="1">
      <c r="A192" s="11">
        <f t="shared" si="1"/>
        <v>186</v>
      </c>
      <c r="B192" s="16">
        <f>ROUND(Guida!$B$22*H192/Guida!$B$30+Guida!$B$23*MAX(0,MIN(1,(AE192-5.4)/1.6))+Guida!$B$24*0+Guida!$B$25*0,1)</f>
        <v>1.8</v>
      </c>
      <c r="C192" s="17" t="s">
        <v>1653</v>
      </c>
      <c r="D192" s="11" t="s">
        <v>261</v>
      </c>
      <c r="E192" s="18" t="s">
        <v>69</v>
      </c>
      <c r="F192" s="19">
        <v>1.0</v>
      </c>
      <c r="G192" s="19">
        <v>1.0</v>
      </c>
      <c r="H192" s="19">
        <v>1.0</v>
      </c>
      <c r="I192" s="19">
        <f>MAX(1,ROUND(H192^Guida!$B$18*Guida!$F$13,0))</f>
        <v>2</v>
      </c>
      <c r="J192" s="19">
        <f t="shared" si="2"/>
        <v>2</v>
      </c>
      <c r="K192" s="11" t="str">
        <f t="shared" si="3"/>
        <v>Scommessa</v>
      </c>
      <c r="L192" s="11" t="s">
        <v>332</v>
      </c>
      <c r="M192" s="18" t="s">
        <v>338</v>
      </c>
      <c r="N192" s="11" t="s">
        <v>71</v>
      </c>
      <c r="O192" s="11" t="s">
        <v>71</v>
      </c>
      <c r="P192" s="19"/>
      <c r="Q192" s="22"/>
      <c r="R192" s="22"/>
      <c r="S192" s="19"/>
      <c r="T192" s="19"/>
      <c r="U192" s="11"/>
      <c r="V192" s="19"/>
      <c r="W192" s="19"/>
      <c r="X192" s="19">
        <v>0.0</v>
      </c>
      <c r="Y192" s="22"/>
      <c r="Z192" s="22"/>
      <c r="AA192" s="19"/>
      <c r="AB192" s="19"/>
      <c r="AC192" s="11" t="s">
        <v>71</v>
      </c>
      <c r="AD192" s="11" t="s">
        <v>103</v>
      </c>
      <c r="AE192" s="22">
        <f t="shared" si="4"/>
        <v>5.5</v>
      </c>
      <c r="AF192" s="18" t="s">
        <v>563</v>
      </c>
      <c r="AG192" s="19">
        <v>5.0</v>
      </c>
      <c r="AH192" s="19">
        <f t="shared" si="5"/>
        <v>185</v>
      </c>
      <c r="AI192" s="18"/>
    </row>
    <row r="193" ht="15.75" customHeight="1">
      <c r="A193" s="25">
        <f t="shared" si="1"/>
        <v>186</v>
      </c>
      <c r="B193" s="27">
        <f>ROUND(Guida!$B$22*H193/Guida!$B$30+Guida!$B$23*MAX(0,MIN(1,(AE193-5.4)/1.6))+Guida!$B$24*0+Guida!$B$25*0,1)</f>
        <v>1.8</v>
      </c>
      <c r="C193" s="28" t="s">
        <v>1124</v>
      </c>
      <c r="D193" s="25" t="s">
        <v>232</v>
      </c>
      <c r="E193" s="29" t="s">
        <v>69</v>
      </c>
      <c r="F193" s="30">
        <v>1.0</v>
      </c>
      <c r="G193" s="30">
        <v>1.0</v>
      </c>
      <c r="H193" s="30">
        <v>1.0</v>
      </c>
      <c r="I193" s="30">
        <f>MAX(1,ROUND(H193^Guida!$B$18*Guida!$F$13,0))</f>
        <v>2</v>
      </c>
      <c r="J193" s="30">
        <f t="shared" si="2"/>
        <v>2</v>
      </c>
      <c r="K193" s="25" t="str">
        <f t="shared" si="3"/>
        <v>Scommessa</v>
      </c>
      <c r="L193" s="25" t="s">
        <v>332</v>
      </c>
      <c r="M193" s="29" t="s">
        <v>333</v>
      </c>
      <c r="N193" s="25" t="s">
        <v>71</v>
      </c>
      <c r="O193" s="25" t="s">
        <v>71</v>
      </c>
      <c r="P193" s="30">
        <v>2.0</v>
      </c>
      <c r="Q193" s="32">
        <v>5.5</v>
      </c>
      <c r="R193" s="32">
        <v>5.5</v>
      </c>
      <c r="S193" s="30">
        <v>0.0</v>
      </c>
      <c r="T193" s="30">
        <v>0.0</v>
      </c>
      <c r="U193" s="25" t="s">
        <v>72</v>
      </c>
      <c r="V193" s="30">
        <v>0.0</v>
      </c>
      <c r="W193" s="30">
        <v>0.0</v>
      </c>
      <c r="X193" s="30">
        <v>0.0</v>
      </c>
      <c r="Y193" s="32"/>
      <c r="Z193" s="32"/>
      <c r="AA193" s="30"/>
      <c r="AB193" s="30"/>
      <c r="AC193" s="25" t="s">
        <v>232</v>
      </c>
      <c r="AD193" s="25" t="s">
        <v>73</v>
      </c>
      <c r="AE193" s="32">
        <f t="shared" si="4"/>
        <v>5.5</v>
      </c>
      <c r="AF193" s="29" t="s">
        <v>609</v>
      </c>
      <c r="AG193" s="30">
        <v>4.0</v>
      </c>
      <c r="AH193" s="30">
        <f t="shared" si="5"/>
        <v>185</v>
      </c>
      <c r="AI193" s="29"/>
    </row>
    <row r="194" ht="15.75" customHeight="1">
      <c r="A194" s="11">
        <f t="shared" si="1"/>
        <v>186</v>
      </c>
      <c r="B194" s="16">
        <f>ROUND(Guida!$B$22*H194/Guida!$B$30+Guida!$B$23*MAX(0,MIN(1,(AE194-5.4)/1.6))+Guida!$B$24*0+Guida!$B$25*0,1)</f>
        <v>1.8</v>
      </c>
      <c r="C194" s="17" t="s">
        <v>1660</v>
      </c>
      <c r="D194" s="11" t="s">
        <v>272</v>
      </c>
      <c r="E194" s="18" t="s">
        <v>387</v>
      </c>
      <c r="F194" s="19">
        <v>1.0</v>
      </c>
      <c r="G194" s="19">
        <v>2.0</v>
      </c>
      <c r="H194" s="19">
        <v>1.0</v>
      </c>
      <c r="I194" s="19">
        <f>MAX(1,ROUND(H194^Guida!$B$18*Guida!$F$13,0))</f>
        <v>2</v>
      </c>
      <c r="J194" s="19">
        <f t="shared" si="2"/>
        <v>2</v>
      </c>
      <c r="K194" s="11" t="str">
        <f t="shared" si="3"/>
        <v>Scommessa</v>
      </c>
      <c r="L194" s="11" t="s">
        <v>332</v>
      </c>
      <c r="M194" s="18" t="s">
        <v>615</v>
      </c>
      <c r="N194" s="11" t="s">
        <v>71</v>
      </c>
      <c r="O194" s="11" t="s">
        <v>71</v>
      </c>
      <c r="P194" s="19"/>
      <c r="Q194" s="22"/>
      <c r="R194" s="22"/>
      <c r="S194" s="19"/>
      <c r="T194" s="19"/>
      <c r="U194" s="11"/>
      <c r="V194" s="19"/>
      <c r="W194" s="19"/>
      <c r="X194" s="19">
        <v>1.0</v>
      </c>
      <c r="Y194" s="22">
        <v>6.0</v>
      </c>
      <c r="Z194" s="22">
        <v>6.0</v>
      </c>
      <c r="AA194" s="19">
        <v>0.0</v>
      </c>
      <c r="AB194" s="19">
        <v>0.0</v>
      </c>
      <c r="AC194" s="11" t="s">
        <v>71</v>
      </c>
      <c r="AD194" s="11" t="s">
        <v>103</v>
      </c>
      <c r="AE194" s="22">
        <f t="shared" si="4"/>
        <v>5.5</v>
      </c>
      <c r="AF194" s="18" t="s">
        <v>644</v>
      </c>
      <c r="AG194" s="19">
        <v>6.0</v>
      </c>
      <c r="AH194" s="19">
        <f t="shared" si="5"/>
        <v>185</v>
      </c>
      <c r="AI194" s="18"/>
    </row>
    <row r="195" ht="15.75" customHeight="1">
      <c r="A195" s="25">
        <f t="shared" si="1"/>
        <v>186</v>
      </c>
      <c r="B195" s="27">
        <f>ROUND(Guida!$B$22*H195/Guida!$B$30+Guida!$B$23*MAX(0,MIN(1,(AE195-5.4)/1.6))+Guida!$B$24*0+Guida!$B$25*0,1)</f>
        <v>1.8</v>
      </c>
      <c r="C195" s="28" t="s">
        <v>1665</v>
      </c>
      <c r="D195" s="25" t="s">
        <v>232</v>
      </c>
      <c r="E195" s="29" t="s">
        <v>183</v>
      </c>
      <c r="F195" s="30">
        <v>1.0</v>
      </c>
      <c r="G195" s="30">
        <v>1.0</v>
      </c>
      <c r="H195" s="30">
        <v>1.0</v>
      </c>
      <c r="I195" s="30">
        <f>MAX(1,ROUND(H195^Guida!$B$18*Guida!$F$13,0))</f>
        <v>2</v>
      </c>
      <c r="J195" s="30">
        <f t="shared" si="2"/>
        <v>2</v>
      </c>
      <c r="K195" s="25" t="str">
        <f t="shared" si="3"/>
        <v>Scommessa</v>
      </c>
      <c r="L195" s="25" t="s">
        <v>332</v>
      </c>
      <c r="M195" s="29" t="s">
        <v>338</v>
      </c>
      <c r="N195" s="25" t="s">
        <v>71</v>
      </c>
      <c r="O195" s="25" t="s">
        <v>71</v>
      </c>
      <c r="P195" s="30"/>
      <c r="Q195" s="32"/>
      <c r="R195" s="32"/>
      <c r="S195" s="30"/>
      <c r="T195" s="30"/>
      <c r="U195" s="25"/>
      <c r="V195" s="30"/>
      <c r="W195" s="30"/>
      <c r="X195" s="30">
        <v>0.0</v>
      </c>
      <c r="Y195" s="32"/>
      <c r="Z195" s="32"/>
      <c r="AA195" s="30"/>
      <c r="AB195" s="30"/>
      <c r="AC195" s="25" t="s">
        <v>71</v>
      </c>
      <c r="AD195" s="25" t="s">
        <v>103</v>
      </c>
      <c r="AE195" s="32">
        <f t="shared" si="4"/>
        <v>5.5</v>
      </c>
      <c r="AF195" s="29" t="s">
        <v>609</v>
      </c>
      <c r="AG195" s="30">
        <v>4.0</v>
      </c>
      <c r="AH195" s="30">
        <f t="shared" si="5"/>
        <v>185</v>
      </c>
      <c r="AI195" s="29"/>
    </row>
    <row r="196" ht="15.75" customHeight="1">
      <c r="A196" s="11">
        <f t="shared" si="1"/>
        <v>186</v>
      </c>
      <c r="B196" s="16">
        <f>ROUND(Guida!$B$22*H196/Guida!$B$30+Guida!$B$23*MAX(0,MIN(1,(AE196-5.4)/1.6))+Guida!$B$24*0+Guida!$B$25*0,1)</f>
        <v>1.8</v>
      </c>
      <c r="C196" s="17" t="s">
        <v>1187</v>
      </c>
      <c r="D196" s="11" t="s">
        <v>133</v>
      </c>
      <c r="E196" s="18" t="s">
        <v>198</v>
      </c>
      <c r="F196" s="19">
        <v>1.0</v>
      </c>
      <c r="G196" s="19">
        <v>1.0</v>
      </c>
      <c r="H196" s="19">
        <v>1.0</v>
      </c>
      <c r="I196" s="19">
        <f>MAX(1,ROUND(H196^Guida!$B$18*Guida!$F$13,0))</f>
        <v>2</v>
      </c>
      <c r="J196" s="19">
        <f t="shared" si="2"/>
        <v>2</v>
      </c>
      <c r="K196" s="11" t="str">
        <f t="shared" si="3"/>
        <v>Scommessa</v>
      </c>
      <c r="L196" s="11" t="s">
        <v>332</v>
      </c>
      <c r="M196" s="18" t="s">
        <v>333</v>
      </c>
      <c r="N196" s="11" t="s">
        <v>71</v>
      </c>
      <c r="O196" s="11" t="s">
        <v>71</v>
      </c>
      <c r="P196" s="19"/>
      <c r="Q196" s="22"/>
      <c r="R196" s="22"/>
      <c r="S196" s="19"/>
      <c r="T196" s="19"/>
      <c r="U196" s="11"/>
      <c r="V196" s="19"/>
      <c r="W196" s="19"/>
      <c r="X196" s="19">
        <v>0.0</v>
      </c>
      <c r="Y196" s="22"/>
      <c r="Z196" s="22"/>
      <c r="AA196" s="19"/>
      <c r="AB196" s="19"/>
      <c r="AC196" s="11" t="s">
        <v>133</v>
      </c>
      <c r="AD196" s="11" t="s">
        <v>73</v>
      </c>
      <c r="AE196" s="22">
        <f t="shared" si="4"/>
        <v>5.5</v>
      </c>
      <c r="AF196" s="18" t="s">
        <v>254</v>
      </c>
      <c r="AG196" s="19">
        <v>6.0</v>
      </c>
      <c r="AH196" s="19">
        <f t="shared" si="5"/>
        <v>185</v>
      </c>
      <c r="AI196" s="18"/>
    </row>
    <row r="197" ht="15.75" customHeight="1"/>
    <row r="198" ht="15.75" customHeight="1">
      <c r="A198" s="39" t="s">
        <v>493</v>
      </c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I$196"/>
  <conditionalFormatting sqref="B4:B19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4:AG19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4:L196">
    <cfRule type="cellIs" dxfId="0" priority="3" operator="equal">
      <formula>"Titolare"</formula>
    </cfRule>
  </conditionalFormatting>
  <conditionalFormatting sqref="L4:L196">
    <cfRule type="cellIs" dxfId="1" priority="4" operator="equal">
      <formula>"Riserva"</formula>
    </cfRule>
  </conditionalFormatting>
  <conditionalFormatting sqref="N4:N196">
    <cfRule type="cellIs" dxfId="2" priority="5" operator="equal">
      <formula>"1o"</formula>
    </cfRule>
  </conditionalFormatting>
  <conditionalFormatting sqref="X4:X196">
    <cfRule type="colorScale" priority="6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21.0"/>
    <col customWidth="1" min="4" max="4" width="12.0"/>
    <col customWidth="1" min="5" max="5" width="24.0"/>
    <col customWidth="1" min="6" max="7" width="6.0"/>
    <col customWidth="1" min="8" max="8" width="7.0"/>
    <col customWidth="1" min="9" max="9" width="11.0"/>
    <col customWidth="1" min="10" max="10" width="9.0"/>
    <col customWidth="1" min="11" max="11" width="11.0"/>
    <col customWidth="1" min="12" max="12" width="15.0"/>
    <col customWidth="1" min="13" max="13" width="34.0"/>
    <col customWidth="1" min="14" max="14" width="10.0"/>
    <col customWidth="1" min="15" max="15" width="12.0"/>
    <col customWidth="1" min="16" max="18" width="9.0"/>
    <col customWidth="1" min="19" max="19" width="8.0"/>
    <col customWidth="1" min="20" max="20" width="9.0"/>
    <col customWidth="1" min="21" max="21" width="11.0"/>
    <col customWidth="1" min="22" max="23" width="8.0"/>
    <col customWidth="1" min="24" max="24" width="10.0"/>
    <col customWidth="1" min="25" max="28" width="9.0"/>
    <col customWidth="1" min="29" max="29" width="13.0"/>
    <col customWidth="1" min="30" max="31" width="12.0"/>
    <col customWidth="1" min="32" max="32" width="27.0"/>
    <col customWidth="1" min="33" max="34" width="12.0"/>
    <col customWidth="1" min="35" max="35" width="70.0"/>
  </cols>
  <sheetData>
    <row r="1">
      <c r="A1" s="2" t="s">
        <v>217</v>
      </c>
    </row>
    <row r="2">
      <c r="A2" s="4" t="s">
        <v>219</v>
      </c>
    </row>
    <row r="3" ht="33.75" customHeight="1">
      <c r="A3" s="6" t="s">
        <v>7</v>
      </c>
      <c r="B3" s="6" t="s">
        <v>9</v>
      </c>
      <c r="C3" s="6" t="s">
        <v>10</v>
      </c>
      <c r="D3" s="6" t="s">
        <v>11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22</v>
      </c>
      <c r="N3" s="6" t="s">
        <v>23</v>
      </c>
      <c r="O3" s="6" t="s">
        <v>24</v>
      </c>
      <c r="P3" s="6" t="s">
        <v>25</v>
      </c>
      <c r="Q3" s="6" t="s">
        <v>26</v>
      </c>
      <c r="R3" s="6" t="s">
        <v>28</v>
      </c>
      <c r="S3" s="6" t="s">
        <v>29</v>
      </c>
      <c r="T3" s="6" t="s">
        <v>30</v>
      </c>
      <c r="U3" s="6" t="s">
        <v>32</v>
      </c>
      <c r="V3" s="6" t="s">
        <v>34</v>
      </c>
      <c r="W3" s="6" t="s">
        <v>35</v>
      </c>
      <c r="X3" s="6" t="s">
        <v>36</v>
      </c>
      <c r="Y3" s="6" t="s">
        <v>38</v>
      </c>
      <c r="Z3" s="6" t="s">
        <v>39</v>
      </c>
      <c r="AA3" s="6" t="s">
        <v>40</v>
      </c>
      <c r="AB3" s="6" t="s">
        <v>41</v>
      </c>
      <c r="AC3" s="6" t="s">
        <v>42</v>
      </c>
      <c r="AD3" s="6" t="s">
        <v>43</v>
      </c>
      <c r="AE3" s="6" t="s">
        <v>44</v>
      </c>
      <c r="AF3" s="6" t="s">
        <v>45</v>
      </c>
      <c r="AG3" s="6" t="s">
        <v>46</v>
      </c>
      <c r="AH3" s="6" t="s">
        <v>47</v>
      </c>
      <c r="AI3" s="6" t="s">
        <v>48</v>
      </c>
    </row>
    <row r="4">
      <c r="A4" s="11">
        <f t="shared" ref="A4:A92" si="1">RANK(B4,$B$4:$B$92)</f>
        <v>1</v>
      </c>
      <c r="B4" s="16">
        <f>ROUND(Guida!$B$22*H4/Guida!$B$31+Guida!$B$23*MAX(0,MIN(1,(AE4-5.4)/1.6))+Guida!$B$24*1+Guida!$B$25*0.6,1)</f>
        <v>98</v>
      </c>
      <c r="C4" s="17" t="s">
        <v>234</v>
      </c>
      <c r="D4" s="11" t="s">
        <v>60</v>
      </c>
      <c r="E4" s="18" t="s">
        <v>235</v>
      </c>
      <c r="F4" s="19">
        <v>34.0</v>
      </c>
      <c r="G4" s="19">
        <v>38.0</v>
      </c>
      <c r="H4" s="19">
        <v>450.0</v>
      </c>
      <c r="I4" s="19">
        <f>MAX(1,ROUND(H4^Guida!$B$18*Guida!$F$14,0))</f>
        <v>133</v>
      </c>
      <c r="J4" s="19">
        <f t="shared" ref="J4:J92" si="2">MAX(2,ROUND(I4*1.2,0))</f>
        <v>160</v>
      </c>
      <c r="K4" s="11" t="str">
        <f t="shared" ref="K4:K92" si="3">IF(I4&gt;=60,"Top",IF(I4&gt;=30,"1a fascia",IF(I4&gt;=15,"2a fascia",IF(I4&gt;=7,"3a fascia",IF(I4&gt;=3,"4a fascia","Scommessa")))))</f>
        <v>Top</v>
      </c>
      <c r="L4" s="11" t="s">
        <v>68</v>
      </c>
      <c r="M4" s="21" t="s">
        <v>70</v>
      </c>
      <c r="N4" s="11" t="s">
        <v>84</v>
      </c>
      <c r="O4" s="11" t="s">
        <v>77</v>
      </c>
      <c r="P4" s="19">
        <v>18.0</v>
      </c>
      <c r="Q4" s="22">
        <v>6.72</v>
      </c>
      <c r="R4" s="22">
        <v>8.97</v>
      </c>
      <c r="S4" s="19">
        <v>14.0</v>
      </c>
      <c r="T4" s="19">
        <v>2.0</v>
      </c>
      <c r="U4" s="11" t="s">
        <v>241</v>
      </c>
      <c r="V4" s="19">
        <v>1.0</v>
      </c>
      <c r="W4" s="19">
        <v>0.0</v>
      </c>
      <c r="X4" s="19">
        <v>2.0</v>
      </c>
      <c r="Y4" s="22">
        <v>8.25</v>
      </c>
      <c r="Z4" s="22">
        <v>15.5</v>
      </c>
      <c r="AA4" s="19">
        <v>5.0</v>
      </c>
      <c r="AB4" s="19">
        <v>0.0</v>
      </c>
      <c r="AC4" s="11" t="s">
        <v>60</v>
      </c>
      <c r="AD4" s="11" t="s">
        <v>73</v>
      </c>
      <c r="AE4" s="22">
        <f t="shared" ref="AE4:AE92" si="4">ROUND(IF(P4="",5.5,R4*MIN(1,P4/25)+5.5*(1-MIN(1,P4/25))),2)</f>
        <v>8</v>
      </c>
      <c r="AF4" s="18" t="s">
        <v>244</v>
      </c>
      <c r="AG4" s="19">
        <v>3.0</v>
      </c>
      <c r="AH4" s="19">
        <f t="shared" ref="AH4:AH92" si="5">RANK(H4,$H$4:$H$92)</f>
        <v>1</v>
      </c>
      <c r="AI4" s="18"/>
    </row>
    <row r="5">
      <c r="A5" s="25">
        <f t="shared" si="1"/>
        <v>2</v>
      </c>
      <c r="B5" s="27">
        <f>ROUND(Guida!$B$22*H5/Guida!$B$31+Guida!$B$23*MAX(0,MIN(1,(AE5-5.4)/1.6))+Guida!$B$24*0.35+Guida!$B$25*0,1)</f>
        <v>76.6</v>
      </c>
      <c r="C5" s="28" t="s">
        <v>251</v>
      </c>
      <c r="D5" s="25" t="s">
        <v>64</v>
      </c>
      <c r="E5" s="29" t="s">
        <v>235</v>
      </c>
      <c r="F5" s="30">
        <v>35.0</v>
      </c>
      <c r="G5" s="30">
        <v>33.0</v>
      </c>
      <c r="H5" s="30">
        <v>361.0</v>
      </c>
      <c r="I5" s="30">
        <f>MAX(1,ROUND(H5^Guida!$B$18*Guida!$F$14,0))</f>
        <v>117</v>
      </c>
      <c r="J5" s="30">
        <f t="shared" si="2"/>
        <v>140</v>
      </c>
      <c r="K5" s="25" t="str">
        <f t="shared" si="3"/>
        <v>Top</v>
      </c>
      <c r="L5" s="25" t="s">
        <v>68</v>
      </c>
      <c r="M5" s="21" t="s">
        <v>70</v>
      </c>
      <c r="N5" s="25" t="s">
        <v>160</v>
      </c>
      <c r="O5" s="25" t="s">
        <v>71</v>
      </c>
      <c r="P5" s="30">
        <v>30.0</v>
      </c>
      <c r="Q5" s="32">
        <v>6.42</v>
      </c>
      <c r="R5" s="32">
        <v>8.25</v>
      </c>
      <c r="S5" s="30">
        <v>17.0</v>
      </c>
      <c r="T5" s="30">
        <v>6.0</v>
      </c>
      <c r="U5" s="25" t="s">
        <v>72</v>
      </c>
      <c r="V5" s="30">
        <v>4.0</v>
      </c>
      <c r="W5" s="30">
        <v>0.0</v>
      </c>
      <c r="X5" s="30">
        <v>2.0</v>
      </c>
      <c r="Y5" s="32">
        <v>5.75</v>
      </c>
      <c r="Z5" s="32">
        <v>5.5</v>
      </c>
      <c r="AA5" s="30">
        <v>0.0</v>
      </c>
      <c r="AB5" s="30">
        <v>0.0</v>
      </c>
      <c r="AC5" s="25" t="s">
        <v>64</v>
      </c>
      <c r="AD5" s="25" t="s">
        <v>73</v>
      </c>
      <c r="AE5" s="32">
        <f t="shared" si="4"/>
        <v>8.25</v>
      </c>
      <c r="AF5" s="29" t="s">
        <v>256</v>
      </c>
      <c r="AG5" s="30">
        <v>0.0</v>
      </c>
      <c r="AH5" s="30">
        <f t="shared" si="5"/>
        <v>2</v>
      </c>
      <c r="AI5" s="29"/>
    </row>
    <row r="6">
      <c r="A6" s="11">
        <f t="shared" si="1"/>
        <v>3</v>
      </c>
      <c r="B6" s="16">
        <f>ROUND(Guida!$B$22*H6/Guida!$B$31+Guida!$B$23*MAX(0,MIN(1,(AE6-5.4)/1.6))+Guida!$B$24*0.6+Guida!$B$25*0,1)</f>
        <v>65.7</v>
      </c>
      <c r="C6" s="17" t="s">
        <v>262</v>
      </c>
      <c r="D6" s="11" t="s">
        <v>191</v>
      </c>
      <c r="E6" s="18" t="s">
        <v>235</v>
      </c>
      <c r="F6" s="19">
        <v>28.0</v>
      </c>
      <c r="G6" s="19">
        <v>28.0</v>
      </c>
      <c r="H6" s="19">
        <v>260.0</v>
      </c>
      <c r="I6" s="19">
        <f>MAX(1,ROUND(H6^Guida!$B$18*Guida!$F$14,0))</f>
        <v>96</v>
      </c>
      <c r="J6" s="19">
        <f t="shared" si="2"/>
        <v>115</v>
      </c>
      <c r="K6" s="11" t="str">
        <f t="shared" si="3"/>
        <v>Top</v>
      </c>
      <c r="L6" s="11" t="s">
        <v>68</v>
      </c>
      <c r="M6" s="21" t="s">
        <v>70</v>
      </c>
      <c r="N6" s="11" t="s">
        <v>77</v>
      </c>
      <c r="O6" s="11" t="s">
        <v>71</v>
      </c>
      <c r="P6" s="19">
        <v>33.0</v>
      </c>
      <c r="Q6" s="22">
        <v>6.21</v>
      </c>
      <c r="R6" s="22">
        <v>7.44</v>
      </c>
      <c r="S6" s="19">
        <v>12.0</v>
      </c>
      <c r="T6" s="19">
        <v>5.0</v>
      </c>
      <c r="U6" s="11" t="s">
        <v>188</v>
      </c>
      <c r="V6" s="19">
        <v>1.0</v>
      </c>
      <c r="W6" s="19">
        <v>0.0</v>
      </c>
      <c r="X6" s="19">
        <v>2.0</v>
      </c>
      <c r="Y6" s="22">
        <v>6.25</v>
      </c>
      <c r="Z6" s="22">
        <v>7.75</v>
      </c>
      <c r="AA6" s="19">
        <v>1.0</v>
      </c>
      <c r="AB6" s="19">
        <v>0.0</v>
      </c>
      <c r="AC6" s="11" t="s">
        <v>191</v>
      </c>
      <c r="AD6" s="11" t="s">
        <v>73</v>
      </c>
      <c r="AE6" s="22">
        <f t="shared" si="4"/>
        <v>7.44</v>
      </c>
      <c r="AF6" s="18" t="s">
        <v>266</v>
      </c>
      <c r="AG6" s="19">
        <v>3.0</v>
      </c>
      <c r="AH6" s="19">
        <f t="shared" si="5"/>
        <v>3</v>
      </c>
      <c r="AI6" s="18"/>
    </row>
    <row r="7">
      <c r="A7" s="25">
        <f t="shared" si="1"/>
        <v>4</v>
      </c>
      <c r="B7" s="27">
        <f>ROUND(Guida!$B$22*H7/Guida!$B$31+Guida!$B$23*MAX(0,MIN(1,(AE7-5.4)/1.6))+Guida!$B$24*0+Guida!$B$25*0,1)</f>
        <v>58.2</v>
      </c>
      <c r="C7" s="28" t="s">
        <v>269</v>
      </c>
      <c r="D7" s="25" t="s">
        <v>64</v>
      </c>
      <c r="E7" s="29" t="s">
        <v>235</v>
      </c>
      <c r="F7" s="30">
        <v>29.0</v>
      </c>
      <c r="G7" s="30">
        <v>28.0</v>
      </c>
      <c r="H7" s="30">
        <v>249.0</v>
      </c>
      <c r="I7" s="30">
        <f>MAX(1,ROUND(H7^Guida!$B$18*Guida!$F$14,0))</f>
        <v>93</v>
      </c>
      <c r="J7" s="30">
        <f t="shared" si="2"/>
        <v>112</v>
      </c>
      <c r="K7" s="25" t="str">
        <f t="shared" si="3"/>
        <v>Top</v>
      </c>
      <c r="L7" s="25" t="s">
        <v>68</v>
      </c>
      <c r="M7" s="29" t="s">
        <v>148</v>
      </c>
      <c r="N7" s="25" t="s">
        <v>71</v>
      </c>
      <c r="O7" s="25" t="s">
        <v>71</v>
      </c>
      <c r="P7" s="30">
        <v>29.0</v>
      </c>
      <c r="Q7" s="32">
        <v>6.43</v>
      </c>
      <c r="R7" s="32">
        <v>7.95</v>
      </c>
      <c r="S7" s="30">
        <v>13.0</v>
      </c>
      <c r="T7" s="30">
        <v>6.0</v>
      </c>
      <c r="U7" s="25" t="s">
        <v>72</v>
      </c>
      <c r="V7" s="30">
        <v>2.0</v>
      </c>
      <c r="W7" s="30">
        <v>0.0</v>
      </c>
      <c r="X7" s="30">
        <v>1.0</v>
      </c>
      <c r="Y7" s="32">
        <v>5.5</v>
      </c>
      <c r="Z7" s="32">
        <v>5.5</v>
      </c>
      <c r="AA7" s="30">
        <v>0.0</v>
      </c>
      <c r="AB7" s="30">
        <v>0.0</v>
      </c>
      <c r="AC7" s="25" t="s">
        <v>64</v>
      </c>
      <c r="AD7" s="25" t="s">
        <v>73</v>
      </c>
      <c r="AE7" s="32">
        <f t="shared" si="4"/>
        <v>7.95</v>
      </c>
      <c r="AF7" s="29" t="s">
        <v>256</v>
      </c>
      <c r="AG7" s="30">
        <v>0.0</v>
      </c>
      <c r="AH7" s="30">
        <f t="shared" si="5"/>
        <v>4</v>
      </c>
      <c r="AI7" s="29"/>
    </row>
    <row r="8">
      <c r="A8" s="11">
        <f t="shared" si="1"/>
        <v>5</v>
      </c>
      <c r="B8" s="16">
        <f>ROUND(Guida!$B$22*H8/Guida!$B$31+Guida!$B$23*MAX(0,MIN(1,(AE8-5.4)/1.6))+Guida!$B$24*0.6+Guida!$B$25*0,1)</f>
        <v>55.7</v>
      </c>
      <c r="C8" s="17" t="s">
        <v>278</v>
      </c>
      <c r="D8" s="11" t="s">
        <v>133</v>
      </c>
      <c r="E8" s="18" t="s">
        <v>235</v>
      </c>
      <c r="F8" s="19">
        <v>20.0</v>
      </c>
      <c r="G8" s="19">
        <v>22.0</v>
      </c>
      <c r="H8" s="19">
        <v>185.0</v>
      </c>
      <c r="I8" s="19">
        <f>MAX(1,ROUND(H8^Guida!$B$18*Guida!$F$14,0))</f>
        <v>78</v>
      </c>
      <c r="J8" s="19">
        <f t="shared" si="2"/>
        <v>94</v>
      </c>
      <c r="K8" s="11" t="str">
        <f t="shared" si="3"/>
        <v>Top</v>
      </c>
      <c r="L8" s="11" t="s">
        <v>68</v>
      </c>
      <c r="M8" s="21" t="s">
        <v>70</v>
      </c>
      <c r="N8" s="11" t="s">
        <v>77</v>
      </c>
      <c r="O8" s="11" t="s">
        <v>71</v>
      </c>
      <c r="P8" s="19">
        <v>36.0</v>
      </c>
      <c r="Q8" s="22">
        <v>6.18</v>
      </c>
      <c r="R8" s="22">
        <v>7.38</v>
      </c>
      <c r="S8" s="19">
        <v>14.0</v>
      </c>
      <c r="T8" s="19">
        <v>1.0</v>
      </c>
      <c r="U8" s="11" t="s">
        <v>188</v>
      </c>
      <c r="V8" s="19">
        <v>0.0</v>
      </c>
      <c r="W8" s="19">
        <v>0.0</v>
      </c>
      <c r="X8" s="19">
        <v>2.0</v>
      </c>
      <c r="Y8" s="22">
        <v>6.75</v>
      </c>
      <c r="Z8" s="22">
        <v>9.75</v>
      </c>
      <c r="AA8" s="19">
        <v>2.0</v>
      </c>
      <c r="AB8" s="19">
        <v>0.0</v>
      </c>
      <c r="AC8" s="11" t="s">
        <v>133</v>
      </c>
      <c r="AD8" s="11" t="s">
        <v>73</v>
      </c>
      <c r="AE8" s="22">
        <f t="shared" si="4"/>
        <v>7.38</v>
      </c>
      <c r="AF8" s="18" t="s">
        <v>244</v>
      </c>
      <c r="AG8" s="19">
        <v>7.0</v>
      </c>
      <c r="AH8" s="19">
        <f t="shared" si="5"/>
        <v>6</v>
      </c>
      <c r="AI8" s="18"/>
    </row>
    <row r="9">
      <c r="A9" s="25">
        <f t="shared" si="1"/>
        <v>6</v>
      </c>
      <c r="B9" s="27">
        <f>ROUND(Guida!$B$22*H9/Guida!$B$31+Guida!$B$23*MAX(0,MIN(1,(AE9-5.4)/1.6))+Guida!$B$24*1+Guida!$B$25*1,1)</f>
        <v>54.1</v>
      </c>
      <c r="C9" s="28" t="s">
        <v>285</v>
      </c>
      <c r="D9" s="25" t="s">
        <v>253</v>
      </c>
      <c r="E9" s="29" t="s">
        <v>287</v>
      </c>
      <c r="F9" s="30">
        <v>18.0</v>
      </c>
      <c r="G9" s="30">
        <v>19.0</v>
      </c>
      <c r="H9" s="30">
        <v>106.0</v>
      </c>
      <c r="I9" s="30">
        <f>MAX(1,ROUND(H9^Guida!$B$18*Guida!$F$14,0))</f>
        <v>56</v>
      </c>
      <c r="J9" s="30">
        <f t="shared" si="2"/>
        <v>67</v>
      </c>
      <c r="K9" s="25" t="str">
        <f t="shared" si="3"/>
        <v>1a fascia</v>
      </c>
      <c r="L9" s="25" t="s">
        <v>68</v>
      </c>
      <c r="M9" s="29" t="s">
        <v>148</v>
      </c>
      <c r="N9" s="25" t="s">
        <v>84</v>
      </c>
      <c r="O9" s="25" t="s">
        <v>84</v>
      </c>
      <c r="P9" s="30">
        <v>26.0</v>
      </c>
      <c r="Q9" s="32">
        <v>6.31</v>
      </c>
      <c r="R9" s="32">
        <v>7.19</v>
      </c>
      <c r="S9" s="30">
        <v>8.0</v>
      </c>
      <c r="T9" s="30">
        <v>4.0</v>
      </c>
      <c r="U9" s="25" t="s">
        <v>290</v>
      </c>
      <c r="V9" s="30">
        <v>2.0</v>
      </c>
      <c r="W9" s="30">
        <v>1.0</v>
      </c>
      <c r="X9" s="30">
        <v>1.0</v>
      </c>
      <c r="Y9" s="32">
        <v>7.0</v>
      </c>
      <c r="Z9" s="32">
        <v>10.0</v>
      </c>
      <c r="AA9" s="30">
        <v>1.0</v>
      </c>
      <c r="AB9" s="30">
        <v>0.0</v>
      </c>
      <c r="AC9" s="25" t="s">
        <v>253</v>
      </c>
      <c r="AD9" s="25" t="s">
        <v>73</v>
      </c>
      <c r="AE9" s="32">
        <f t="shared" si="4"/>
        <v>7.19</v>
      </c>
      <c r="AF9" s="29" t="s">
        <v>291</v>
      </c>
      <c r="AG9" s="30">
        <v>4.0</v>
      </c>
      <c r="AH9" s="30">
        <f t="shared" si="5"/>
        <v>12</v>
      </c>
      <c r="AI9" s="29"/>
    </row>
    <row r="10">
      <c r="A10" s="11">
        <f t="shared" si="1"/>
        <v>7</v>
      </c>
      <c r="B10" s="16">
        <f>ROUND(Guida!$B$22*H10/Guida!$B$31+Guida!$B$23*MAX(0,MIN(1,(AE10-5.4)/1.6))+Guida!$B$24*1+Guida!$B$25*0,1)</f>
        <v>49.7</v>
      </c>
      <c r="C10" s="17" t="s">
        <v>295</v>
      </c>
      <c r="D10" s="11" t="s">
        <v>143</v>
      </c>
      <c r="E10" s="18" t="s">
        <v>235</v>
      </c>
      <c r="F10" s="19">
        <v>19.0</v>
      </c>
      <c r="G10" s="19">
        <v>19.0</v>
      </c>
      <c r="H10" s="19">
        <v>110.0</v>
      </c>
      <c r="I10" s="19">
        <f>MAX(1,ROUND(H10^Guida!$B$18*Guida!$F$14,0))</f>
        <v>57</v>
      </c>
      <c r="J10" s="19">
        <f t="shared" si="2"/>
        <v>68</v>
      </c>
      <c r="K10" s="11" t="str">
        <f t="shared" si="3"/>
        <v>1a fascia</v>
      </c>
      <c r="L10" s="11" t="s">
        <v>68</v>
      </c>
      <c r="M10" s="21" t="s">
        <v>70</v>
      </c>
      <c r="N10" s="11" t="s">
        <v>84</v>
      </c>
      <c r="O10" s="11" t="s">
        <v>71</v>
      </c>
      <c r="P10" s="19">
        <v>22.0</v>
      </c>
      <c r="Q10" s="22">
        <v>6.18</v>
      </c>
      <c r="R10" s="22">
        <v>7.55</v>
      </c>
      <c r="S10" s="19">
        <v>10.0</v>
      </c>
      <c r="T10" s="19">
        <v>1.0</v>
      </c>
      <c r="U10" s="11" t="s">
        <v>297</v>
      </c>
      <c r="V10" s="19">
        <v>2.0</v>
      </c>
      <c r="W10" s="19">
        <v>0.0</v>
      </c>
      <c r="X10" s="19">
        <v>2.0</v>
      </c>
      <c r="Y10" s="22">
        <v>5.75</v>
      </c>
      <c r="Z10" s="22">
        <v>5.75</v>
      </c>
      <c r="AA10" s="19">
        <v>0.0</v>
      </c>
      <c r="AB10" s="19">
        <v>0.0</v>
      </c>
      <c r="AC10" s="11" t="s">
        <v>143</v>
      </c>
      <c r="AD10" s="11" t="s">
        <v>73</v>
      </c>
      <c r="AE10" s="22">
        <f t="shared" si="4"/>
        <v>7.3</v>
      </c>
      <c r="AF10" s="18" t="s">
        <v>266</v>
      </c>
      <c r="AG10" s="19">
        <v>7.0</v>
      </c>
      <c r="AH10" s="19">
        <f t="shared" si="5"/>
        <v>10</v>
      </c>
      <c r="AI10" s="18"/>
    </row>
    <row r="11">
      <c r="A11" s="25">
        <f t="shared" si="1"/>
        <v>8</v>
      </c>
      <c r="B11" s="27">
        <f>ROUND(Guida!$B$22*H11/Guida!$B$31+Guida!$B$23*MAX(0,MIN(1,(AE11-5.4)/1.6))+Guida!$B$24*1+Guida!$B$25*0,1)</f>
        <v>49.4</v>
      </c>
      <c r="C11" s="28" t="s">
        <v>302</v>
      </c>
      <c r="D11" s="25" t="s">
        <v>185</v>
      </c>
      <c r="E11" s="29" t="s">
        <v>235</v>
      </c>
      <c r="F11" s="30">
        <v>19.0</v>
      </c>
      <c r="G11" s="30">
        <v>19.0</v>
      </c>
      <c r="H11" s="30">
        <v>108.0</v>
      </c>
      <c r="I11" s="30">
        <f>MAX(1,ROUND(H11^Guida!$B$18*Guida!$F$14,0))</f>
        <v>57</v>
      </c>
      <c r="J11" s="30">
        <f t="shared" si="2"/>
        <v>68</v>
      </c>
      <c r="K11" s="25" t="str">
        <f t="shared" si="3"/>
        <v>1a fascia</v>
      </c>
      <c r="L11" s="25" t="s">
        <v>68</v>
      </c>
      <c r="M11" s="29" t="s">
        <v>148</v>
      </c>
      <c r="N11" s="25" t="s">
        <v>84</v>
      </c>
      <c r="O11" s="25" t="s">
        <v>71</v>
      </c>
      <c r="P11" s="30">
        <v>30.0</v>
      </c>
      <c r="Q11" s="32">
        <v>6.32</v>
      </c>
      <c r="R11" s="32">
        <v>7.37</v>
      </c>
      <c r="S11" s="30">
        <v>10.0</v>
      </c>
      <c r="T11" s="30">
        <v>4.0</v>
      </c>
      <c r="U11" s="25" t="s">
        <v>250</v>
      </c>
      <c r="V11" s="30">
        <v>5.0</v>
      </c>
      <c r="W11" s="30">
        <v>0.0</v>
      </c>
      <c r="X11" s="30">
        <v>1.0</v>
      </c>
      <c r="Y11" s="32">
        <v>6.5</v>
      </c>
      <c r="Z11" s="32">
        <v>6.5</v>
      </c>
      <c r="AA11" s="30">
        <v>0.0</v>
      </c>
      <c r="AB11" s="30">
        <v>0.0</v>
      </c>
      <c r="AC11" s="25" t="s">
        <v>185</v>
      </c>
      <c r="AD11" s="25" t="s">
        <v>73</v>
      </c>
      <c r="AE11" s="32">
        <f t="shared" si="4"/>
        <v>7.37</v>
      </c>
      <c r="AF11" s="29" t="s">
        <v>306</v>
      </c>
      <c r="AG11" s="30">
        <v>7.0</v>
      </c>
      <c r="AH11" s="30">
        <f t="shared" si="5"/>
        <v>11</v>
      </c>
      <c r="AI11" s="29"/>
    </row>
    <row r="12">
      <c r="A12" s="11">
        <f t="shared" si="1"/>
        <v>9</v>
      </c>
      <c r="B12" s="16">
        <f>ROUND(Guida!$B$22*H12/Guida!$B$31+Guida!$B$23*MAX(0,MIN(1,(AE12-5.4)/1.6))+Guida!$B$24*0.6+Guida!$B$25*1,1)</f>
        <v>49.3</v>
      </c>
      <c r="C12" s="17" t="s">
        <v>310</v>
      </c>
      <c r="D12" s="11" t="s">
        <v>93</v>
      </c>
      <c r="E12" s="18" t="s">
        <v>287</v>
      </c>
      <c r="F12" s="19">
        <v>23.0</v>
      </c>
      <c r="G12" s="19">
        <v>22.0</v>
      </c>
      <c r="H12" s="19">
        <v>100.0</v>
      </c>
      <c r="I12" s="19">
        <f>MAX(1,ROUND(H12^Guida!$B$18*Guida!$F$14,0))</f>
        <v>54</v>
      </c>
      <c r="J12" s="19">
        <f t="shared" si="2"/>
        <v>65</v>
      </c>
      <c r="K12" s="11" t="str">
        <f t="shared" si="3"/>
        <v>1a fascia</v>
      </c>
      <c r="L12" s="11" t="s">
        <v>226</v>
      </c>
      <c r="M12" s="36" t="s">
        <v>314</v>
      </c>
      <c r="N12" s="11" t="s">
        <v>77</v>
      </c>
      <c r="O12" s="11" t="s">
        <v>84</v>
      </c>
      <c r="P12" s="19">
        <v>35.0</v>
      </c>
      <c r="Q12" s="22">
        <v>6.39</v>
      </c>
      <c r="R12" s="22">
        <v>7.3</v>
      </c>
      <c r="S12" s="19">
        <v>10.0</v>
      </c>
      <c r="T12" s="19">
        <v>6.0</v>
      </c>
      <c r="U12" s="11" t="s">
        <v>315</v>
      </c>
      <c r="V12" s="19">
        <v>2.0</v>
      </c>
      <c r="W12" s="19">
        <v>0.0</v>
      </c>
      <c r="X12" s="19">
        <v>1.0</v>
      </c>
      <c r="Y12" s="22">
        <v>5.5</v>
      </c>
      <c r="Z12" s="22">
        <v>5.5</v>
      </c>
      <c r="AA12" s="19">
        <v>0.0</v>
      </c>
      <c r="AB12" s="19">
        <v>0.0</v>
      </c>
      <c r="AC12" s="11" t="s">
        <v>93</v>
      </c>
      <c r="AD12" s="11" t="s">
        <v>73</v>
      </c>
      <c r="AE12" s="22">
        <f t="shared" si="4"/>
        <v>7.3</v>
      </c>
      <c r="AF12" s="18" t="s">
        <v>316</v>
      </c>
      <c r="AG12" s="19">
        <v>0.0</v>
      </c>
      <c r="AH12" s="19">
        <f t="shared" si="5"/>
        <v>14</v>
      </c>
      <c r="AI12" s="18" t="s">
        <v>318</v>
      </c>
    </row>
    <row r="13">
      <c r="A13" s="25">
        <f t="shared" si="1"/>
        <v>10</v>
      </c>
      <c r="B13" s="27">
        <f>ROUND(Guida!$B$22*H13/Guida!$B$31+Guida!$B$23*MAX(0,MIN(1,(AE13-5.4)/1.6))+Guida!$B$24*0+Guida!$B$25*0,1)</f>
        <v>45.8</v>
      </c>
      <c r="C13" s="28" t="s">
        <v>321</v>
      </c>
      <c r="D13" s="25" t="s">
        <v>133</v>
      </c>
      <c r="E13" s="29" t="s">
        <v>235</v>
      </c>
      <c r="F13" s="30">
        <v>25.0</v>
      </c>
      <c r="G13" s="30">
        <v>24.0</v>
      </c>
      <c r="H13" s="30">
        <v>183.0</v>
      </c>
      <c r="I13" s="30">
        <f>MAX(1,ROUND(H13^Guida!$B$18*Guida!$F$14,0))</f>
        <v>78</v>
      </c>
      <c r="J13" s="30">
        <f t="shared" si="2"/>
        <v>94</v>
      </c>
      <c r="K13" s="25" t="str">
        <f t="shared" si="3"/>
        <v>Top</v>
      </c>
      <c r="L13" s="25" t="s">
        <v>68</v>
      </c>
      <c r="M13" s="29" t="s">
        <v>294</v>
      </c>
      <c r="N13" s="25" t="s">
        <v>71</v>
      </c>
      <c r="O13" s="25" t="s">
        <v>71</v>
      </c>
      <c r="P13" s="30">
        <v>26.0</v>
      </c>
      <c r="Q13" s="32">
        <v>5.88</v>
      </c>
      <c r="R13" s="32">
        <v>6.77</v>
      </c>
      <c r="S13" s="30">
        <v>8.0</v>
      </c>
      <c r="T13" s="30">
        <v>1.0</v>
      </c>
      <c r="U13" s="25" t="s">
        <v>297</v>
      </c>
      <c r="V13" s="30">
        <v>4.0</v>
      </c>
      <c r="W13" s="30">
        <v>0.0</v>
      </c>
      <c r="X13" s="30">
        <v>1.0</v>
      </c>
      <c r="Y13" s="32">
        <v>6.0</v>
      </c>
      <c r="Z13" s="32">
        <v>6.0</v>
      </c>
      <c r="AA13" s="30">
        <v>0.0</v>
      </c>
      <c r="AB13" s="30">
        <v>0.0</v>
      </c>
      <c r="AC13" s="25" t="s">
        <v>208</v>
      </c>
      <c r="AD13" s="25" t="s">
        <v>103</v>
      </c>
      <c r="AE13" s="32">
        <f t="shared" si="4"/>
        <v>6.77</v>
      </c>
      <c r="AF13" s="29" t="s">
        <v>244</v>
      </c>
      <c r="AG13" s="30">
        <v>7.0</v>
      </c>
      <c r="AH13" s="30">
        <f t="shared" si="5"/>
        <v>7</v>
      </c>
      <c r="AI13" s="29"/>
    </row>
    <row r="14">
      <c r="A14" s="11">
        <f t="shared" si="1"/>
        <v>11</v>
      </c>
      <c r="B14" s="16">
        <f>ROUND(Guida!$B$22*H14/Guida!$B$31+Guida!$B$23*MAX(0,MIN(1,(AE14-5.4)/1.6))+Guida!$B$24*0.6+Guida!$B$25*0,1)</f>
        <v>44.1</v>
      </c>
      <c r="C14" s="17" t="s">
        <v>328</v>
      </c>
      <c r="D14" s="11" t="s">
        <v>143</v>
      </c>
      <c r="E14" s="18" t="s">
        <v>235</v>
      </c>
      <c r="F14" s="19">
        <v>18.0</v>
      </c>
      <c r="G14" s="19">
        <v>18.0</v>
      </c>
      <c r="H14" s="19">
        <v>98.0</v>
      </c>
      <c r="I14" s="19">
        <f>MAX(1,ROUND(H14^Guida!$B$18*Guida!$F$14,0))</f>
        <v>53</v>
      </c>
      <c r="J14" s="19">
        <f t="shared" si="2"/>
        <v>64</v>
      </c>
      <c r="K14" s="11" t="str">
        <f t="shared" si="3"/>
        <v>1a fascia</v>
      </c>
      <c r="L14" s="11" t="s">
        <v>68</v>
      </c>
      <c r="M14" s="21" t="s">
        <v>70</v>
      </c>
      <c r="N14" s="11" t="s">
        <v>77</v>
      </c>
      <c r="O14" s="11" t="s">
        <v>71</v>
      </c>
      <c r="P14" s="19">
        <v>32.0</v>
      </c>
      <c r="Q14" s="22">
        <v>6.16</v>
      </c>
      <c r="R14" s="22">
        <v>7.19</v>
      </c>
      <c r="S14" s="19">
        <v>10.0</v>
      </c>
      <c r="T14" s="19">
        <v>5.0</v>
      </c>
      <c r="U14" s="11" t="s">
        <v>72</v>
      </c>
      <c r="V14" s="19">
        <v>4.0</v>
      </c>
      <c r="W14" s="19">
        <v>0.0</v>
      </c>
      <c r="X14" s="19">
        <v>2.0</v>
      </c>
      <c r="Y14" s="22">
        <v>6.25</v>
      </c>
      <c r="Z14" s="22">
        <v>7.5</v>
      </c>
      <c r="AA14" s="19">
        <v>1.0</v>
      </c>
      <c r="AB14" s="19">
        <v>0.0</v>
      </c>
      <c r="AC14" s="11" t="s">
        <v>143</v>
      </c>
      <c r="AD14" s="11" t="s">
        <v>73</v>
      </c>
      <c r="AE14" s="22">
        <f t="shared" si="4"/>
        <v>7.19</v>
      </c>
      <c r="AF14" s="18" t="s">
        <v>266</v>
      </c>
      <c r="AG14" s="19">
        <v>7.0</v>
      </c>
      <c r="AH14" s="19">
        <f t="shared" si="5"/>
        <v>16</v>
      </c>
      <c r="AI14" s="18"/>
    </row>
    <row r="15">
      <c r="A15" s="25">
        <f t="shared" si="1"/>
        <v>12</v>
      </c>
      <c r="B15" s="27">
        <f>ROUND(Guida!$B$22*H15/Guida!$B$31+Guida!$B$23*MAX(0,MIN(1,(AE15-5.4)/1.6))+Guida!$B$24*1+Guida!$B$25*0,1)</f>
        <v>43.2</v>
      </c>
      <c r="C15" s="28" t="s">
        <v>330</v>
      </c>
      <c r="D15" s="25" t="s">
        <v>175</v>
      </c>
      <c r="E15" s="29" t="s">
        <v>235</v>
      </c>
      <c r="F15" s="30">
        <v>27.0</v>
      </c>
      <c r="G15" s="30">
        <v>27.0</v>
      </c>
      <c r="H15" s="30">
        <v>237.0</v>
      </c>
      <c r="I15" s="30">
        <f>MAX(1,ROUND(H15^Guida!$B$18*Guida!$F$14,0))</f>
        <v>91</v>
      </c>
      <c r="J15" s="30">
        <f t="shared" si="2"/>
        <v>109</v>
      </c>
      <c r="K15" s="25" t="str">
        <f t="shared" si="3"/>
        <v>Top</v>
      </c>
      <c r="L15" s="25" t="s">
        <v>68</v>
      </c>
      <c r="M15" s="21" t="s">
        <v>100</v>
      </c>
      <c r="N15" s="25" t="s">
        <v>84</v>
      </c>
      <c r="O15" s="25" t="s">
        <v>71</v>
      </c>
      <c r="P15" s="30"/>
      <c r="Q15" s="32"/>
      <c r="R15" s="32"/>
      <c r="S15" s="30"/>
      <c r="T15" s="30"/>
      <c r="U15" s="25"/>
      <c r="V15" s="30"/>
      <c r="W15" s="30"/>
      <c r="X15" s="30">
        <v>2.0</v>
      </c>
      <c r="Y15" s="32">
        <v>6.5</v>
      </c>
      <c r="Z15" s="32">
        <v>8.0</v>
      </c>
      <c r="AA15" s="30">
        <v>1.0</v>
      </c>
      <c r="AB15" s="30">
        <v>0.0</v>
      </c>
      <c r="AC15" s="25" t="s">
        <v>71</v>
      </c>
      <c r="AD15" s="25" t="s">
        <v>103</v>
      </c>
      <c r="AE15" s="32">
        <f t="shared" si="4"/>
        <v>5.5</v>
      </c>
      <c r="AF15" s="29" t="s">
        <v>291</v>
      </c>
      <c r="AG15" s="30">
        <v>0.0</v>
      </c>
      <c r="AH15" s="30">
        <f t="shared" si="5"/>
        <v>5</v>
      </c>
      <c r="AI15" s="29"/>
    </row>
    <row r="16">
      <c r="A16" s="11">
        <f t="shared" si="1"/>
        <v>13</v>
      </c>
      <c r="B16" s="16">
        <f>ROUND(Guida!$B$22*H16/Guida!$B$31+Guida!$B$23*MAX(0,MIN(1,(AE16-5.4)/1.6))+Guida!$B$24*0.6+Guida!$B$25*1,1)</f>
        <v>42.1</v>
      </c>
      <c r="C16" s="17" t="s">
        <v>337</v>
      </c>
      <c r="D16" s="11" t="s">
        <v>60</v>
      </c>
      <c r="E16" s="18" t="s">
        <v>287</v>
      </c>
      <c r="F16" s="19">
        <v>14.0</v>
      </c>
      <c r="G16" s="19">
        <v>16.0</v>
      </c>
      <c r="H16" s="19">
        <v>100.0</v>
      </c>
      <c r="I16" s="19">
        <f>MAX(1,ROUND(H16^Guida!$B$18*Guida!$F$14,0))</f>
        <v>54</v>
      </c>
      <c r="J16" s="19">
        <f t="shared" si="2"/>
        <v>65</v>
      </c>
      <c r="K16" s="11" t="str">
        <f t="shared" si="3"/>
        <v>1a fascia</v>
      </c>
      <c r="L16" s="11" t="s">
        <v>68</v>
      </c>
      <c r="M16" s="21" t="s">
        <v>70</v>
      </c>
      <c r="N16" s="11" t="s">
        <v>77</v>
      </c>
      <c r="O16" s="11" t="s">
        <v>84</v>
      </c>
      <c r="P16" s="19">
        <v>21.0</v>
      </c>
      <c r="Q16" s="22">
        <v>6.26</v>
      </c>
      <c r="R16" s="22">
        <v>6.74</v>
      </c>
      <c r="S16" s="19">
        <v>2.0</v>
      </c>
      <c r="T16" s="19">
        <v>7.0</v>
      </c>
      <c r="U16" s="11" t="s">
        <v>202</v>
      </c>
      <c r="V16" s="19">
        <v>0.0</v>
      </c>
      <c r="W16" s="19">
        <v>0.0</v>
      </c>
      <c r="X16" s="19">
        <v>2.0</v>
      </c>
      <c r="Y16" s="22">
        <v>7.5</v>
      </c>
      <c r="Z16" s="22">
        <v>9.0</v>
      </c>
      <c r="AA16" s="19">
        <v>0.0</v>
      </c>
      <c r="AB16" s="19">
        <v>3.0</v>
      </c>
      <c r="AC16" s="11" t="s">
        <v>60</v>
      </c>
      <c r="AD16" s="11" t="s">
        <v>73</v>
      </c>
      <c r="AE16" s="22">
        <f t="shared" si="4"/>
        <v>6.54</v>
      </c>
      <c r="AF16" s="18" t="s">
        <v>340</v>
      </c>
      <c r="AG16" s="19">
        <v>0.0</v>
      </c>
      <c r="AH16" s="19">
        <f t="shared" si="5"/>
        <v>14</v>
      </c>
      <c r="AI16" s="18"/>
    </row>
    <row r="17">
      <c r="A17" s="25">
        <f t="shared" si="1"/>
        <v>14</v>
      </c>
      <c r="B17" s="27">
        <f>ROUND(Guida!$B$22*H17/Guida!$B$31+Guida!$B$23*MAX(0,MIN(1,(AE17-5.4)/1.6))+Guida!$B$24*0.2+Guida!$B$25*0.6,1)</f>
        <v>40.9</v>
      </c>
      <c r="C17" s="28" t="s">
        <v>342</v>
      </c>
      <c r="D17" s="25" t="s">
        <v>253</v>
      </c>
      <c r="E17" s="29" t="s">
        <v>287</v>
      </c>
      <c r="F17" s="30">
        <v>15.0</v>
      </c>
      <c r="G17" s="30">
        <v>15.0</v>
      </c>
      <c r="H17" s="30">
        <v>83.0</v>
      </c>
      <c r="I17" s="30">
        <f>MAX(1,ROUND(H17^Guida!$B$18*Guida!$F$14,0))</f>
        <v>48</v>
      </c>
      <c r="J17" s="30">
        <f t="shared" si="2"/>
        <v>58</v>
      </c>
      <c r="K17" s="25" t="str">
        <f t="shared" si="3"/>
        <v>1a fascia</v>
      </c>
      <c r="L17" s="25" t="s">
        <v>68</v>
      </c>
      <c r="M17" s="21" t="s">
        <v>70</v>
      </c>
      <c r="N17" s="25" t="s">
        <v>345</v>
      </c>
      <c r="O17" s="25" t="s">
        <v>77</v>
      </c>
      <c r="P17" s="30">
        <v>37.0</v>
      </c>
      <c r="Q17" s="32">
        <v>6.23</v>
      </c>
      <c r="R17" s="32">
        <v>6.99</v>
      </c>
      <c r="S17" s="30">
        <v>7.0</v>
      </c>
      <c r="T17" s="30">
        <v>9.0</v>
      </c>
      <c r="U17" s="25" t="s">
        <v>72</v>
      </c>
      <c r="V17" s="30">
        <v>4.0</v>
      </c>
      <c r="W17" s="30">
        <v>0.0</v>
      </c>
      <c r="X17" s="30">
        <v>2.0</v>
      </c>
      <c r="Y17" s="32">
        <v>6.25</v>
      </c>
      <c r="Z17" s="32">
        <v>6.0</v>
      </c>
      <c r="AA17" s="30">
        <v>0.0</v>
      </c>
      <c r="AB17" s="30">
        <v>0.0</v>
      </c>
      <c r="AC17" s="25" t="s">
        <v>253</v>
      </c>
      <c r="AD17" s="25" t="s">
        <v>73</v>
      </c>
      <c r="AE17" s="32">
        <f t="shared" si="4"/>
        <v>6.99</v>
      </c>
      <c r="AF17" s="29" t="s">
        <v>291</v>
      </c>
      <c r="AG17" s="30">
        <v>4.0</v>
      </c>
      <c r="AH17" s="30">
        <f t="shared" si="5"/>
        <v>18</v>
      </c>
      <c r="AI17" s="29"/>
    </row>
    <row r="18">
      <c r="A18" s="11">
        <f t="shared" si="1"/>
        <v>15</v>
      </c>
      <c r="B18" s="16">
        <f>ROUND(Guida!$B$22*H18/Guida!$B$31+Guida!$B$23*MAX(0,MIN(1,(AE18-5.4)/1.6))+Guida!$B$24*0.35+Guida!$B$25*0,1)</f>
        <v>39.2</v>
      </c>
      <c r="C18" s="17" t="s">
        <v>350</v>
      </c>
      <c r="D18" s="11" t="s">
        <v>212</v>
      </c>
      <c r="E18" s="18" t="s">
        <v>235</v>
      </c>
      <c r="F18" s="19">
        <v>15.0</v>
      </c>
      <c r="G18" s="19">
        <v>14.0</v>
      </c>
      <c r="H18" s="19">
        <v>80.0</v>
      </c>
      <c r="I18" s="19">
        <f>MAX(1,ROUND(H18^Guida!$B$18*Guida!$F$14,0))</f>
        <v>47</v>
      </c>
      <c r="J18" s="19">
        <f t="shared" si="2"/>
        <v>56</v>
      </c>
      <c r="K18" s="11" t="str">
        <f t="shared" si="3"/>
        <v>1a fascia</v>
      </c>
      <c r="L18" s="11" t="s">
        <v>68</v>
      </c>
      <c r="M18" s="21" t="s">
        <v>70</v>
      </c>
      <c r="N18" s="11" t="s">
        <v>160</v>
      </c>
      <c r="O18" s="11" t="s">
        <v>71</v>
      </c>
      <c r="P18" s="19">
        <v>32.0</v>
      </c>
      <c r="Q18" s="22">
        <v>6.08</v>
      </c>
      <c r="R18" s="22">
        <v>7.09</v>
      </c>
      <c r="S18" s="19">
        <v>11.0</v>
      </c>
      <c r="T18" s="19">
        <v>0.0</v>
      </c>
      <c r="U18" s="11" t="s">
        <v>72</v>
      </c>
      <c r="V18" s="19">
        <v>1.0</v>
      </c>
      <c r="W18" s="19">
        <v>0.0</v>
      </c>
      <c r="X18" s="19">
        <v>2.0</v>
      </c>
      <c r="Y18" s="22">
        <v>5.5</v>
      </c>
      <c r="Z18" s="22">
        <v>5.5</v>
      </c>
      <c r="AA18" s="19">
        <v>0.0</v>
      </c>
      <c r="AB18" s="19">
        <v>0.0</v>
      </c>
      <c r="AC18" s="11" t="s">
        <v>212</v>
      </c>
      <c r="AD18" s="11" t="s">
        <v>73</v>
      </c>
      <c r="AE18" s="22">
        <f t="shared" si="4"/>
        <v>7.09</v>
      </c>
      <c r="AF18" s="18" t="s">
        <v>354</v>
      </c>
      <c r="AG18" s="19">
        <v>0.0</v>
      </c>
      <c r="AH18" s="19">
        <f t="shared" si="5"/>
        <v>19</v>
      </c>
      <c r="AI18" s="18"/>
    </row>
    <row r="19">
      <c r="A19" s="25">
        <f t="shared" si="1"/>
        <v>16</v>
      </c>
      <c r="B19" s="27">
        <f>ROUND(Guida!$B$22*H19/Guida!$B$31+Guida!$B$23*MAX(0,MIN(1,(AE19-5.4)/1.6))+Guida!$B$24*0+Guida!$B$25*0,1)</f>
        <v>39</v>
      </c>
      <c r="C19" s="28" t="s">
        <v>355</v>
      </c>
      <c r="D19" s="25" t="s">
        <v>64</v>
      </c>
      <c r="E19" s="29" t="s">
        <v>235</v>
      </c>
      <c r="F19" s="30">
        <v>16.0</v>
      </c>
      <c r="G19" s="30">
        <v>17.0</v>
      </c>
      <c r="H19" s="30">
        <v>105.0</v>
      </c>
      <c r="I19" s="30">
        <f>MAX(1,ROUND(H19^Guida!$B$18*Guida!$F$14,0))</f>
        <v>56</v>
      </c>
      <c r="J19" s="30">
        <f t="shared" si="2"/>
        <v>67</v>
      </c>
      <c r="K19" s="25" t="str">
        <f t="shared" si="3"/>
        <v>1a fascia</v>
      </c>
      <c r="L19" s="25" t="s">
        <v>226</v>
      </c>
      <c r="M19" s="29" t="s">
        <v>277</v>
      </c>
      <c r="N19" s="25" t="s">
        <v>71</v>
      </c>
      <c r="O19" s="25" t="s">
        <v>71</v>
      </c>
      <c r="P19" s="30">
        <v>31.0</v>
      </c>
      <c r="Q19" s="32">
        <v>6.26</v>
      </c>
      <c r="R19" s="32">
        <v>7.02</v>
      </c>
      <c r="S19" s="30">
        <v>7.0</v>
      </c>
      <c r="T19" s="30">
        <v>3.0</v>
      </c>
      <c r="U19" s="25" t="s">
        <v>72</v>
      </c>
      <c r="V19" s="30">
        <v>1.0</v>
      </c>
      <c r="W19" s="30">
        <v>0.0</v>
      </c>
      <c r="X19" s="30">
        <v>2.0</v>
      </c>
      <c r="Y19" s="32">
        <v>7.0</v>
      </c>
      <c r="Z19" s="32">
        <v>9.0</v>
      </c>
      <c r="AA19" s="30">
        <v>1.0</v>
      </c>
      <c r="AB19" s="30">
        <v>1.0</v>
      </c>
      <c r="AC19" s="25" t="s">
        <v>64</v>
      </c>
      <c r="AD19" s="25" t="s">
        <v>73</v>
      </c>
      <c r="AE19" s="32">
        <f t="shared" si="4"/>
        <v>7.02</v>
      </c>
      <c r="AF19" s="29" t="s">
        <v>256</v>
      </c>
      <c r="AG19" s="30">
        <v>0.0</v>
      </c>
      <c r="AH19" s="30">
        <f t="shared" si="5"/>
        <v>13</v>
      </c>
      <c r="AI19" s="29"/>
    </row>
    <row r="20">
      <c r="A20" s="11">
        <f t="shared" si="1"/>
        <v>17</v>
      </c>
      <c r="B20" s="16">
        <f>ROUND(Guida!$B$22*H20/Guida!$B$31+Guida!$B$23*MAX(0,MIN(1,(AE20-5.4)/1.6))+Guida!$B$24*0+Guida!$B$25*1,1)</f>
        <v>36.4</v>
      </c>
      <c r="C20" s="17" t="s">
        <v>362</v>
      </c>
      <c r="D20" s="11" t="s">
        <v>143</v>
      </c>
      <c r="E20" s="18" t="s">
        <v>287</v>
      </c>
      <c r="F20" s="19">
        <v>17.0</v>
      </c>
      <c r="G20" s="19">
        <v>17.0</v>
      </c>
      <c r="H20" s="19">
        <v>95.0</v>
      </c>
      <c r="I20" s="19">
        <f>MAX(1,ROUND(H20^Guida!$B$18*Guida!$F$14,0))</f>
        <v>52</v>
      </c>
      <c r="J20" s="19">
        <f t="shared" si="2"/>
        <v>62</v>
      </c>
      <c r="K20" s="11" t="str">
        <f t="shared" si="3"/>
        <v>1a fascia</v>
      </c>
      <c r="L20" s="11" t="s">
        <v>226</v>
      </c>
      <c r="M20" s="18" t="s">
        <v>277</v>
      </c>
      <c r="N20" s="11" t="s">
        <v>71</v>
      </c>
      <c r="O20" s="11" t="s">
        <v>84</v>
      </c>
      <c r="P20" s="19">
        <v>31.0</v>
      </c>
      <c r="Q20" s="22">
        <v>6.21</v>
      </c>
      <c r="R20" s="22">
        <v>6.6</v>
      </c>
      <c r="S20" s="19">
        <v>3.0</v>
      </c>
      <c r="T20" s="19">
        <v>5.0</v>
      </c>
      <c r="U20" s="11" t="s">
        <v>72</v>
      </c>
      <c r="V20" s="19">
        <v>4.0</v>
      </c>
      <c r="W20" s="19">
        <v>0.0</v>
      </c>
      <c r="X20" s="19">
        <v>2.0</v>
      </c>
      <c r="Y20" s="22">
        <v>5.75</v>
      </c>
      <c r="Z20" s="22">
        <v>5.75</v>
      </c>
      <c r="AA20" s="19">
        <v>0.0</v>
      </c>
      <c r="AB20" s="19">
        <v>0.0</v>
      </c>
      <c r="AC20" s="11" t="s">
        <v>143</v>
      </c>
      <c r="AD20" s="11" t="s">
        <v>73</v>
      </c>
      <c r="AE20" s="22">
        <f t="shared" si="4"/>
        <v>6.6</v>
      </c>
      <c r="AF20" s="18" t="s">
        <v>368</v>
      </c>
      <c r="AG20" s="19">
        <v>6.0</v>
      </c>
      <c r="AH20" s="19">
        <f t="shared" si="5"/>
        <v>17</v>
      </c>
      <c r="AI20" s="18"/>
    </row>
    <row r="21" ht="15.75" customHeight="1">
      <c r="A21" s="25">
        <f t="shared" si="1"/>
        <v>18</v>
      </c>
      <c r="B21" s="27">
        <f>ROUND(Guida!$B$22*H21/Guida!$B$31+Guida!$B$23*MAX(0,MIN(1,(AE21-5.4)/1.6))+Guida!$B$24*1+Guida!$B$25*0,1)</f>
        <v>33.6</v>
      </c>
      <c r="C21" s="28" t="s">
        <v>371</v>
      </c>
      <c r="D21" s="25" t="s">
        <v>93</v>
      </c>
      <c r="E21" s="29" t="s">
        <v>235</v>
      </c>
      <c r="F21" s="30">
        <v>26.0</v>
      </c>
      <c r="G21" s="30">
        <v>25.0</v>
      </c>
      <c r="H21" s="30">
        <v>165.0</v>
      </c>
      <c r="I21" s="30">
        <f>MAX(1,ROUND(H21^Guida!$B$18*Guida!$F$14,0))</f>
        <v>73</v>
      </c>
      <c r="J21" s="30">
        <f t="shared" si="2"/>
        <v>88</v>
      </c>
      <c r="K21" s="25" t="str">
        <f t="shared" si="3"/>
        <v>Top</v>
      </c>
      <c r="L21" s="25" t="s">
        <v>68</v>
      </c>
      <c r="M21" s="21" t="s">
        <v>100</v>
      </c>
      <c r="N21" s="25" t="s">
        <v>84</v>
      </c>
      <c r="O21" s="25" t="s">
        <v>71</v>
      </c>
      <c r="P21" s="30"/>
      <c r="Q21" s="32"/>
      <c r="R21" s="32"/>
      <c r="S21" s="30"/>
      <c r="T21" s="30"/>
      <c r="U21" s="25"/>
      <c r="V21" s="30"/>
      <c r="W21" s="30"/>
      <c r="X21" s="30">
        <v>2.0</v>
      </c>
      <c r="Y21" s="32">
        <v>5.5</v>
      </c>
      <c r="Z21" s="32">
        <v>5.5</v>
      </c>
      <c r="AA21" s="30">
        <v>0.0</v>
      </c>
      <c r="AB21" s="30">
        <v>0.0</v>
      </c>
      <c r="AC21" s="25" t="s">
        <v>71</v>
      </c>
      <c r="AD21" s="25" t="s">
        <v>103</v>
      </c>
      <c r="AE21" s="32">
        <f t="shared" si="4"/>
        <v>5.5</v>
      </c>
      <c r="AF21" s="29" t="s">
        <v>316</v>
      </c>
      <c r="AG21" s="30">
        <v>0.0</v>
      </c>
      <c r="AH21" s="30">
        <f t="shared" si="5"/>
        <v>8</v>
      </c>
      <c r="AI21" s="29"/>
    </row>
    <row r="22" ht="15.75" customHeight="1">
      <c r="A22" s="11">
        <f t="shared" si="1"/>
        <v>19</v>
      </c>
      <c r="B22" s="16">
        <f>ROUND(Guida!$B$22*H22/Guida!$B$31+Guida!$B$23*MAX(0,MIN(1,(AE22-5.4)/1.6))+Guida!$B$24*1+Guida!$B$25*0,1)</f>
        <v>32.7</v>
      </c>
      <c r="C22" s="17" t="s">
        <v>374</v>
      </c>
      <c r="D22" s="11" t="s">
        <v>177</v>
      </c>
      <c r="E22" s="18" t="s">
        <v>235</v>
      </c>
      <c r="F22" s="19">
        <v>11.0</v>
      </c>
      <c r="G22" s="19">
        <v>11.0</v>
      </c>
      <c r="H22" s="19">
        <v>52.0</v>
      </c>
      <c r="I22" s="19">
        <f>MAX(1,ROUND(H22^Guida!$B$18*Guida!$F$14,0))</f>
        <v>36</v>
      </c>
      <c r="J22" s="19">
        <f t="shared" si="2"/>
        <v>43</v>
      </c>
      <c r="K22" s="11" t="str">
        <f t="shared" si="3"/>
        <v>1a fascia</v>
      </c>
      <c r="L22" s="11" t="s">
        <v>68</v>
      </c>
      <c r="M22" s="21" t="s">
        <v>70</v>
      </c>
      <c r="N22" s="11" t="s">
        <v>84</v>
      </c>
      <c r="O22" s="11" t="s">
        <v>71</v>
      </c>
      <c r="P22" s="19">
        <v>37.0</v>
      </c>
      <c r="Q22" s="22">
        <v>5.92</v>
      </c>
      <c r="R22" s="22">
        <v>6.41</v>
      </c>
      <c r="S22" s="19">
        <v>7.0</v>
      </c>
      <c r="T22" s="19">
        <v>1.0</v>
      </c>
      <c r="U22" s="11" t="s">
        <v>315</v>
      </c>
      <c r="V22" s="19">
        <v>2.0</v>
      </c>
      <c r="W22" s="19">
        <v>0.0</v>
      </c>
      <c r="X22" s="19">
        <v>2.0</v>
      </c>
      <c r="Y22" s="22">
        <v>5.75</v>
      </c>
      <c r="Z22" s="22">
        <v>5.75</v>
      </c>
      <c r="AA22" s="19">
        <v>0.0</v>
      </c>
      <c r="AB22" s="19">
        <v>0.0</v>
      </c>
      <c r="AC22" s="11" t="s">
        <v>177</v>
      </c>
      <c r="AD22" s="11" t="s">
        <v>73</v>
      </c>
      <c r="AE22" s="22">
        <f t="shared" si="4"/>
        <v>6.41</v>
      </c>
      <c r="AF22" s="18" t="s">
        <v>354</v>
      </c>
      <c r="AG22" s="19">
        <v>5.0</v>
      </c>
      <c r="AH22" s="19">
        <f t="shared" si="5"/>
        <v>24</v>
      </c>
      <c r="AI22" s="18"/>
    </row>
    <row r="23" ht="15.75" customHeight="1">
      <c r="A23" s="25">
        <f t="shared" si="1"/>
        <v>20</v>
      </c>
      <c r="B23" s="27">
        <f>ROUND(Guida!$B$22*H23/Guida!$B$31+Guida!$B$23*MAX(0,MIN(1,(AE23-5.4)/1.6))+Guida!$B$24*0.35+Guida!$B$25*0,1)</f>
        <v>32</v>
      </c>
      <c r="C23" s="28" t="s">
        <v>379</v>
      </c>
      <c r="D23" s="25" t="s">
        <v>253</v>
      </c>
      <c r="E23" s="29" t="s">
        <v>287</v>
      </c>
      <c r="F23" s="30">
        <v>13.0</v>
      </c>
      <c r="G23" s="30">
        <v>12.0</v>
      </c>
      <c r="H23" s="30">
        <v>40.0</v>
      </c>
      <c r="I23" s="30">
        <f>MAX(1,ROUND(H23^Guida!$B$18*Guida!$F$14,0))</f>
        <v>31</v>
      </c>
      <c r="J23" s="30">
        <f t="shared" si="2"/>
        <v>37</v>
      </c>
      <c r="K23" s="25" t="str">
        <f t="shared" si="3"/>
        <v>1a fascia</v>
      </c>
      <c r="L23" s="25" t="s">
        <v>226</v>
      </c>
      <c r="M23" s="29" t="s">
        <v>227</v>
      </c>
      <c r="N23" s="25" t="s">
        <v>160</v>
      </c>
      <c r="O23" s="25" t="s">
        <v>71</v>
      </c>
      <c r="P23" s="30">
        <v>36.0</v>
      </c>
      <c r="Q23" s="32">
        <v>6.26</v>
      </c>
      <c r="R23" s="32">
        <v>6.88</v>
      </c>
      <c r="S23" s="30">
        <v>7.0</v>
      </c>
      <c r="T23" s="30">
        <v>4.0</v>
      </c>
      <c r="U23" s="25" t="s">
        <v>188</v>
      </c>
      <c r="V23" s="30">
        <v>6.0</v>
      </c>
      <c r="W23" s="30">
        <v>0.0</v>
      </c>
      <c r="X23" s="30">
        <v>0.0</v>
      </c>
      <c r="Y23" s="32"/>
      <c r="Z23" s="32"/>
      <c r="AA23" s="30"/>
      <c r="AB23" s="30"/>
      <c r="AC23" s="25" t="s">
        <v>239</v>
      </c>
      <c r="AD23" s="25" t="s">
        <v>103</v>
      </c>
      <c r="AE23" s="32">
        <f t="shared" si="4"/>
        <v>6.88</v>
      </c>
      <c r="AF23" s="29" t="s">
        <v>291</v>
      </c>
      <c r="AG23" s="30">
        <v>4.0</v>
      </c>
      <c r="AH23" s="30">
        <f t="shared" si="5"/>
        <v>29</v>
      </c>
      <c r="AI23" s="29"/>
    </row>
    <row r="24" ht="15.75" customHeight="1">
      <c r="A24" s="11">
        <f t="shared" si="1"/>
        <v>21</v>
      </c>
      <c r="B24" s="16">
        <f>ROUND(Guida!$B$22*H24/Guida!$B$31+Guida!$B$23*MAX(0,MIN(1,(AE24-5.4)/1.6))+Guida!$B$24*0.35+Guida!$B$25*0,1)</f>
        <v>30.2</v>
      </c>
      <c r="C24" s="17" t="s">
        <v>383</v>
      </c>
      <c r="D24" s="11" t="s">
        <v>60</v>
      </c>
      <c r="E24" s="18" t="s">
        <v>235</v>
      </c>
      <c r="F24" s="19">
        <v>14.0</v>
      </c>
      <c r="G24" s="19">
        <v>14.0</v>
      </c>
      <c r="H24" s="19">
        <v>70.0</v>
      </c>
      <c r="I24" s="19">
        <f>MAX(1,ROUND(H24^Guida!$B$18*Guida!$F$14,0))</f>
        <v>44</v>
      </c>
      <c r="J24" s="19">
        <f t="shared" si="2"/>
        <v>53</v>
      </c>
      <c r="K24" s="11" t="str">
        <f t="shared" si="3"/>
        <v>1a fascia</v>
      </c>
      <c r="L24" s="11" t="s">
        <v>226</v>
      </c>
      <c r="M24" s="18" t="s">
        <v>300</v>
      </c>
      <c r="N24" s="11" t="s">
        <v>160</v>
      </c>
      <c r="O24" s="11" t="s">
        <v>71</v>
      </c>
      <c r="P24" s="19">
        <v>35.0</v>
      </c>
      <c r="Q24" s="22">
        <v>5.93</v>
      </c>
      <c r="R24" s="22">
        <v>6.51</v>
      </c>
      <c r="S24" s="19">
        <v>7.0</v>
      </c>
      <c r="T24" s="19">
        <v>1.0</v>
      </c>
      <c r="U24" s="11" t="s">
        <v>72</v>
      </c>
      <c r="V24" s="19">
        <v>3.0</v>
      </c>
      <c r="W24" s="19">
        <v>0.0</v>
      </c>
      <c r="X24" s="19">
        <v>2.0</v>
      </c>
      <c r="Y24" s="22">
        <v>6.0</v>
      </c>
      <c r="Z24" s="22">
        <v>6.0</v>
      </c>
      <c r="AA24" s="19">
        <v>0.0</v>
      </c>
      <c r="AB24" s="19">
        <v>0.0</v>
      </c>
      <c r="AC24" s="11" t="s">
        <v>182</v>
      </c>
      <c r="AD24" s="11" t="s">
        <v>103</v>
      </c>
      <c r="AE24" s="22">
        <f t="shared" si="4"/>
        <v>6.51</v>
      </c>
      <c r="AF24" s="18" t="s">
        <v>340</v>
      </c>
      <c r="AG24" s="19">
        <v>0.0</v>
      </c>
      <c r="AH24" s="19">
        <f t="shared" si="5"/>
        <v>21</v>
      </c>
      <c r="AI24" s="18"/>
    </row>
    <row r="25" ht="15.75" customHeight="1">
      <c r="A25" s="25">
        <f t="shared" si="1"/>
        <v>22</v>
      </c>
      <c r="B25" s="27">
        <f>ROUND(Guida!$B$22*H25/Guida!$B$31+Guida!$B$23*MAX(0,MIN(1,(AE25-5.4)/1.6))+Guida!$B$24*0+Guida!$B$25*0,1)</f>
        <v>28.7</v>
      </c>
      <c r="C25" s="28" t="s">
        <v>390</v>
      </c>
      <c r="D25" s="25" t="s">
        <v>60</v>
      </c>
      <c r="E25" s="29" t="s">
        <v>287</v>
      </c>
      <c r="F25" s="30">
        <v>12.0</v>
      </c>
      <c r="G25" s="30">
        <v>13.0</v>
      </c>
      <c r="H25" s="30">
        <v>48.0</v>
      </c>
      <c r="I25" s="30">
        <f>MAX(1,ROUND(H25^Guida!$B$18*Guida!$F$14,0))</f>
        <v>35</v>
      </c>
      <c r="J25" s="30">
        <f t="shared" si="2"/>
        <v>42</v>
      </c>
      <c r="K25" s="25" t="str">
        <f t="shared" si="3"/>
        <v>1a fascia</v>
      </c>
      <c r="L25" s="25" t="s">
        <v>332</v>
      </c>
      <c r="M25" s="29" t="s">
        <v>392</v>
      </c>
      <c r="N25" s="25" t="s">
        <v>71</v>
      </c>
      <c r="O25" s="25" t="s">
        <v>71</v>
      </c>
      <c r="P25" s="30">
        <v>32.0</v>
      </c>
      <c r="Q25" s="32">
        <v>6.12</v>
      </c>
      <c r="R25" s="32">
        <v>6.83</v>
      </c>
      <c r="S25" s="30">
        <v>6.0</v>
      </c>
      <c r="T25" s="30">
        <v>5.0</v>
      </c>
      <c r="U25" s="25" t="s">
        <v>72</v>
      </c>
      <c r="V25" s="30">
        <v>1.0</v>
      </c>
      <c r="W25" s="30">
        <v>0.0</v>
      </c>
      <c r="X25" s="30">
        <v>2.0</v>
      </c>
      <c r="Y25" s="32">
        <v>6.5</v>
      </c>
      <c r="Z25" s="32">
        <v>8.0</v>
      </c>
      <c r="AA25" s="30">
        <v>1.0</v>
      </c>
      <c r="AB25" s="30">
        <v>0.0</v>
      </c>
      <c r="AC25" s="25" t="s">
        <v>60</v>
      </c>
      <c r="AD25" s="25" t="s">
        <v>73</v>
      </c>
      <c r="AE25" s="32">
        <f t="shared" si="4"/>
        <v>6.83</v>
      </c>
      <c r="AF25" s="29" t="s">
        <v>340</v>
      </c>
      <c r="AG25" s="30">
        <v>0.0</v>
      </c>
      <c r="AH25" s="30">
        <f t="shared" si="5"/>
        <v>28</v>
      </c>
      <c r="AI25" s="29"/>
    </row>
    <row r="26" ht="15.75" customHeight="1">
      <c r="A26" s="11">
        <f t="shared" si="1"/>
        <v>23</v>
      </c>
      <c r="B26" s="16">
        <f>ROUND(Guida!$B$22*H26/Guida!$B$31+Guida!$B$23*MAX(0,MIN(1,(AE26-5.4)/1.6))+Guida!$B$24*0+Guida!$B$25*0,1)</f>
        <v>26.1</v>
      </c>
      <c r="C26" s="17" t="s">
        <v>395</v>
      </c>
      <c r="D26" s="11" t="s">
        <v>195</v>
      </c>
      <c r="E26" s="18" t="s">
        <v>235</v>
      </c>
      <c r="F26" s="19">
        <v>13.0</v>
      </c>
      <c r="G26" s="19">
        <v>12.0</v>
      </c>
      <c r="H26" s="19">
        <v>53.0</v>
      </c>
      <c r="I26" s="19">
        <f>MAX(1,ROUND(H26^Guida!$B$18*Guida!$F$14,0))</f>
        <v>37</v>
      </c>
      <c r="J26" s="19">
        <f t="shared" si="2"/>
        <v>44</v>
      </c>
      <c r="K26" s="11" t="str">
        <f t="shared" si="3"/>
        <v>1a fascia</v>
      </c>
      <c r="L26" s="11" t="s">
        <v>68</v>
      </c>
      <c r="M26" s="37" t="s">
        <v>214</v>
      </c>
      <c r="N26" s="11" t="s">
        <v>71</v>
      </c>
      <c r="O26" s="11" t="s">
        <v>71</v>
      </c>
      <c r="P26" s="19">
        <v>34.0</v>
      </c>
      <c r="Q26" s="22">
        <v>5.88</v>
      </c>
      <c r="R26" s="22">
        <v>6.62</v>
      </c>
      <c r="S26" s="19">
        <v>9.0</v>
      </c>
      <c r="T26" s="19">
        <v>3.0</v>
      </c>
      <c r="U26" s="11" t="s">
        <v>202</v>
      </c>
      <c r="V26" s="19">
        <v>2.0</v>
      </c>
      <c r="W26" s="19">
        <v>1.0</v>
      </c>
      <c r="X26" s="19">
        <v>0.0</v>
      </c>
      <c r="Y26" s="22"/>
      <c r="Z26" s="22"/>
      <c r="AA26" s="19"/>
      <c r="AB26" s="19"/>
      <c r="AC26" s="11" t="s">
        <v>253</v>
      </c>
      <c r="AD26" s="11" t="s">
        <v>103</v>
      </c>
      <c r="AE26" s="22">
        <f t="shared" si="4"/>
        <v>6.62</v>
      </c>
      <c r="AF26" s="18" t="s">
        <v>266</v>
      </c>
      <c r="AG26" s="19">
        <v>0.0</v>
      </c>
      <c r="AH26" s="19">
        <f t="shared" si="5"/>
        <v>23</v>
      </c>
      <c r="AI26" s="18"/>
    </row>
    <row r="27" ht="15.75" customHeight="1">
      <c r="A27" s="25">
        <f t="shared" si="1"/>
        <v>24</v>
      </c>
      <c r="B27" s="27">
        <f>ROUND(Guida!$B$22*H27/Guida!$B$31+Guida!$B$23*MAX(0,MIN(1,(AE27-5.4)/1.6))+Guida!$B$24*0+Guida!$B$25*0,1)</f>
        <v>24.9</v>
      </c>
      <c r="C27" s="28" t="s">
        <v>400</v>
      </c>
      <c r="D27" s="25" t="s">
        <v>208</v>
      </c>
      <c r="E27" s="29" t="s">
        <v>235</v>
      </c>
      <c r="F27" s="30">
        <v>15.0</v>
      </c>
      <c r="G27" s="30">
        <v>14.0</v>
      </c>
      <c r="H27" s="30">
        <v>40.0</v>
      </c>
      <c r="I27" s="30">
        <f>MAX(1,ROUND(H27^Guida!$B$18*Guida!$F$14,0))</f>
        <v>31</v>
      </c>
      <c r="J27" s="30">
        <f t="shared" si="2"/>
        <v>37</v>
      </c>
      <c r="K27" s="25" t="str">
        <f t="shared" si="3"/>
        <v>1a fascia</v>
      </c>
      <c r="L27" s="25" t="s">
        <v>68</v>
      </c>
      <c r="M27" s="21" t="s">
        <v>100</v>
      </c>
      <c r="N27" s="25" t="s">
        <v>71</v>
      </c>
      <c r="O27" s="25" t="s">
        <v>71</v>
      </c>
      <c r="P27" s="30">
        <v>37.0</v>
      </c>
      <c r="Q27" s="32">
        <v>5.99</v>
      </c>
      <c r="R27" s="32">
        <v>6.65</v>
      </c>
      <c r="S27" s="30">
        <v>9.0</v>
      </c>
      <c r="T27" s="30">
        <v>0.0</v>
      </c>
      <c r="U27" s="25" t="s">
        <v>188</v>
      </c>
      <c r="V27" s="30">
        <v>5.0</v>
      </c>
      <c r="W27" s="30">
        <v>0.0</v>
      </c>
      <c r="X27" s="30">
        <v>2.0</v>
      </c>
      <c r="Y27" s="32">
        <v>4.75</v>
      </c>
      <c r="Z27" s="32">
        <v>4.5</v>
      </c>
      <c r="AA27" s="30">
        <v>0.0</v>
      </c>
      <c r="AB27" s="30">
        <v>0.0</v>
      </c>
      <c r="AC27" s="25" t="s">
        <v>283</v>
      </c>
      <c r="AD27" s="25" t="s">
        <v>103</v>
      </c>
      <c r="AE27" s="32">
        <f t="shared" si="4"/>
        <v>6.65</v>
      </c>
      <c r="AF27" s="29" t="s">
        <v>404</v>
      </c>
      <c r="AG27" s="30">
        <v>6.0</v>
      </c>
      <c r="AH27" s="30">
        <f t="shared" si="5"/>
        <v>29</v>
      </c>
      <c r="AI27" s="29"/>
    </row>
    <row r="28" ht="15.75" customHeight="1">
      <c r="A28" s="11">
        <f t="shared" si="1"/>
        <v>25</v>
      </c>
      <c r="B28" s="16">
        <f>ROUND(Guida!$B$22*H28/Guida!$B$31+Guida!$B$23*MAX(0,MIN(1,(AE28-5.4)/1.6))+Guida!$B$24*0+Guida!$B$25*0,1)</f>
        <v>24.3</v>
      </c>
      <c r="C28" s="17" t="s">
        <v>407</v>
      </c>
      <c r="D28" s="11" t="s">
        <v>64</v>
      </c>
      <c r="E28" s="18" t="s">
        <v>235</v>
      </c>
      <c r="F28" s="19">
        <v>7.0</v>
      </c>
      <c r="G28" s="19">
        <v>7.0</v>
      </c>
      <c r="H28" s="19">
        <v>15.0</v>
      </c>
      <c r="I28" s="19">
        <f>MAX(1,ROUND(H28^Guida!$B$18*Guida!$F$14,0))</f>
        <v>17</v>
      </c>
      <c r="J28" s="19">
        <f t="shared" si="2"/>
        <v>20</v>
      </c>
      <c r="K28" s="11" t="str">
        <f t="shared" si="3"/>
        <v>2a fascia</v>
      </c>
      <c r="L28" s="11" t="s">
        <v>332</v>
      </c>
      <c r="M28" s="18" t="s">
        <v>408</v>
      </c>
      <c r="N28" s="11" t="s">
        <v>71</v>
      </c>
      <c r="O28" s="11" t="s">
        <v>71</v>
      </c>
      <c r="P28" s="19">
        <v>27.0</v>
      </c>
      <c r="Q28" s="22">
        <v>6.15</v>
      </c>
      <c r="R28" s="22">
        <v>6.83</v>
      </c>
      <c r="S28" s="19">
        <v>5.0</v>
      </c>
      <c r="T28" s="19">
        <v>4.0</v>
      </c>
      <c r="U28" s="11" t="s">
        <v>72</v>
      </c>
      <c r="V28" s="19">
        <v>1.0</v>
      </c>
      <c r="W28" s="19">
        <v>0.0</v>
      </c>
      <c r="X28" s="19">
        <v>1.0</v>
      </c>
      <c r="Y28" s="22">
        <v>6.0</v>
      </c>
      <c r="Z28" s="22">
        <v>6.0</v>
      </c>
      <c r="AA28" s="19">
        <v>0.0</v>
      </c>
      <c r="AB28" s="19">
        <v>0.0</v>
      </c>
      <c r="AC28" s="11" t="s">
        <v>64</v>
      </c>
      <c r="AD28" s="11" t="s">
        <v>73</v>
      </c>
      <c r="AE28" s="22">
        <f t="shared" si="4"/>
        <v>6.83</v>
      </c>
      <c r="AF28" s="18" t="s">
        <v>256</v>
      </c>
      <c r="AG28" s="19">
        <v>0.0</v>
      </c>
      <c r="AH28" s="19">
        <f t="shared" si="5"/>
        <v>54</v>
      </c>
      <c r="AI28" s="18"/>
    </row>
    <row r="29" ht="15.75" customHeight="1">
      <c r="A29" s="25">
        <f t="shared" si="1"/>
        <v>26</v>
      </c>
      <c r="B29" s="27">
        <f>ROUND(Guida!$B$22*H29/Guida!$B$31+Guida!$B$23*MAX(0,MIN(1,(AE29-5.4)/1.6))+Guida!$B$24*0+Guida!$B$25*0,1)</f>
        <v>23.8</v>
      </c>
      <c r="C29" s="28" t="s">
        <v>411</v>
      </c>
      <c r="D29" s="25" t="s">
        <v>191</v>
      </c>
      <c r="E29" s="29" t="s">
        <v>183</v>
      </c>
      <c r="F29" s="30">
        <v>14.0</v>
      </c>
      <c r="G29" s="30">
        <v>14.0</v>
      </c>
      <c r="H29" s="30">
        <v>61.0</v>
      </c>
      <c r="I29" s="30">
        <f>MAX(1,ROUND(H29^Guida!$B$18*Guida!$F$14,0))</f>
        <v>40</v>
      </c>
      <c r="J29" s="30">
        <f t="shared" si="2"/>
        <v>48</v>
      </c>
      <c r="K29" s="25" t="str">
        <f t="shared" si="3"/>
        <v>1a fascia</v>
      </c>
      <c r="L29" s="25" t="s">
        <v>68</v>
      </c>
      <c r="M29" s="21" t="s">
        <v>70</v>
      </c>
      <c r="N29" s="25" t="s">
        <v>71</v>
      </c>
      <c r="O29" s="25" t="s">
        <v>71</v>
      </c>
      <c r="P29" s="30">
        <v>13.0</v>
      </c>
      <c r="Q29" s="32">
        <v>6.35</v>
      </c>
      <c r="R29" s="32">
        <v>7.23</v>
      </c>
      <c r="S29" s="30">
        <v>4.0</v>
      </c>
      <c r="T29" s="30">
        <v>0.0</v>
      </c>
      <c r="U29" s="25" t="s">
        <v>72</v>
      </c>
      <c r="V29" s="30">
        <v>1.0</v>
      </c>
      <c r="W29" s="30">
        <v>0.0</v>
      </c>
      <c r="X29" s="30">
        <v>2.0</v>
      </c>
      <c r="Y29" s="32">
        <v>6.0</v>
      </c>
      <c r="Z29" s="32">
        <v>6.0</v>
      </c>
      <c r="AA29" s="30">
        <v>0.0</v>
      </c>
      <c r="AB29" s="30">
        <v>0.0</v>
      </c>
      <c r="AC29" s="25" t="s">
        <v>191</v>
      </c>
      <c r="AD29" s="25" t="s">
        <v>73</v>
      </c>
      <c r="AE29" s="32">
        <f t="shared" si="4"/>
        <v>6.4</v>
      </c>
      <c r="AF29" s="29" t="s">
        <v>266</v>
      </c>
      <c r="AG29" s="30">
        <v>3.0</v>
      </c>
      <c r="AH29" s="30">
        <f t="shared" si="5"/>
        <v>22</v>
      </c>
      <c r="AI29" s="29"/>
    </row>
    <row r="30" ht="15.75" customHeight="1">
      <c r="A30" s="11">
        <f t="shared" si="1"/>
        <v>26</v>
      </c>
      <c r="B30" s="16">
        <f>ROUND(Guida!$B$22*H30/Guida!$B$31+Guida!$B$23*MAX(0,MIN(1,(AE30-5.4)/1.6))+Guida!$B$24*0+Guida!$B$25*0,1)</f>
        <v>23.8</v>
      </c>
      <c r="C30" s="17" t="s">
        <v>416</v>
      </c>
      <c r="D30" s="11" t="s">
        <v>212</v>
      </c>
      <c r="E30" s="18" t="s">
        <v>287</v>
      </c>
      <c r="F30" s="19">
        <v>9.0</v>
      </c>
      <c r="G30" s="19">
        <v>10.0</v>
      </c>
      <c r="H30" s="19">
        <v>33.0</v>
      </c>
      <c r="I30" s="19">
        <f>MAX(1,ROUND(H30^Guida!$B$18*Guida!$F$14,0))</f>
        <v>28</v>
      </c>
      <c r="J30" s="19">
        <f t="shared" si="2"/>
        <v>34</v>
      </c>
      <c r="K30" s="11" t="str">
        <f t="shared" si="3"/>
        <v>2a fascia</v>
      </c>
      <c r="L30" s="11" t="s">
        <v>68</v>
      </c>
      <c r="M30" s="21" t="s">
        <v>70</v>
      </c>
      <c r="N30" s="11" t="s">
        <v>71</v>
      </c>
      <c r="O30" s="11" t="s">
        <v>71</v>
      </c>
      <c r="P30" s="19">
        <v>32.0</v>
      </c>
      <c r="Q30" s="22">
        <v>5.98</v>
      </c>
      <c r="R30" s="22">
        <v>6.64</v>
      </c>
      <c r="S30" s="19">
        <v>6.0</v>
      </c>
      <c r="T30" s="19">
        <v>3.0</v>
      </c>
      <c r="U30" s="11" t="s">
        <v>72</v>
      </c>
      <c r="V30" s="19">
        <v>0.0</v>
      </c>
      <c r="W30" s="19">
        <v>0.0</v>
      </c>
      <c r="X30" s="19">
        <v>2.0</v>
      </c>
      <c r="Y30" s="22">
        <v>6.5</v>
      </c>
      <c r="Z30" s="22">
        <v>8.0</v>
      </c>
      <c r="AA30" s="19">
        <v>1.0</v>
      </c>
      <c r="AB30" s="19">
        <v>0.0</v>
      </c>
      <c r="AC30" s="11" t="s">
        <v>212</v>
      </c>
      <c r="AD30" s="11" t="s">
        <v>73</v>
      </c>
      <c r="AE30" s="22">
        <f t="shared" si="4"/>
        <v>6.64</v>
      </c>
      <c r="AF30" s="18" t="s">
        <v>354</v>
      </c>
      <c r="AG30" s="19">
        <v>0.0</v>
      </c>
      <c r="AH30" s="19">
        <f t="shared" si="5"/>
        <v>36</v>
      </c>
      <c r="AI30" s="18"/>
    </row>
    <row r="31" ht="15.75" customHeight="1">
      <c r="A31" s="25">
        <f t="shared" si="1"/>
        <v>28</v>
      </c>
      <c r="B31" s="27">
        <f>ROUND(Guida!$B$22*H31/Guida!$B$31+Guida!$B$23*MAX(0,MIN(1,(AE31-5.4)/1.6))+Guida!$B$24*0+Guida!$B$25*0,1)</f>
        <v>22.9</v>
      </c>
      <c r="C31" s="28" t="s">
        <v>421</v>
      </c>
      <c r="D31" s="25" t="s">
        <v>93</v>
      </c>
      <c r="E31" s="29" t="s">
        <v>287</v>
      </c>
      <c r="F31" s="30">
        <v>23.0</v>
      </c>
      <c r="G31" s="30">
        <v>23.0</v>
      </c>
      <c r="H31" s="30">
        <v>160.0</v>
      </c>
      <c r="I31" s="30">
        <f>MAX(1,ROUND(H31^Guida!$B$18*Guida!$F$14,0))</f>
        <v>72</v>
      </c>
      <c r="J31" s="30">
        <f t="shared" si="2"/>
        <v>86</v>
      </c>
      <c r="K31" s="25" t="str">
        <f t="shared" si="3"/>
        <v>Top</v>
      </c>
      <c r="L31" s="25" t="s">
        <v>68</v>
      </c>
      <c r="M31" s="37" t="s">
        <v>214</v>
      </c>
      <c r="N31" s="25" t="s">
        <v>71</v>
      </c>
      <c r="O31" s="25" t="s">
        <v>71</v>
      </c>
      <c r="P31" s="30"/>
      <c r="Q31" s="32"/>
      <c r="R31" s="32"/>
      <c r="S31" s="30"/>
      <c r="T31" s="30"/>
      <c r="U31" s="25"/>
      <c r="V31" s="30"/>
      <c r="W31" s="30"/>
      <c r="X31" s="30">
        <v>0.0</v>
      </c>
      <c r="Y31" s="32"/>
      <c r="Z31" s="32"/>
      <c r="AA31" s="30"/>
      <c r="AB31" s="30"/>
      <c r="AC31" s="25" t="s">
        <v>71</v>
      </c>
      <c r="AD31" s="25" t="s">
        <v>103</v>
      </c>
      <c r="AE31" s="32">
        <f t="shared" si="4"/>
        <v>5.5</v>
      </c>
      <c r="AF31" s="29" t="s">
        <v>316</v>
      </c>
      <c r="AG31" s="30">
        <v>0.0</v>
      </c>
      <c r="AH31" s="30">
        <f t="shared" si="5"/>
        <v>9</v>
      </c>
      <c r="AI31" s="29"/>
    </row>
    <row r="32" ht="15.75" customHeight="1">
      <c r="A32" s="11">
        <f t="shared" si="1"/>
        <v>29</v>
      </c>
      <c r="B32" s="16">
        <f>ROUND(Guida!$B$22*H32/Guida!$B$31+Guida!$B$23*MAX(0,MIN(1,(AE32-5.4)/1.6))+Guida!$B$24*0+Guida!$B$25*0,1)</f>
        <v>22.5</v>
      </c>
      <c r="C32" s="17" t="s">
        <v>425</v>
      </c>
      <c r="D32" s="11" t="s">
        <v>143</v>
      </c>
      <c r="E32" s="18" t="s">
        <v>287</v>
      </c>
      <c r="F32" s="19">
        <v>13.0</v>
      </c>
      <c r="G32" s="19">
        <v>14.0</v>
      </c>
      <c r="H32" s="19">
        <v>73.0</v>
      </c>
      <c r="I32" s="19">
        <f>MAX(1,ROUND(H32^Guida!$B$18*Guida!$F$14,0))</f>
        <v>45</v>
      </c>
      <c r="J32" s="19">
        <f t="shared" si="2"/>
        <v>54</v>
      </c>
      <c r="K32" s="11" t="str">
        <f t="shared" si="3"/>
        <v>1a fascia</v>
      </c>
      <c r="L32" s="11" t="s">
        <v>332</v>
      </c>
      <c r="M32" s="18" t="s">
        <v>392</v>
      </c>
      <c r="N32" s="11" t="s">
        <v>71</v>
      </c>
      <c r="O32" s="11" t="s">
        <v>71</v>
      </c>
      <c r="P32" s="19">
        <v>13.0</v>
      </c>
      <c r="Q32" s="22">
        <v>6.12</v>
      </c>
      <c r="R32" s="22">
        <v>6.88</v>
      </c>
      <c r="S32" s="19">
        <v>3.0</v>
      </c>
      <c r="T32" s="19">
        <v>1.0</v>
      </c>
      <c r="U32" s="11" t="s">
        <v>72</v>
      </c>
      <c r="V32" s="19">
        <v>0.0</v>
      </c>
      <c r="W32" s="19">
        <v>0.0</v>
      </c>
      <c r="X32" s="19">
        <v>2.0</v>
      </c>
      <c r="Y32" s="22">
        <v>6.25</v>
      </c>
      <c r="Z32" s="22">
        <v>7.75</v>
      </c>
      <c r="AA32" s="19">
        <v>1.0</v>
      </c>
      <c r="AB32" s="19">
        <v>0.0</v>
      </c>
      <c r="AC32" s="11" t="s">
        <v>143</v>
      </c>
      <c r="AD32" s="11" t="s">
        <v>73</v>
      </c>
      <c r="AE32" s="22">
        <f t="shared" si="4"/>
        <v>6.22</v>
      </c>
      <c r="AF32" s="18" t="s">
        <v>368</v>
      </c>
      <c r="AG32" s="19">
        <v>6.0</v>
      </c>
      <c r="AH32" s="19">
        <f t="shared" si="5"/>
        <v>20</v>
      </c>
      <c r="AI32" s="18"/>
    </row>
    <row r="33" ht="15.75" customHeight="1">
      <c r="A33" s="25">
        <f t="shared" si="1"/>
        <v>29</v>
      </c>
      <c r="B33" s="27">
        <f>ROUND(Guida!$B$22*H33/Guida!$B$31+Guida!$B$23*MAX(0,MIN(1,(AE33-5.4)/1.6))+Guida!$B$24*0.35+Guida!$B$25*0.35,1)</f>
        <v>22.5</v>
      </c>
      <c r="C33" s="28" t="s">
        <v>431</v>
      </c>
      <c r="D33" s="25" t="s">
        <v>177</v>
      </c>
      <c r="E33" s="29" t="s">
        <v>287</v>
      </c>
      <c r="F33" s="30">
        <v>8.0</v>
      </c>
      <c r="G33" s="30">
        <v>8.0</v>
      </c>
      <c r="H33" s="30">
        <v>13.0</v>
      </c>
      <c r="I33" s="30">
        <f>MAX(1,ROUND(H33^Guida!$B$18*Guida!$F$14,0))</f>
        <v>16</v>
      </c>
      <c r="J33" s="30">
        <f t="shared" si="2"/>
        <v>19</v>
      </c>
      <c r="K33" s="25" t="str">
        <f t="shared" si="3"/>
        <v>2a fascia</v>
      </c>
      <c r="L33" s="25" t="s">
        <v>226</v>
      </c>
      <c r="M33" s="29" t="s">
        <v>277</v>
      </c>
      <c r="N33" s="25" t="s">
        <v>160</v>
      </c>
      <c r="O33" s="25" t="s">
        <v>160</v>
      </c>
      <c r="P33" s="30">
        <v>31.0</v>
      </c>
      <c r="Q33" s="32">
        <v>5.95</v>
      </c>
      <c r="R33" s="32">
        <v>6.39</v>
      </c>
      <c r="S33" s="30">
        <v>5.0</v>
      </c>
      <c r="T33" s="30">
        <v>1.0</v>
      </c>
      <c r="U33" s="25" t="s">
        <v>72</v>
      </c>
      <c r="V33" s="30">
        <v>5.0</v>
      </c>
      <c r="W33" s="30">
        <v>0.0</v>
      </c>
      <c r="X33" s="30">
        <v>2.0</v>
      </c>
      <c r="Y33" s="32">
        <v>5.5</v>
      </c>
      <c r="Z33" s="32">
        <v>5.5</v>
      </c>
      <c r="AA33" s="30">
        <v>0.0</v>
      </c>
      <c r="AB33" s="30">
        <v>0.0</v>
      </c>
      <c r="AC33" s="25" t="s">
        <v>177</v>
      </c>
      <c r="AD33" s="25" t="s">
        <v>73</v>
      </c>
      <c r="AE33" s="32">
        <f t="shared" si="4"/>
        <v>6.39</v>
      </c>
      <c r="AF33" s="29" t="s">
        <v>354</v>
      </c>
      <c r="AG33" s="30">
        <v>5.0</v>
      </c>
      <c r="AH33" s="30">
        <f t="shared" si="5"/>
        <v>57</v>
      </c>
      <c r="AI33" s="29"/>
    </row>
    <row r="34" ht="15.75" customHeight="1">
      <c r="A34" s="11">
        <f t="shared" si="1"/>
        <v>31</v>
      </c>
      <c r="B34" s="16">
        <f>ROUND(Guida!$B$22*H34/Guida!$B$31+Guida!$B$23*MAX(0,MIN(1,(AE34-5.4)/1.6))+Guida!$B$24*0.6+Guida!$B$25*0.6,1)</f>
        <v>22.4</v>
      </c>
      <c r="C34" s="17" t="s">
        <v>437</v>
      </c>
      <c r="D34" s="11" t="s">
        <v>239</v>
      </c>
      <c r="E34" s="18" t="s">
        <v>134</v>
      </c>
      <c r="F34" s="19">
        <v>5.0</v>
      </c>
      <c r="G34" s="19">
        <v>5.0</v>
      </c>
      <c r="H34" s="19">
        <v>21.0</v>
      </c>
      <c r="I34" s="19">
        <f>MAX(1,ROUND(H34^Guida!$B$18*Guida!$F$14,0))</f>
        <v>21</v>
      </c>
      <c r="J34" s="19">
        <f t="shared" si="2"/>
        <v>25</v>
      </c>
      <c r="K34" s="11" t="str">
        <f t="shared" si="3"/>
        <v>2a fascia</v>
      </c>
      <c r="L34" s="11" t="s">
        <v>226</v>
      </c>
      <c r="M34" s="18" t="s">
        <v>300</v>
      </c>
      <c r="N34" s="11" t="s">
        <v>77</v>
      </c>
      <c r="O34" s="11" t="s">
        <v>77</v>
      </c>
      <c r="P34" s="19">
        <v>18.0</v>
      </c>
      <c r="Q34" s="22">
        <v>5.94</v>
      </c>
      <c r="R34" s="22">
        <v>6.31</v>
      </c>
      <c r="S34" s="19">
        <v>2.0</v>
      </c>
      <c r="T34" s="19">
        <v>1.0</v>
      </c>
      <c r="U34" s="11" t="s">
        <v>72</v>
      </c>
      <c r="V34" s="19">
        <v>1.0</v>
      </c>
      <c r="W34" s="19">
        <v>0.0</v>
      </c>
      <c r="X34" s="19">
        <v>2.0</v>
      </c>
      <c r="Y34" s="22">
        <v>5.75</v>
      </c>
      <c r="Z34" s="22">
        <v>5.75</v>
      </c>
      <c r="AA34" s="19">
        <v>0.0</v>
      </c>
      <c r="AB34" s="19">
        <v>0.0</v>
      </c>
      <c r="AC34" s="11" t="s">
        <v>195</v>
      </c>
      <c r="AD34" s="11" t="s">
        <v>103</v>
      </c>
      <c r="AE34" s="22">
        <f t="shared" si="4"/>
        <v>6.08</v>
      </c>
      <c r="AF34" s="18" t="s">
        <v>439</v>
      </c>
      <c r="AG34" s="19">
        <v>6.0</v>
      </c>
      <c r="AH34" s="19">
        <f t="shared" si="5"/>
        <v>50</v>
      </c>
      <c r="AI34" s="18"/>
    </row>
    <row r="35" ht="15.75" customHeight="1">
      <c r="A35" s="25">
        <f t="shared" si="1"/>
        <v>32</v>
      </c>
      <c r="B35" s="27">
        <f>ROUND(Guida!$B$22*H35/Guida!$B$31+Guida!$B$23*MAX(0,MIN(1,(AE35-5.4)/1.6))+Guida!$B$24*0.35+Guida!$B$25*0,1)</f>
        <v>22.2</v>
      </c>
      <c r="C35" s="28" t="s">
        <v>443</v>
      </c>
      <c r="D35" s="25" t="s">
        <v>182</v>
      </c>
      <c r="E35" s="29" t="s">
        <v>235</v>
      </c>
      <c r="F35" s="30">
        <v>16.0</v>
      </c>
      <c r="G35" s="30">
        <v>15.0</v>
      </c>
      <c r="H35" s="30">
        <v>51.0</v>
      </c>
      <c r="I35" s="30">
        <f>MAX(1,ROUND(H35^Guida!$B$18*Guida!$F$14,0))</f>
        <v>36</v>
      </c>
      <c r="J35" s="30">
        <f t="shared" si="2"/>
        <v>43</v>
      </c>
      <c r="K35" s="25" t="str">
        <f t="shared" si="3"/>
        <v>1a fascia</v>
      </c>
      <c r="L35" s="25" t="s">
        <v>68</v>
      </c>
      <c r="M35" s="21" t="s">
        <v>100</v>
      </c>
      <c r="N35" s="25" t="s">
        <v>160</v>
      </c>
      <c r="O35" s="25" t="s">
        <v>71</v>
      </c>
      <c r="P35" s="30">
        <v>13.0</v>
      </c>
      <c r="Q35" s="32">
        <v>6.0</v>
      </c>
      <c r="R35" s="32">
        <v>6.77</v>
      </c>
      <c r="S35" s="30">
        <v>3.0</v>
      </c>
      <c r="T35" s="30">
        <v>1.0</v>
      </c>
      <c r="U35" s="25" t="s">
        <v>72</v>
      </c>
      <c r="V35" s="30">
        <v>0.0</v>
      </c>
      <c r="W35" s="30">
        <v>0.0</v>
      </c>
      <c r="X35" s="30">
        <v>2.0</v>
      </c>
      <c r="Y35" s="32">
        <v>5.25</v>
      </c>
      <c r="Z35" s="32">
        <v>5.25</v>
      </c>
      <c r="AA35" s="30">
        <v>0.0</v>
      </c>
      <c r="AB35" s="30">
        <v>0.0</v>
      </c>
      <c r="AC35" s="25" t="s">
        <v>60</v>
      </c>
      <c r="AD35" s="25" t="s">
        <v>103</v>
      </c>
      <c r="AE35" s="32">
        <f t="shared" si="4"/>
        <v>6.16</v>
      </c>
      <c r="AF35" s="29" t="s">
        <v>244</v>
      </c>
      <c r="AG35" s="30">
        <v>6.0</v>
      </c>
      <c r="AH35" s="30">
        <f t="shared" si="5"/>
        <v>25</v>
      </c>
      <c r="AI35" s="29"/>
    </row>
    <row r="36" ht="15.75" customHeight="1">
      <c r="A36" s="11">
        <f t="shared" si="1"/>
        <v>33</v>
      </c>
      <c r="B36" s="16">
        <f>ROUND(Guida!$B$22*H36/Guida!$B$31+Guida!$B$23*MAX(0,MIN(1,(AE36-5.4)/1.6))+Guida!$B$24*0+Guida!$B$25*0.35,1)</f>
        <v>19.4</v>
      </c>
      <c r="C36" s="17" t="s">
        <v>446</v>
      </c>
      <c r="D36" s="11" t="s">
        <v>191</v>
      </c>
      <c r="E36" s="18" t="s">
        <v>183</v>
      </c>
      <c r="F36" s="19">
        <v>6.0</v>
      </c>
      <c r="G36" s="19">
        <v>6.0</v>
      </c>
      <c r="H36" s="19">
        <v>20.0</v>
      </c>
      <c r="I36" s="19">
        <f>MAX(1,ROUND(H36^Guida!$B$18*Guida!$F$14,0))</f>
        <v>21</v>
      </c>
      <c r="J36" s="19">
        <f t="shared" si="2"/>
        <v>25</v>
      </c>
      <c r="K36" s="11" t="str">
        <f t="shared" si="3"/>
        <v>2a fascia</v>
      </c>
      <c r="L36" s="11" t="s">
        <v>226</v>
      </c>
      <c r="M36" s="18" t="s">
        <v>281</v>
      </c>
      <c r="N36" s="11" t="s">
        <v>71</v>
      </c>
      <c r="O36" s="11" t="s">
        <v>160</v>
      </c>
      <c r="P36" s="19">
        <v>16.0</v>
      </c>
      <c r="Q36" s="22">
        <v>6.19</v>
      </c>
      <c r="R36" s="22">
        <v>6.84</v>
      </c>
      <c r="S36" s="19">
        <v>3.0</v>
      </c>
      <c r="T36" s="19">
        <v>3.0</v>
      </c>
      <c r="U36" s="11" t="s">
        <v>72</v>
      </c>
      <c r="V36" s="19">
        <v>3.0</v>
      </c>
      <c r="W36" s="19">
        <v>0.0</v>
      </c>
      <c r="X36" s="19">
        <v>0.0</v>
      </c>
      <c r="Y36" s="22"/>
      <c r="Z36" s="22"/>
      <c r="AA36" s="19"/>
      <c r="AB36" s="19"/>
      <c r="AC36" s="11" t="s">
        <v>191</v>
      </c>
      <c r="AD36" s="11" t="s">
        <v>73</v>
      </c>
      <c r="AE36" s="22">
        <f t="shared" si="4"/>
        <v>6.36</v>
      </c>
      <c r="AF36" s="18" t="s">
        <v>266</v>
      </c>
      <c r="AG36" s="19">
        <v>3.0</v>
      </c>
      <c r="AH36" s="19">
        <f t="shared" si="5"/>
        <v>51</v>
      </c>
      <c r="AI36" s="18"/>
    </row>
    <row r="37" ht="15.75" customHeight="1">
      <c r="A37" s="25">
        <f t="shared" si="1"/>
        <v>34</v>
      </c>
      <c r="B37" s="27">
        <f>ROUND(Guida!$B$22*H37/Guida!$B$31+Guida!$B$23*MAX(0,MIN(1,(AE37-5.4)/1.6))+Guida!$B$24*0.6+Guida!$B$25*0,1)</f>
        <v>18.7</v>
      </c>
      <c r="C37" s="28" t="s">
        <v>450</v>
      </c>
      <c r="D37" s="25" t="s">
        <v>232</v>
      </c>
      <c r="E37" s="29" t="s">
        <v>235</v>
      </c>
      <c r="F37" s="30">
        <v>7.0</v>
      </c>
      <c r="G37" s="30">
        <v>6.0</v>
      </c>
      <c r="H37" s="30">
        <v>11.0</v>
      </c>
      <c r="I37" s="30">
        <f>MAX(1,ROUND(H37^Guida!$B$18*Guida!$F$14,0))</f>
        <v>14</v>
      </c>
      <c r="J37" s="30">
        <f t="shared" si="2"/>
        <v>17</v>
      </c>
      <c r="K37" s="25" t="str">
        <f t="shared" si="3"/>
        <v>3a fascia</v>
      </c>
      <c r="L37" s="25" t="s">
        <v>68</v>
      </c>
      <c r="M37" s="21" t="s">
        <v>70</v>
      </c>
      <c r="N37" s="25" t="s">
        <v>77</v>
      </c>
      <c r="O37" s="25" t="s">
        <v>71</v>
      </c>
      <c r="P37" s="30">
        <v>30.0</v>
      </c>
      <c r="Q37" s="32">
        <v>5.73</v>
      </c>
      <c r="R37" s="32">
        <v>6.12</v>
      </c>
      <c r="S37" s="30">
        <v>4.0</v>
      </c>
      <c r="T37" s="30">
        <v>0.0</v>
      </c>
      <c r="U37" s="25" t="s">
        <v>188</v>
      </c>
      <c r="V37" s="30">
        <v>1.0</v>
      </c>
      <c r="W37" s="30">
        <v>0.0</v>
      </c>
      <c r="X37" s="30">
        <v>2.0</v>
      </c>
      <c r="Y37" s="32">
        <v>5.25</v>
      </c>
      <c r="Z37" s="32">
        <v>5.25</v>
      </c>
      <c r="AA37" s="30">
        <v>0.0</v>
      </c>
      <c r="AB37" s="30">
        <v>0.0</v>
      </c>
      <c r="AC37" s="25" t="s">
        <v>232</v>
      </c>
      <c r="AD37" s="25" t="s">
        <v>73</v>
      </c>
      <c r="AE37" s="32">
        <f t="shared" si="4"/>
        <v>6.12</v>
      </c>
      <c r="AF37" s="29" t="s">
        <v>452</v>
      </c>
      <c r="AG37" s="30">
        <v>4.0</v>
      </c>
      <c r="AH37" s="30">
        <f t="shared" si="5"/>
        <v>64</v>
      </c>
      <c r="AI37" s="29"/>
    </row>
    <row r="38" ht="15.75" customHeight="1">
      <c r="A38" s="11">
        <f t="shared" si="1"/>
        <v>35</v>
      </c>
      <c r="B38" s="16">
        <f>ROUND(Guida!$B$22*H38/Guida!$B$31+Guida!$B$23*MAX(0,MIN(1,(AE38-5.4)/1.6))+Guida!$B$24*0+Guida!$B$25*0,1)</f>
        <v>18.6</v>
      </c>
      <c r="C38" s="17" t="s">
        <v>453</v>
      </c>
      <c r="D38" s="11" t="s">
        <v>93</v>
      </c>
      <c r="E38" s="18" t="s">
        <v>183</v>
      </c>
      <c r="F38" s="19">
        <v>6.0</v>
      </c>
      <c r="G38" s="19">
        <v>7.0</v>
      </c>
      <c r="H38" s="19">
        <v>27.0</v>
      </c>
      <c r="I38" s="19">
        <f>MAX(1,ROUND(H38^Guida!$B$18*Guida!$F$14,0))</f>
        <v>25</v>
      </c>
      <c r="J38" s="19">
        <f t="shared" si="2"/>
        <v>30</v>
      </c>
      <c r="K38" s="11" t="str">
        <f t="shared" si="3"/>
        <v>2a fascia</v>
      </c>
      <c r="L38" s="11" t="s">
        <v>332</v>
      </c>
      <c r="M38" s="18" t="s">
        <v>392</v>
      </c>
      <c r="N38" s="11" t="s">
        <v>71</v>
      </c>
      <c r="O38" s="11" t="s">
        <v>71</v>
      </c>
      <c r="P38" s="19">
        <v>13.0</v>
      </c>
      <c r="Q38" s="22">
        <v>6.19</v>
      </c>
      <c r="R38" s="22">
        <v>7.15</v>
      </c>
      <c r="S38" s="19">
        <v>4.0</v>
      </c>
      <c r="T38" s="19">
        <v>1.0</v>
      </c>
      <c r="U38" s="11" t="s">
        <v>72</v>
      </c>
      <c r="V38" s="19">
        <v>1.0</v>
      </c>
      <c r="W38" s="19">
        <v>0.0</v>
      </c>
      <c r="X38" s="19">
        <v>2.0</v>
      </c>
      <c r="Y38" s="22">
        <v>6.0</v>
      </c>
      <c r="Z38" s="22">
        <v>6.0</v>
      </c>
      <c r="AA38" s="19">
        <v>0.0</v>
      </c>
      <c r="AB38" s="19">
        <v>0.0</v>
      </c>
      <c r="AC38" s="11" t="s">
        <v>93</v>
      </c>
      <c r="AD38" s="11" t="s">
        <v>73</v>
      </c>
      <c r="AE38" s="22">
        <f t="shared" si="4"/>
        <v>6.36</v>
      </c>
      <c r="AF38" s="18" t="s">
        <v>316</v>
      </c>
      <c r="AG38" s="19">
        <v>0.0</v>
      </c>
      <c r="AH38" s="19">
        <f t="shared" si="5"/>
        <v>41</v>
      </c>
      <c r="AI38" s="18"/>
    </row>
    <row r="39" ht="15.75" customHeight="1">
      <c r="A39" s="25">
        <f t="shared" si="1"/>
        <v>36</v>
      </c>
      <c r="B39" s="27">
        <f>ROUND(Guida!$B$22*H39/Guida!$B$31+Guida!$B$23*MAX(0,MIN(1,(AE39-5.4)/1.6))+Guida!$B$24*0+Guida!$B$25*0,1)</f>
        <v>17.8</v>
      </c>
      <c r="C39" s="28" t="s">
        <v>460</v>
      </c>
      <c r="D39" s="25" t="s">
        <v>239</v>
      </c>
      <c r="E39" s="29" t="s">
        <v>235</v>
      </c>
      <c r="F39" s="30">
        <v>4.0</v>
      </c>
      <c r="G39" s="30">
        <v>4.0</v>
      </c>
      <c r="H39" s="30">
        <v>9.0</v>
      </c>
      <c r="I39" s="30">
        <f>MAX(1,ROUND(H39^Guida!$B$18*Guida!$F$14,0))</f>
        <v>13</v>
      </c>
      <c r="J39" s="30">
        <f t="shared" si="2"/>
        <v>16</v>
      </c>
      <c r="K39" s="25" t="str">
        <f t="shared" si="3"/>
        <v>3a fascia</v>
      </c>
      <c r="L39" s="25" t="s">
        <v>332</v>
      </c>
      <c r="M39" s="29" t="s">
        <v>408</v>
      </c>
      <c r="N39" s="25" t="s">
        <v>71</v>
      </c>
      <c r="O39" s="25" t="s">
        <v>71</v>
      </c>
      <c r="P39" s="30">
        <v>26.0</v>
      </c>
      <c r="Q39" s="32">
        <v>5.92</v>
      </c>
      <c r="R39" s="32">
        <v>6.46</v>
      </c>
      <c r="S39" s="30">
        <v>5.0</v>
      </c>
      <c r="T39" s="30">
        <v>1.0</v>
      </c>
      <c r="U39" s="25" t="s">
        <v>72</v>
      </c>
      <c r="V39" s="30">
        <v>4.0</v>
      </c>
      <c r="W39" s="30">
        <v>0.0</v>
      </c>
      <c r="X39" s="30">
        <v>1.0</v>
      </c>
      <c r="Y39" s="32">
        <v>6.0</v>
      </c>
      <c r="Z39" s="32">
        <v>6.0</v>
      </c>
      <c r="AA39" s="30">
        <v>0.0</v>
      </c>
      <c r="AB39" s="30">
        <v>0.0</v>
      </c>
      <c r="AC39" s="25" t="s">
        <v>239</v>
      </c>
      <c r="AD39" s="25" t="s">
        <v>73</v>
      </c>
      <c r="AE39" s="32">
        <f t="shared" si="4"/>
        <v>6.46</v>
      </c>
      <c r="AF39" s="29" t="s">
        <v>439</v>
      </c>
      <c r="AG39" s="30">
        <v>6.0</v>
      </c>
      <c r="AH39" s="30">
        <f t="shared" si="5"/>
        <v>71</v>
      </c>
      <c r="AI39" s="29"/>
    </row>
    <row r="40" ht="15.75" customHeight="1">
      <c r="A40" s="11">
        <f t="shared" si="1"/>
        <v>37</v>
      </c>
      <c r="B40" s="16">
        <f>ROUND(Guida!$B$22*H40/Guida!$B$31+Guida!$B$23*MAX(0,MIN(1,(AE40-5.4)/1.6))+Guida!$B$24*0+Guida!$B$25*0,1)</f>
        <v>17.3</v>
      </c>
      <c r="C40" s="17" t="s">
        <v>465</v>
      </c>
      <c r="D40" s="11" t="s">
        <v>191</v>
      </c>
      <c r="E40" s="18" t="s">
        <v>287</v>
      </c>
      <c r="F40" s="19">
        <v>4.0</v>
      </c>
      <c r="G40" s="19">
        <v>4.0</v>
      </c>
      <c r="H40" s="19">
        <v>7.0</v>
      </c>
      <c r="I40" s="19">
        <f>MAX(1,ROUND(H40^Guida!$B$18*Guida!$F$14,0))</f>
        <v>11</v>
      </c>
      <c r="J40" s="19">
        <f t="shared" si="2"/>
        <v>13</v>
      </c>
      <c r="K40" s="11" t="str">
        <f t="shared" si="3"/>
        <v>3a fascia</v>
      </c>
      <c r="L40" s="11" t="s">
        <v>332</v>
      </c>
      <c r="M40" s="18" t="s">
        <v>333</v>
      </c>
      <c r="N40" s="11" t="s">
        <v>71</v>
      </c>
      <c r="O40" s="11" t="s">
        <v>71</v>
      </c>
      <c r="P40" s="19">
        <v>31.0</v>
      </c>
      <c r="Q40" s="22">
        <v>6.0</v>
      </c>
      <c r="R40" s="22">
        <v>6.45</v>
      </c>
      <c r="S40" s="19">
        <v>3.0</v>
      </c>
      <c r="T40" s="19">
        <v>6.0</v>
      </c>
      <c r="U40" s="11" t="s">
        <v>72</v>
      </c>
      <c r="V40" s="19">
        <v>2.0</v>
      </c>
      <c r="W40" s="19">
        <v>0.0</v>
      </c>
      <c r="X40" s="19">
        <v>0.0</v>
      </c>
      <c r="Y40" s="22"/>
      <c r="Z40" s="22"/>
      <c r="AA40" s="19"/>
      <c r="AB40" s="19"/>
      <c r="AC40" s="11" t="s">
        <v>191</v>
      </c>
      <c r="AD40" s="11" t="s">
        <v>73</v>
      </c>
      <c r="AE40" s="22">
        <f t="shared" si="4"/>
        <v>6.45</v>
      </c>
      <c r="AF40" s="18" t="s">
        <v>266</v>
      </c>
      <c r="AG40" s="19">
        <v>3.0</v>
      </c>
      <c r="AH40" s="19">
        <f t="shared" si="5"/>
        <v>77</v>
      </c>
      <c r="AI40" s="18"/>
    </row>
    <row r="41" ht="15.75" customHeight="1">
      <c r="A41" s="25">
        <f t="shared" si="1"/>
        <v>38</v>
      </c>
      <c r="B41" s="27">
        <f>ROUND(Guida!$B$22*H41/Guida!$B$31+Guida!$B$23*MAX(0,MIN(1,(AE41-5.4)/1.6))+Guida!$B$24*0+Guida!$B$25*0,1)</f>
        <v>17.1</v>
      </c>
      <c r="C41" s="28" t="s">
        <v>470</v>
      </c>
      <c r="D41" s="25" t="s">
        <v>253</v>
      </c>
      <c r="E41" s="29" t="s">
        <v>235</v>
      </c>
      <c r="F41" s="30">
        <v>10.0</v>
      </c>
      <c r="G41" s="30">
        <v>9.0</v>
      </c>
      <c r="H41" s="30">
        <v>32.0</v>
      </c>
      <c r="I41" s="30">
        <f>MAX(1,ROUND(H41^Guida!$B$18*Guida!$F$14,0))</f>
        <v>27</v>
      </c>
      <c r="J41" s="30">
        <f t="shared" si="2"/>
        <v>32</v>
      </c>
      <c r="K41" s="25" t="str">
        <f t="shared" si="3"/>
        <v>2a fascia</v>
      </c>
      <c r="L41" s="25" t="s">
        <v>332</v>
      </c>
      <c r="M41" s="29" t="s">
        <v>473</v>
      </c>
      <c r="N41" s="25" t="s">
        <v>71</v>
      </c>
      <c r="O41" s="25" t="s">
        <v>71</v>
      </c>
      <c r="P41" s="30">
        <v>14.0</v>
      </c>
      <c r="Q41" s="32">
        <v>5.96</v>
      </c>
      <c r="R41" s="32">
        <v>6.79</v>
      </c>
      <c r="S41" s="30">
        <v>4.0</v>
      </c>
      <c r="T41" s="30">
        <v>0.0</v>
      </c>
      <c r="U41" s="25" t="s">
        <v>72</v>
      </c>
      <c r="V41" s="30">
        <v>1.0</v>
      </c>
      <c r="W41" s="30">
        <v>0.0</v>
      </c>
      <c r="X41" s="30">
        <v>2.0</v>
      </c>
      <c r="Y41" s="32">
        <v>5.5</v>
      </c>
      <c r="Z41" s="32">
        <v>5.5</v>
      </c>
      <c r="AA41" s="30">
        <v>0.0</v>
      </c>
      <c r="AB41" s="30">
        <v>0.0</v>
      </c>
      <c r="AC41" s="25" t="s">
        <v>361</v>
      </c>
      <c r="AD41" s="25" t="s">
        <v>103</v>
      </c>
      <c r="AE41" s="32">
        <f t="shared" si="4"/>
        <v>6.22</v>
      </c>
      <c r="AF41" s="29" t="s">
        <v>291</v>
      </c>
      <c r="AG41" s="30">
        <v>4.0</v>
      </c>
      <c r="AH41" s="30">
        <f t="shared" si="5"/>
        <v>37</v>
      </c>
      <c r="AI41" s="29"/>
    </row>
    <row r="42" ht="15.75" customHeight="1">
      <c r="A42" s="11">
        <f t="shared" si="1"/>
        <v>39</v>
      </c>
      <c r="B42" s="16">
        <f>ROUND(Guida!$B$22*H42/Guida!$B$31+Guida!$B$23*MAX(0,MIN(1,(AE42-5.4)/1.6))+Guida!$B$24*0+Guida!$B$25*0,1)</f>
        <v>17</v>
      </c>
      <c r="C42" s="17" t="s">
        <v>476</v>
      </c>
      <c r="D42" s="11" t="s">
        <v>133</v>
      </c>
      <c r="E42" s="18" t="s">
        <v>183</v>
      </c>
      <c r="F42" s="19">
        <v>11.0</v>
      </c>
      <c r="G42" s="19">
        <v>12.0</v>
      </c>
      <c r="H42" s="19">
        <v>50.0</v>
      </c>
      <c r="I42" s="19">
        <f>MAX(1,ROUND(H42^Guida!$B$18*Guida!$F$14,0))</f>
        <v>36</v>
      </c>
      <c r="J42" s="19">
        <f t="shared" si="2"/>
        <v>43</v>
      </c>
      <c r="K42" s="11" t="str">
        <f t="shared" si="3"/>
        <v>1a fascia</v>
      </c>
      <c r="L42" s="11" t="s">
        <v>226</v>
      </c>
      <c r="M42" s="18" t="s">
        <v>277</v>
      </c>
      <c r="N42" s="11" t="s">
        <v>71</v>
      </c>
      <c r="O42" s="11" t="s">
        <v>71</v>
      </c>
      <c r="P42" s="19">
        <v>16.0</v>
      </c>
      <c r="Q42" s="22">
        <v>6.0</v>
      </c>
      <c r="R42" s="22">
        <v>6.38</v>
      </c>
      <c r="S42" s="19">
        <v>2.0</v>
      </c>
      <c r="T42" s="19">
        <v>1.0</v>
      </c>
      <c r="U42" s="11" t="s">
        <v>72</v>
      </c>
      <c r="V42" s="19">
        <v>2.0</v>
      </c>
      <c r="W42" s="19">
        <v>0.0</v>
      </c>
      <c r="X42" s="19">
        <v>2.0</v>
      </c>
      <c r="Y42" s="22">
        <v>6.25</v>
      </c>
      <c r="Z42" s="22">
        <v>6.75</v>
      </c>
      <c r="AA42" s="19">
        <v>0.0</v>
      </c>
      <c r="AB42" s="19">
        <v>1.0</v>
      </c>
      <c r="AC42" s="11" t="s">
        <v>133</v>
      </c>
      <c r="AD42" s="11" t="s">
        <v>73</v>
      </c>
      <c r="AE42" s="22">
        <f t="shared" si="4"/>
        <v>6.06</v>
      </c>
      <c r="AF42" s="18" t="s">
        <v>480</v>
      </c>
      <c r="AG42" s="19">
        <v>6.0</v>
      </c>
      <c r="AH42" s="19">
        <f t="shared" si="5"/>
        <v>26</v>
      </c>
      <c r="AI42" s="18"/>
    </row>
    <row r="43" ht="15.75" customHeight="1">
      <c r="A43" s="25">
        <f t="shared" si="1"/>
        <v>39</v>
      </c>
      <c r="B43" s="27">
        <f>ROUND(Guida!$B$22*H43/Guida!$B$31+Guida!$B$23*MAX(0,MIN(1,(AE43-5.4)/1.6))+Guida!$B$24*0+Guida!$B$25*0,1)</f>
        <v>17</v>
      </c>
      <c r="C43" s="28" t="s">
        <v>483</v>
      </c>
      <c r="D43" s="25" t="s">
        <v>182</v>
      </c>
      <c r="E43" s="29" t="s">
        <v>235</v>
      </c>
      <c r="F43" s="30">
        <v>8.0</v>
      </c>
      <c r="G43" s="30">
        <v>8.0</v>
      </c>
      <c r="H43" s="30">
        <v>29.0</v>
      </c>
      <c r="I43" s="30">
        <f>MAX(1,ROUND(H43^Guida!$B$18*Guida!$F$14,0))</f>
        <v>26</v>
      </c>
      <c r="J43" s="30">
        <f t="shared" si="2"/>
        <v>31</v>
      </c>
      <c r="K43" s="25" t="str">
        <f t="shared" si="3"/>
        <v>2a fascia</v>
      </c>
      <c r="L43" s="25" t="s">
        <v>68</v>
      </c>
      <c r="M43" s="21" t="s">
        <v>100</v>
      </c>
      <c r="N43" s="25" t="s">
        <v>71</v>
      </c>
      <c r="O43" s="25" t="s">
        <v>71</v>
      </c>
      <c r="P43" s="30">
        <v>27.0</v>
      </c>
      <c r="Q43" s="32">
        <v>5.78</v>
      </c>
      <c r="R43" s="32">
        <v>6.24</v>
      </c>
      <c r="S43" s="30">
        <v>4.0</v>
      </c>
      <c r="T43" s="30">
        <v>1.0</v>
      </c>
      <c r="U43" s="25" t="s">
        <v>72</v>
      </c>
      <c r="V43" s="30">
        <v>1.0</v>
      </c>
      <c r="W43" s="30">
        <v>0.0</v>
      </c>
      <c r="X43" s="30">
        <v>2.0</v>
      </c>
      <c r="Y43" s="32">
        <v>5.5</v>
      </c>
      <c r="Z43" s="32">
        <v>5.5</v>
      </c>
      <c r="AA43" s="30">
        <v>0.0</v>
      </c>
      <c r="AB43" s="30">
        <v>0.0</v>
      </c>
      <c r="AC43" s="25" t="s">
        <v>208</v>
      </c>
      <c r="AD43" s="25" t="s">
        <v>103</v>
      </c>
      <c r="AE43" s="32">
        <f t="shared" si="4"/>
        <v>6.24</v>
      </c>
      <c r="AF43" s="29" t="s">
        <v>244</v>
      </c>
      <c r="AG43" s="30">
        <v>6.0</v>
      </c>
      <c r="AH43" s="30">
        <f t="shared" si="5"/>
        <v>39</v>
      </c>
      <c r="AI43" s="29"/>
    </row>
    <row r="44" ht="15.75" customHeight="1">
      <c r="A44" s="11">
        <f t="shared" si="1"/>
        <v>39</v>
      </c>
      <c r="B44" s="16">
        <f>ROUND(Guida!$B$22*H44/Guida!$B$31+Guida!$B$23*MAX(0,MIN(1,(AE44-5.4)/1.6))+Guida!$B$24*0+Guida!$B$25*0,1)</f>
        <v>17</v>
      </c>
      <c r="C44" s="17" t="s">
        <v>487</v>
      </c>
      <c r="D44" s="11" t="s">
        <v>195</v>
      </c>
      <c r="E44" s="18" t="s">
        <v>287</v>
      </c>
      <c r="F44" s="19">
        <v>6.0</v>
      </c>
      <c r="G44" s="19">
        <v>6.0</v>
      </c>
      <c r="H44" s="19">
        <v>8.0</v>
      </c>
      <c r="I44" s="19">
        <f>MAX(1,ROUND(H44^Guida!$B$18*Guida!$F$14,0))</f>
        <v>12</v>
      </c>
      <c r="J44" s="19">
        <f t="shared" si="2"/>
        <v>14</v>
      </c>
      <c r="K44" s="11" t="str">
        <f t="shared" si="3"/>
        <v>3a fascia</v>
      </c>
      <c r="L44" s="11" t="s">
        <v>226</v>
      </c>
      <c r="M44" s="18" t="s">
        <v>281</v>
      </c>
      <c r="N44" s="11" t="s">
        <v>71</v>
      </c>
      <c r="O44" s="11" t="s">
        <v>71</v>
      </c>
      <c r="P44" s="19">
        <v>23.0</v>
      </c>
      <c r="Q44" s="22">
        <v>6.02</v>
      </c>
      <c r="R44" s="22">
        <v>6.5</v>
      </c>
      <c r="S44" s="19">
        <v>4.0</v>
      </c>
      <c r="T44" s="19">
        <v>2.0</v>
      </c>
      <c r="U44" s="11" t="s">
        <v>72</v>
      </c>
      <c r="V44" s="19">
        <v>4.0</v>
      </c>
      <c r="W44" s="19">
        <v>1.0</v>
      </c>
      <c r="X44" s="19">
        <v>0.0</v>
      </c>
      <c r="Y44" s="22"/>
      <c r="Z44" s="22"/>
      <c r="AA44" s="19"/>
      <c r="AB44" s="19"/>
      <c r="AC44" s="11" t="s">
        <v>195</v>
      </c>
      <c r="AD44" s="11" t="s">
        <v>73</v>
      </c>
      <c r="AE44" s="22">
        <f t="shared" si="4"/>
        <v>6.42</v>
      </c>
      <c r="AF44" s="18" t="s">
        <v>266</v>
      </c>
      <c r="AG44" s="19">
        <v>0.0</v>
      </c>
      <c r="AH44" s="19">
        <f t="shared" si="5"/>
        <v>73</v>
      </c>
      <c r="AI44" s="18"/>
    </row>
    <row r="45" ht="15.75" customHeight="1">
      <c r="A45" s="25">
        <f t="shared" si="1"/>
        <v>42</v>
      </c>
      <c r="B45" s="27">
        <f>ROUND(Guida!$B$22*H45/Guida!$B$31+Guida!$B$23*MAX(0,MIN(1,(AE45-5.4)/1.6))+Guida!$B$24*1+Guida!$B$25*0,1)</f>
        <v>16.4</v>
      </c>
      <c r="C45" s="28" t="s">
        <v>492</v>
      </c>
      <c r="D45" s="25" t="s">
        <v>239</v>
      </c>
      <c r="E45" s="29" t="s">
        <v>235</v>
      </c>
      <c r="F45" s="30">
        <v>13.0</v>
      </c>
      <c r="G45" s="30">
        <v>12.0</v>
      </c>
      <c r="H45" s="30">
        <v>36.0</v>
      </c>
      <c r="I45" s="30">
        <f>MAX(1,ROUND(H45^Guida!$B$18*Guida!$F$14,0))</f>
        <v>29</v>
      </c>
      <c r="J45" s="30">
        <f t="shared" si="2"/>
        <v>35</v>
      </c>
      <c r="K45" s="25" t="str">
        <f t="shared" si="3"/>
        <v>2a fascia</v>
      </c>
      <c r="L45" s="25" t="s">
        <v>68</v>
      </c>
      <c r="M45" s="29" t="s">
        <v>294</v>
      </c>
      <c r="N45" s="25" t="s">
        <v>84</v>
      </c>
      <c r="O45" s="25" t="s">
        <v>71</v>
      </c>
      <c r="P45" s="30"/>
      <c r="Q45" s="32"/>
      <c r="R45" s="32"/>
      <c r="S45" s="30"/>
      <c r="T45" s="30"/>
      <c r="U45" s="25"/>
      <c r="V45" s="30"/>
      <c r="W45" s="30"/>
      <c r="X45" s="30">
        <v>1.0</v>
      </c>
      <c r="Y45" s="32">
        <v>5.5</v>
      </c>
      <c r="Z45" s="32">
        <v>5.0</v>
      </c>
      <c r="AA45" s="30">
        <v>0.0</v>
      </c>
      <c r="AB45" s="30">
        <v>0.0</v>
      </c>
      <c r="AC45" s="25" t="s">
        <v>71</v>
      </c>
      <c r="AD45" s="25" t="s">
        <v>103</v>
      </c>
      <c r="AE45" s="32">
        <f t="shared" si="4"/>
        <v>5.5</v>
      </c>
      <c r="AF45" s="29" t="s">
        <v>439</v>
      </c>
      <c r="AG45" s="30">
        <v>6.0</v>
      </c>
      <c r="AH45" s="30">
        <f t="shared" si="5"/>
        <v>34</v>
      </c>
      <c r="AI45" s="29"/>
    </row>
    <row r="46" ht="15.75" customHeight="1">
      <c r="A46" s="11">
        <f t="shared" si="1"/>
        <v>43</v>
      </c>
      <c r="B46" s="16">
        <f>ROUND(Guida!$B$22*H46/Guida!$B$31+Guida!$B$23*MAX(0,MIN(1,(AE46-5.4)/1.6))+Guida!$B$24*0+Guida!$B$25*0,1)</f>
        <v>15.1</v>
      </c>
      <c r="C46" s="17" t="s">
        <v>496</v>
      </c>
      <c r="D46" s="11" t="s">
        <v>93</v>
      </c>
      <c r="E46" s="18" t="s">
        <v>287</v>
      </c>
      <c r="F46" s="19">
        <v>3.0</v>
      </c>
      <c r="G46" s="19">
        <v>3.0</v>
      </c>
      <c r="H46" s="19">
        <v>10.0</v>
      </c>
      <c r="I46" s="19">
        <f>MAX(1,ROUND(H46^Guida!$B$18*Guida!$F$14,0))</f>
        <v>14</v>
      </c>
      <c r="J46" s="19">
        <f t="shared" si="2"/>
        <v>17</v>
      </c>
      <c r="K46" s="11" t="str">
        <f t="shared" si="3"/>
        <v>3a fascia</v>
      </c>
      <c r="L46" s="11" t="s">
        <v>332</v>
      </c>
      <c r="M46" s="36" t="s">
        <v>498</v>
      </c>
      <c r="N46" s="11" t="s">
        <v>71</v>
      </c>
      <c r="O46" s="11" t="s">
        <v>71</v>
      </c>
      <c r="P46" s="19">
        <v>25.0</v>
      </c>
      <c r="Q46" s="22">
        <v>5.96</v>
      </c>
      <c r="R46" s="22">
        <v>6.28</v>
      </c>
      <c r="S46" s="19">
        <v>3.0</v>
      </c>
      <c r="T46" s="19">
        <v>0.0</v>
      </c>
      <c r="U46" s="11" t="s">
        <v>72</v>
      </c>
      <c r="V46" s="19">
        <v>3.0</v>
      </c>
      <c r="W46" s="19">
        <v>0.0</v>
      </c>
      <c r="X46" s="19">
        <v>0.0</v>
      </c>
      <c r="Y46" s="22"/>
      <c r="Z46" s="22"/>
      <c r="AA46" s="19"/>
      <c r="AB46" s="19"/>
      <c r="AC46" s="11" t="s">
        <v>177</v>
      </c>
      <c r="AD46" s="11" t="s">
        <v>103</v>
      </c>
      <c r="AE46" s="22">
        <f t="shared" si="4"/>
        <v>6.28</v>
      </c>
      <c r="AF46" s="18" t="s">
        <v>316</v>
      </c>
      <c r="AG46" s="19">
        <v>0.0</v>
      </c>
      <c r="AH46" s="19">
        <f t="shared" si="5"/>
        <v>68</v>
      </c>
      <c r="AI46" s="18" t="s">
        <v>500</v>
      </c>
    </row>
    <row r="47" ht="15.75" customHeight="1">
      <c r="A47" s="25">
        <f t="shared" si="1"/>
        <v>44</v>
      </c>
      <c r="B47" s="27">
        <f>ROUND(Guida!$B$22*H47/Guida!$B$31+Guida!$B$23*MAX(0,MIN(1,(AE47-5.4)/1.6))+Guida!$B$24*0+Guida!$B$25*0,1)</f>
        <v>14.8</v>
      </c>
      <c r="C47" s="28" t="s">
        <v>502</v>
      </c>
      <c r="D47" s="25" t="s">
        <v>239</v>
      </c>
      <c r="E47" s="29" t="s">
        <v>235</v>
      </c>
      <c r="F47" s="30">
        <v>4.0</v>
      </c>
      <c r="G47" s="30">
        <v>4.0</v>
      </c>
      <c r="H47" s="30">
        <v>10.0</v>
      </c>
      <c r="I47" s="30">
        <f>MAX(1,ROUND(H47^Guida!$B$18*Guida!$F$14,0))</f>
        <v>14</v>
      </c>
      <c r="J47" s="30">
        <f t="shared" si="2"/>
        <v>17</v>
      </c>
      <c r="K47" s="25" t="str">
        <f t="shared" si="3"/>
        <v>3a fascia</v>
      </c>
      <c r="L47" s="25" t="s">
        <v>332</v>
      </c>
      <c r="M47" s="29" t="s">
        <v>338</v>
      </c>
      <c r="N47" s="25" t="s">
        <v>71</v>
      </c>
      <c r="O47" s="25" t="s">
        <v>71</v>
      </c>
      <c r="P47" s="30">
        <v>27.0</v>
      </c>
      <c r="Q47" s="32">
        <v>5.96</v>
      </c>
      <c r="R47" s="32">
        <v>6.26</v>
      </c>
      <c r="S47" s="30">
        <v>4.0</v>
      </c>
      <c r="T47" s="30">
        <v>1.0</v>
      </c>
      <c r="U47" s="25" t="s">
        <v>290</v>
      </c>
      <c r="V47" s="30">
        <v>2.0</v>
      </c>
      <c r="W47" s="30">
        <v>1.0</v>
      </c>
      <c r="X47" s="30">
        <v>0.0</v>
      </c>
      <c r="Y47" s="32"/>
      <c r="Z47" s="32"/>
      <c r="AA47" s="30"/>
      <c r="AB47" s="30"/>
      <c r="AC47" s="25" t="s">
        <v>253</v>
      </c>
      <c r="AD47" s="25" t="s">
        <v>103</v>
      </c>
      <c r="AE47" s="32">
        <f t="shared" si="4"/>
        <v>6.26</v>
      </c>
      <c r="AF47" s="29" t="s">
        <v>439</v>
      </c>
      <c r="AG47" s="30">
        <v>6.0</v>
      </c>
      <c r="AH47" s="30">
        <f t="shared" si="5"/>
        <v>68</v>
      </c>
      <c r="AI47" s="29"/>
    </row>
    <row r="48" ht="15.75" customHeight="1">
      <c r="A48" s="11">
        <f t="shared" si="1"/>
        <v>45</v>
      </c>
      <c r="B48" s="16">
        <f>ROUND(Guida!$B$22*H48/Guida!$B$31+Guida!$B$23*MAX(0,MIN(1,(AE48-5.4)/1.6))+Guida!$B$24*1+Guida!$B$25*0,1)</f>
        <v>14.6</v>
      </c>
      <c r="C48" s="17" t="s">
        <v>505</v>
      </c>
      <c r="D48" s="11" t="s">
        <v>232</v>
      </c>
      <c r="E48" s="18" t="s">
        <v>235</v>
      </c>
      <c r="F48" s="19">
        <v>9.0</v>
      </c>
      <c r="G48" s="19">
        <v>8.0</v>
      </c>
      <c r="H48" s="19">
        <v>23.0</v>
      </c>
      <c r="I48" s="19">
        <f>MAX(1,ROUND(H48^Guida!$B$18*Guida!$F$14,0))</f>
        <v>22</v>
      </c>
      <c r="J48" s="19">
        <f t="shared" si="2"/>
        <v>26</v>
      </c>
      <c r="K48" s="11" t="str">
        <f t="shared" si="3"/>
        <v>2a fascia</v>
      </c>
      <c r="L48" s="11" t="s">
        <v>68</v>
      </c>
      <c r="M48" s="36" t="s">
        <v>507</v>
      </c>
      <c r="N48" s="11" t="s">
        <v>84</v>
      </c>
      <c r="O48" s="11" t="s">
        <v>71</v>
      </c>
      <c r="P48" s="19"/>
      <c r="Q48" s="22"/>
      <c r="R48" s="22"/>
      <c r="S48" s="19"/>
      <c r="T48" s="19"/>
      <c r="U48" s="11"/>
      <c r="V48" s="19"/>
      <c r="W48" s="19"/>
      <c r="X48" s="19">
        <v>2.0</v>
      </c>
      <c r="Y48" s="22">
        <v>5.25</v>
      </c>
      <c r="Z48" s="22">
        <v>5.25</v>
      </c>
      <c r="AA48" s="19">
        <v>0.0</v>
      </c>
      <c r="AB48" s="19">
        <v>0.0</v>
      </c>
      <c r="AC48" s="11" t="s">
        <v>71</v>
      </c>
      <c r="AD48" s="11" t="s">
        <v>103</v>
      </c>
      <c r="AE48" s="22">
        <f t="shared" si="4"/>
        <v>5.5</v>
      </c>
      <c r="AF48" s="18" t="s">
        <v>452</v>
      </c>
      <c r="AG48" s="19">
        <v>4.0</v>
      </c>
      <c r="AH48" s="19">
        <f t="shared" si="5"/>
        <v>46</v>
      </c>
      <c r="AI48" s="18" t="s">
        <v>509</v>
      </c>
    </row>
    <row r="49" ht="15.75" customHeight="1">
      <c r="A49" s="25">
        <f t="shared" si="1"/>
        <v>46</v>
      </c>
      <c r="B49" s="27">
        <f>ROUND(Guida!$B$22*H49/Guida!$B$31+Guida!$B$23*MAX(0,MIN(1,(AE49-5.4)/1.6))+Guida!$B$24*0.6+Guida!$B$25*0,1)</f>
        <v>14.4</v>
      </c>
      <c r="C49" s="28" t="s">
        <v>510</v>
      </c>
      <c r="D49" s="25" t="s">
        <v>272</v>
      </c>
      <c r="E49" s="29" t="s">
        <v>235</v>
      </c>
      <c r="F49" s="30">
        <v>9.0</v>
      </c>
      <c r="G49" s="30">
        <v>9.0</v>
      </c>
      <c r="H49" s="30">
        <v>23.0</v>
      </c>
      <c r="I49" s="30">
        <f>MAX(1,ROUND(H49^Guida!$B$18*Guida!$F$14,0))</f>
        <v>22</v>
      </c>
      <c r="J49" s="30">
        <f t="shared" si="2"/>
        <v>26</v>
      </c>
      <c r="K49" s="25" t="str">
        <f t="shared" si="3"/>
        <v>2a fascia</v>
      </c>
      <c r="L49" s="25" t="s">
        <v>68</v>
      </c>
      <c r="M49" s="21" t="s">
        <v>100</v>
      </c>
      <c r="N49" s="25" t="s">
        <v>77</v>
      </c>
      <c r="O49" s="25" t="s">
        <v>71</v>
      </c>
      <c r="P49" s="30">
        <v>14.0</v>
      </c>
      <c r="Q49" s="32">
        <v>5.71</v>
      </c>
      <c r="R49" s="32">
        <v>5.93</v>
      </c>
      <c r="S49" s="30">
        <v>1.0</v>
      </c>
      <c r="T49" s="30">
        <v>0.0</v>
      </c>
      <c r="U49" s="25" t="s">
        <v>72</v>
      </c>
      <c r="V49" s="30">
        <v>0.0</v>
      </c>
      <c r="W49" s="30">
        <v>0.0</v>
      </c>
      <c r="X49" s="30">
        <v>2.0</v>
      </c>
      <c r="Y49" s="32">
        <v>6.0</v>
      </c>
      <c r="Z49" s="32">
        <v>6.0</v>
      </c>
      <c r="AA49" s="30">
        <v>0.0</v>
      </c>
      <c r="AB49" s="30">
        <v>0.0</v>
      </c>
      <c r="AC49" s="25" t="s">
        <v>283</v>
      </c>
      <c r="AD49" s="25" t="s">
        <v>103</v>
      </c>
      <c r="AE49" s="32">
        <f t="shared" si="4"/>
        <v>5.74</v>
      </c>
      <c r="AF49" s="29" t="s">
        <v>512</v>
      </c>
      <c r="AG49" s="30">
        <v>6.0</v>
      </c>
      <c r="AH49" s="30">
        <f t="shared" si="5"/>
        <v>46</v>
      </c>
      <c r="AI49" s="29"/>
    </row>
    <row r="50" ht="15.75" customHeight="1">
      <c r="A50" s="11">
        <f t="shared" si="1"/>
        <v>47</v>
      </c>
      <c r="B50" s="16">
        <f>ROUND(Guida!$B$22*H50/Guida!$B$31+Guida!$B$23*MAX(0,MIN(1,(AE50-5.4)/1.6))+Guida!$B$24*0.6+Guida!$B$25*0,1)</f>
        <v>12.5</v>
      </c>
      <c r="C50" s="17" t="s">
        <v>514</v>
      </c>
      <c r="D50" s="11" t="s">
        <v>283</v>
      </c>
      <c r="E50" s="18" t="s">
        <v>235</v>
      </c>
      <c r="F50" s="19">
        <v>11.0</v>
      </c>
      <c r="G50" s="19">
        <v>10.0</v>
      </c>
      <c r="H50" s="19">
        <v>37.0</v>
      </c>
      <c r="I50" s="19">
        <f>MAX(1,ROUND(H50^Guida!$B$18*Guida!$F$14,0))</f>
        <v>30</v>
      </c>
      <c r="J50" s="19">
        <f t="shared" si="2"/>
        <v>36</v>
      </c>
      <c r="K50" s="11" t="str">
        <f t="shared" si="3"/>
        <v>1a fascia</v>
      </c>
      <c r="L50" s="11" t="s">
        <v>68</v>
      </c>
      <c r="M50" s="21" t="s">
        <v>100</v>
      </c>
      <c r="N50" s="11" t="s">
        <v>77</v>
      </c>
      <c r="O50" s="11" t="s">
        <v>71</v>
      </c>
      <c r="P50" s="19"/>
      <c r="Q50" s="22"/>
      <c r="R50" s="22"/>
      <c r="S50" s="19"/>
      <c r="T50" s="19"/>
      <c r="U50" s="11"/>
      <c r="V50" s="19"/>
      <c r="W50" s="19"/>
      <c r="X50" s="19">
        <v>2.0</v>
      </c>
      <c r="Y50" s="22">
        <v>5.5</v>
      </c>
      <c r="Z50" s="22">
        <v>5.5</v>
      </c>
      <c r="AA50" s="19">
        <v>0.0</v>
      </c>
      <c r="AB50" s="19">
        <v>0.0</v>
      </c>
      <c r="AC50" s="11" t="s">
        <v>143</v>
      </c>
      <c r="AD50" s="11" t="s">
        <v>103</v>
      </c>
      <c r="AE50" s="22">
        <f t="shared" si="4"/>
        <v>5.5</v>
      </c>
      <c r="AF50" s="18" t="s">
        <v>516</v>
      </c>
      <c r="AG50" s="19">
        <v>4.0</v>
      </c>
      <c r="AH50" s="19">
        <f t="shared" si="5"/>
        <v>32</v>
      </c>
      <c r="AI50" s="18"/>
    </row>
    <row r="51" ht="15.75" customHeight="1">
      <c r="A51" s="25">
        <f t="shared" si="1"/>
        <v>48</v>
      </c>
      <c r="B51" s="27">
        <f>ROUND(Guida!$B$22*H51/Guida!$B$31+Guida!$B$23*MAX(0,MIN(1,(AE51-5.4)/1.6))+Guida!$B$24*0+Guida!$B$25*0,1)</f>
        <v>12.3</v>
      </c>
      <c r="C51" s="28" t="s">
        <v>519</v>
      </c>
      <c r="D51" s="25" t="s">
        <v>143</v>
      </c>
      <c r="E51" s="29" t="s">
        <v>287</v>
      </c>
      <c r="F51" s="30">
        <v>6.0</v>
      </c>
      <c r="G51" s="30">
        <v>6.0</v>
      </c>
      <c r="H51" s="30">
        <v>8.0</v>
      </c>
      <c r="I51" s="30">
        <f>MAX(1,ROUND(H51^Guida!$B$18*Guida!$F$14,0))</f>
        <v>12</v>
      </c>
      <c r="J51" s="30">
        <f t="shared" si="2"/>
        <v>14</v>
      </c>
      <c r="K51" s="25" t="str">
        <f t="shared" si="3"/>
        <v>3a fascia</v>
      </c>
      <c r="L51" s="25" t="s">
        <v>332</v>
      </c>
      <c r="M51" s="36" t="s">
        <v>457</v>
      </c>
      <c r="N51" s="25" t="s">
        <v>71</v>
      </c>
      <c r="O51" s="25" t="s">
        <v>71</v>
      </c>
      <c r="P51" s="30">
        <v>21.0</v>
      </c>
      <c r="Q51" s="32">
        <v>6.0</v>
      </c>
      <c r="R51" s="32">
        <v>6.24</v>
      </c>
      <c r="S51" s="30">
        <v>2.0</v>
      </c>
      <c r="T51" s="30">
        <v>1.0</v>
      </c>
      <c r="U51" s="25" t="s">
        <v>72</v>
      </c>
      <c r="V51" s="30">
        <v>4.0</v>
      </c>
      <c r="W51" s="30">
        <v>0.0</v>
      </c>
      <c r="X51" s="30">
        <v>0.0</v>
      </c>
      <c r="Y51" s="32"/>
      <c r="Z51" s="32"/>
      <c r="AA51" s="30"/>
      <c r="AB51" s="30"/>
      <c r="AC51" s="25" t="s">
        <v>143</v>
      </c>
      <c r="AD51" s="25" t="s">
        <v>73</v>
      </c>
      <c r="AE51" s="32">
        <f t="shared" si="4"/>
        <v>6.12</v>
      </c>
      <c r="AF51" s="29" t="s">
        <v>521</v>
      </c>
      <c r="AG51" s="30">
        <v>5.0</v>
      </c>
      <c r="AH51" s="30">
        <f t="shared" si="5"/>
        <v>73</v>
      </c>
      <c r="AI51" s="29" t="s">
        <v>522</v>
      </c>
    </row>
    <row r="52" ht="15.75" customHeight="1">
      <c r="A52" s="11">
        <f t="shared" si="1"/>
        <v>49</v>
      </c>
      <c r="B52" s="16">
        <f>ROUND(Guida!$B$22*H52/Guida!$B$31+Guida!$B$23*MAX(0,MIN(1,(AE52-5.4)/1.6))+Guida!$B$24*0.6+Guida!$B$25*0,1)</f>
        <v>12.2</v>
      </c>
      <c r="C52" s="17" t="s">
        <v>524</v>
      </c>
      <c r="D52" s="11" t="s">
        <v>264</v>
      </c>
      <c r="E52" s="18" t="s">
        <v>235</v>
      </c>
      <c r="F52" s="19">
        <v>12.0</v>
      </c>
      <c r="G52" s="19">
        <v>11.0</v>
      </c>
      <c r="H52" s="19">
        <v>35.0</v>
      </c>
      <c r="I52" s="19">
        <f>MAX(1,ROUND(H52^Guida!$B$18*Guida!$F$14,0))</f>
        <v>29</v>
      </c>
      <c r="J52" s="19">
        <f t="shared" si="2"/>
        <v>35</v>
      </c>
      <c r="K52" s="11" t="str">
        <f t="shared" si="3"/>
        <v>2a fascia</v>
      </c>
      <c r="L52" s="11" t="s">
        <v>68</v>
      </c>
      <c r="M52" s="21" t="s">
        <v>100</v>
      </c>
      <c r="N52" s="11" t="s">
        <v>77</v>
      </c>
      <c r="O52" s="11" t="s">
        <v>71</v>
      </c>
      <c r="P52" s="19"/>
      <c r="Q52" s="22"/>
      <c r="R52" s="22"/>
      <c r="S52" s="19"/>
      <c r="T52" s="19"/>
      <c r="U52" s="11"/>
      <c r="V52" s="19"/>
      <c r="W52" s="19"/>
      <c r="X52" s="19">
        <v>2.0</v>
      </c>
      <c r="Y52" s="22">
        <v>5.5</v>
      </c>
      <c r="Z52" s="22">
        <v>5.5</v>
      </c>
      <c r="AA52" s="19">
        <v>0.0</v>
      </c>
      <c r="AB52" s="19">
        <v>0.0</v>
      </c>
      <c r="AC52" s="11" t="s">
        <v>71</v>
      </c>
      <c r="AD52" s="11" t="s">
        <v>103</v>
      </c>
      <c r="AE52" s="22">
        <f t="shared" si="4"/>
        <v>5.5</v>
      </c>
      <c r="AF52" s="18" t="s">
        <v>368</v>
      </c>
      <c r="AG52" s="19">
        <v>6.0</v>
      </c>
      <c r="AH52" s="19">
        <f t="shared" si="5"/>
        <v>35</v>
      </c>
      <c r="AI52" s="18"/>
    </row>
    <row r="53" ht="15.75" customHeight="1">
      <c r="A53" s="25">
        <f t="shared" si="1"/>
        <v>49</v>
      </c>
      <c r="B53" s="27">
        <f>ROUND(Guida!$B$22*H53/Guida!$B$31+Guida!$B$23*MAX(0,MIN(1,(AE53-5.4)/1.6))+Guida!$B$24*0+Guida!$B$25*0,1)</f>
        <v>12.2</v>
      </c>
      <c r="C53" s="28" t="s">
        <v>527</v>
      </c>
      <c r="D53" s="25" t="s">
        <v>212</v>
      </c>
      <c r="E53" s="29" t="s">
        <v>235</v>
      </c>
      <c r="F53" s="30">
        <v>7.0</v>
      </c>
      <c r="G53" s="30">
        <v>6.0</v>
      </c>
      <c r="H53" s="30">
        <v>12.0</v>
      </c>
      <c r="I53" s="30">
        <f>MAX(1,ROUND(H53^Guida!$B$18*Guida!$F$14,0))</f>
        <v>15</v>
      </c>
      <c r="J53" s="30">
        <f t="shared" si="2"/>
        <v>18</v>
      </c>
      <c r="K53" s="25" t="str">
        <f t="shared" si="3"/>
        <v>2a fascia</v>
      </c>
      <c r="L53" s="25" t="s">
        <v>226</v>
      </c>
      <c r="M53" s="29" t="s">
        <v>281</v>
      </c>
      <c r="N53" s="25" t="s">
        <v>71</v>
      </c>
      <c r="O53" s="25" t="s">
        <v>71</v>
      </c>
      <c r="P53" s="30">
        <v>23.0</v>
      </c>
      <c r="Q53" s="32">
        <v>5.83</v>
      </c>
      <c r="R53" s="32">
        <v>6.13</v>
      </c>
      <c r="S53" s="30">
        <v>3.0</v>
      </c>
      <c r="T53" s="30">
        <v>1.0</v>
      </c>
      <c r="U53" s="25" t="s">
        <v>202</v>
      </c>
      <c r="V53" s="30">
        <v>0.0</v>
      </c>
      <c r="W53" s="30">
        <v>0.0</v>
      </c>
      <c r="X53" s="30">
        <v>0.0</v>
      </c>
      <c r="Y53" s="32"/>
      <c r="Z53" s="32"/>
      <c r="AA53" s="30"/>
      <c r="AB53" s="30"/>
      <c r="AC53" s="25" t="s">
        <v>212</v>
      </c>
      <c r="AD53" s="25" t="s">
        <v>73</v>
      </c>
      <c r="AE53" s="32">
        <f t="shared" si="4"/>
        <v>6.08</v>
      </c>
      <c r="AF53" s="29" t="s">
        <v>529</v>
      </c>
      <c r="AG53" s="30">
        <v>0.0</v>
      </c>
      <c r="AH53" s="30">
        <f t="shared" si="5"/>
        <v>60</v>
      </c>
      <c r="AI53" s="29"/>
    </row>
    <row r="54" ht="15.75" customHeight="1">
      <c r="A54" s="11">
        <f t="shared" si="1"/>
        <v>51</v>
      </c>
      <c r="B54" s="16">
        <f>ROUND(Guida!$B$22*H54/Guida!$B$31+Guida!$B$23*MAX(0,MIN(1,(AE54-5.4)/1.6))+Guida!$B$24*0+Guida!$B$25*0,1)</f>
        <v>10.6</v>
      </c>
      <c r="C54" s="17" t="s">
        <v>531</v>
      </c>
      <c r="D54" s="11" t="s">
        <v>191</v>
      </c>
      <c r="E54" s="18" t="s">
        <v>287</v>
      </c>
      <c r="F54" s="19">
        <v>3.0</v>
      </c>
      <c r="G54" s="19">
        <v>4.0</v>
      </c>
      <c r="H54" s="19">
        <v>14.0</v>
      </c>
      <c r="I54" s="19">
        <f>MAX(1,ROUND(H54^Guida!$B$18*Guida!$F$14,0))</f>
        <v>17</v>
      </c>
      <c r="J54" s="19">
        <f t="shared" si="2"/>
        <v>20</v>
      </c>
      <c r="K54" s="11" t="str">
        <f t="shared" si="3"/>
        <v>2a fascia</v>
      </c>
      <c r="L54" s="11" t="s">
        <v>332</v>
      </c>
      <c r="M54" s="18" t="s">
        <v>392</v>
      </c>
      <c r="N54" s="11" t="s">
        <v>71</v>
      </c>
      <c r="O54" s="11" t="s">
        <v>71</v>
      </c>
      <c r="P54" s="19">
        <v>14.0</v>
      </c>
      <c r="Q54" s="22">
        <v>6.04</v>
      </c>
      <c r="R54" s="22">
        <v>6.32</v>
      </c>
      <c r="S54" s="19">
        <v>1.0</v>
      </c>
      <c r="T54" s="19">
        <v>2.0</v>
      </c>
      <c r="U54" s="11" t="s">
        <v>72</v>
      </c>
      <c r="V54" s="19">
        <v>2.0</v>
      </c>
      <c r="W54" s="19">
        <v>0.0</v>
      </c>
      <c r="X54" s="19">
        <v>2.0</v>
      </c>
      <c r="Y54" s="22">
        <v>5.75</v>
      </c>
      <c r="Z54" s="22">
        <v>5.75</v>
      </c>
      <c r="AA54" s="19">
        <v>0.0</v>
      </c>
      <c r="AB54" s="19">
        <v>0.0</v>
      </c>
      <c r="AC54" s="11" t="s">
        <v>191</v>
      </c>
      <c r="AD54" s="11" t="s">
        <v>73</v>
      </c>
      <c r="AE54" s="22">
        <f t="shared" si="4"/>
        <v>5.96</v>
      </c>
      <c r="AF54" s="18" t="s">
        <v>533</v>
      </c>
      <c r="AG54" s="19">
        <v>3.0</v>
      </c>
      <c r="AH54" s="19">
        <f t="shared" si="5"/>
        <v>55</v>
      </c>
      <c r="AI54" s="18"/>
    </row>
    <row r="55" ht="15.75" customHeight="1">
      <c r="A55" s="25">
        <f t="shared" si="1"/>
        <v>52</v>
      </c>
      <c r="B55" s="27">
        <f>ROUND(Guida!$B$22*H55/Guida!$B$31+Guida!$B$23*MAX(0,MIN(1,(AE55-5.4)/1.6))+Guida!$B$24*0.35+Guida!$B$25*0,1)</f>
        <v>10.4</v>
      </c>
      <c r="C55" s="28" t="s">
        <v>535</v>
      </c>
      <c r="D55" s="25" t="s">
        <v>272</v>
      </c>
      <c r="E55" s="29" t="s">
        <v>235</v>
      </c>
      <c r="F55" s="30">
        <v>3.0</v>
      </c>
      <c r="G55" s="30">
        <v>7.0</v>
      </c>
      <c r="H55" s="30">
        <v>40.0</v>
      </c>
      <c r="I55" s="30">
        <f>MAX(1,ROUND(H55^Guida!$B$18*Guida!$F$14,0))</f>
        <v>31</v>
      </c>
      <c r="J55" s="30">
        <f t="shared" si="2"/>
        <v>37</v>
      </c>
      <c r="K55" s="25" t="str">
        <f t="shared" si="3"/>
        <v>1a fascia</v>
      </c>
      <c r="L55" s="25" t="s">
        <v>68</v>
      </c>
      <c r="M55" s="36" t="s">
        <v>507</v>
      </c>
      <c r="N55" s="25" t="s">
        <v>160</v>
      </c>
      <c r="O55" s="25" t="s">
        <v>71</v>
      </c>
      <c r="P55" s="30"/>
      <c r="Q55" s="32"/>
      <c r="R55" s="32"/>
      <c r="S55" s="30"/>
      <c r="T55" s="30"/>
      <c r="U55" s="25"/>
      <c r="V55" s="30"/>
      <c r="W55" s="30"/>
      <c r="X55" s="30">
        <v>2.0</v>
      </c>
      <c r="Y55" s="32">
        <v>7.0</v>
      </c>
      <c r="Z55" s="32">
        <v>10.0</v>
      </c>
      <c r="AA55" s="30">
        <v>2.0</v>
      </c>
      <c r="AB55" s="30">
        <v>0.0</v>
      </c>
      <c r="AC55" s="25" t="s">
        <v>71</v>
      </c>
      <c r="AD55" s="25" t="s">
        <v>103</v>
      </c>
      <c r="AE55" s="32">
        <f t="shared" si="4"/>
        <v>5.5</v>
      </c>
      <c r="AF55" s="29" t="s">
        <v>512</v>
      </c>
      <c r="AG55" s="30">
        <v>6.0</v>
      </c>
      <c r="AH55" s="30">
        <f t="shared" si="5"/>
        <v>29</v>
      </c>
      <c r="AI55" s="29" t="s">
        <v>538</v>
      </c>
    </row>
    <row r="56" ht="15.75" customHeight="1">
      <c r="A56" s="11">
        <f t="shared" si="1"/>
        <v>53</v>
      </c>
      <c r="B56" s="16">
        <f>ROUND(Guida!$B$22*H56/Guida!$B$31+Guida!$B$23*MAX(0,MIN(1,(AE56-5.4)/1.6))+Guida!$B$24*0.6+Guida!$B$25*0,1)</f>
        <v>10</v>
      </c>
      <c r="C56" s="17" t="s">
        <v>539</v>
      </c>
      <c r="D56" s="11" t="s">
        <v>212</v>
      </c>
      <c r="E56" s="18" t="s">
        <v>235</v>
      </c>
      <c r="F56" s="19">
        <v>4.0</v>
      </c>
      <c r="G56" s="19">
        <v>4.0</v>
      </c>
      <c r="H56" s="19">
        <v>9.0</v>
      </c>
      <c r="I56" s="19">
        <f>MAX(1,ROUND(H56^Guida!$B$18*Guida!$F$14,0))</f>
        <v>13</v>
      </c>
      <c r="J56" s="19">
        <f t="shared" si="2"/>
        <v>16</v>
      </c>
      <c r="K56" s="11" t="str">
        <f t="shared" si="3"/>
        <v>3a fascia</v>
      </c>
      <c r="L56" s="11" t="s">
        <v>332</v>
      </c>
      <c r="M56" s="18" t="s">
        <v>408</v>
      </c>
      <c r="N56" s="11" t="s">
        <v>77</v>
      </c>
      <c r="O56" s="11" t="s">
        <v>71</v>
      </c>
      <c r="P56" s="19">
        <v>7.0</v>
      </c>
      <c r="Q56" s="22">
        <v>5.71</v>
      </c>
      <c r="R56" s="22">
        <v>5.79</v>
      </c>
      <c r="S56" s="19">
        <v>0.0</v>
      </c>
      <c r="T56" s="19">
        <v>1.0</v>
      </c>
      <c r="U56" s="11" t="s">
        <v>72</v>
      </c>
      <c r="V56" s="19">
        <v>2.0</v>
      </c>
      <c r="W56" s="19">
        <v>0.0</v>
      </c>
      <c r="X56" s="19">
        <v>1.0</v>
      </c>
      <c r="Y56" s="22">
        <v>5.5</v>
      </c>
      <c r="Z56" s="22">
        <v>5.5</v>
      </c>
      <c r="AA56" s="19">
        <v>0.0</v>
      </c>
      <c r="AB56" s="19">
        <v>0.0</v>
      </c>
      <c r="AC56" s="11" t="s">
        <v>212</v>
      </c>
      <c r="AD56" s="11" t="s">
        <v>73</v>
      </c>
      <c r="AE56" s="22">
        <f t="shared" si="4"/>
        <v>5.58</v>
      </c>
      <c r="AF56" s="18" t="s">
        <v>529</v>
      </c>
      <c r="AG56" s="19">
        <v>0.0</v>
      </c>
      <c r="AH56" s="19">
        <f t="shared" si="5"/>
        <v>71</v>
      </c>
      <c r="AI56" s="18"/>
    </row>
    <row r="57" ht="15.75" customHeight="1">
      <c r="A57" s="25">
        <f t="shared" si="1"/>
        <v>54</v>
      </c>
      <c r="B57" s="27">
        <f>ROUND(Guida!$B$22*H57/Guida!$B$31+Guida!$B$23*MAX(0,MIN(1,(AE57-5.4)/1.6))+Guida!$B$24*0+Guida!$B$25*0,1)</f>
        <v>9.9</v>
      </c>
      <c r="C57" s="28" t="s">
        <v>543</v>
      </c>
      <c r="D57" s="25" t="s">
        <v>283</v>
      </c>
      <c r="E57" s="29" t="s">
        <v>235</v>
      </c>
      <c r="F57" s="30">
        <v>3.0</v>
      </c>
      <c r="G57" s="30">
        <v>3.0</v>
      </c>
      <c r="H57" s="30">
        <v>11.0</v>
      </c>
      <c r="I57" s="30">
        <f>MAX(1,ROUND(H57^Guida!$B$18*Guida!$F$14,0))</f>
        <v>14</v>
      </c>
      <c r="J57" s="30">
        <f t="shared" si="2"/>
        <v>17</v>
      </c>
      <c r="K57" s="25" t="str">
        <f t="shared" si="3"/>
        <v>3a fascia</v>
      </c>
      <c r="L57" s="25" t="s">
        <v>332</v>
      </c>
      <c r="M57" s="29" t="s">
        <v>408</v>
      </c>
      <c r="N57" s="25" t="s">
        <v>71</v>
      </c>
      <c r="O57" s="25" t="s">
        <v>71</v>
      </c>
      <c r="P57" s="30">
        <v>8.0</v>
      </c>
      <c r="Q57" s="32">
        <v>6.0</v>
      </c>
      <c r="R57" s="32">
        <v>6.88</v>
      </c>
      <c r="S57" s="30">
        <v>2.0</v>
      </c>
      <c r="T57" s="30">
        <v>1.0</v>
      </c>
      <c r="U57" s="25" t="s">
        <v>72</v>
      </c>
      <c r="V57" s="30">
        <v>0.0</v>
      </c>
      <c r="W57" s="30">
        <v>0.0</v>
      </c>
      <c r="X57" s="30">
        <v>1.0</v>
      </c>
      <c r="Y57" s="32">
        <v>5.5</v>
      </c>
      <c r="Z57" s="32">
        <v>5.5</v>
      </c>
      <c r="AA57" s="30">
        <v>0.0</v>
      </c>
      <c r="AB57" s="30">
        <v>0.0</v>
      </c>
      <c r="AC57" s="25" t="s">
        <v>283</v>
      </c>
      <c r="AD57" s="25" t="s">
        <v>73</v>
      </c>
      <c r="AE57" s="32">
        <f t="shared" si="4"/>
        <v>5.94</v>
      </c>
      <c r="AF57" s="29" t="s">
        <v>516</v>
      </c>
      <c r="AG57" s="30">
        <v>4.0</v>
      </c>
      <c r="AH57" s="30">
        <f t="shared" si="5"/>
        <v>64</v>
      </c>
      <c r="AI57" s="29"/>
    </row>
    <row r="58" ht="15.75" customHeight="1">
      <c r="A58" s="11">
        <f t="shared" si="1"/>
        <v>55</v>
      </c>
      <c r="B58" s="16">
        <f>ROUND(Guida!$B$22*H58/Guida!$B$31+Guida!$B$23*MAX(0,MIN(1,(AE58-5.4)/1.6))+Guida!$B$24*0+Guida!$B$25*0,1)</f>
        <v>9.4</v>
      </c>
      <c r="C58" s="17" t="s">
        <v>547</v>
      </c>
      <c r="D58" s="11" t="s">
        <v>232</v>
      </c>
      <c r="E58" s="18" t="s">
        <v>183</v>
      </c>
      <c r="F58" s="19">
        <v>3.0</v>
      </c>
      <c r="G58" s="19">
        <v>4.0</v>
      </c>
      <c r="H58" s="19">
        <v>12.0</v>
      </c>
      <c r="I58" s="19">
        <f>MAX(1,ROUND(H58^Guida!$B$18*Guida!$F$14,0))</f>
        <v>15</v>
      </c>
      <c r="J58" s="19">
        <f t="shared" si="2"/>
        <v>18</v>
      </c>
      <c r="K58" s="11" t="str">
        <f t="shared" si="3"/>
        <v>2a fascia</v>
      </c>
      <c r="L58" s="11" t="s">
        <v>332</v>
      </c>
      <c r="M58" s="18" t="s">
        <v>392</v>
      </c>
      <c r="N58" s="11" t="s">
        <v>71</v>
      </c>
      <c r="O58" s="11" t="s">
        <v>71</v>
      </c>
      <c r="P58" s="19">
        <v>17.0</v>
      </c>
      <c r="Q58" s="22">
        <v>5.82</v>
      </c>
      <c r="R58" s="22">
        <v>6.09</v>
      </c>
      <c r="S58" s="19">
        <v>2.0</v>
      </c>
      <c r="T58" s="19">
        <v>0.0</v>
      </c>
      <c r="U58" s="11" t="s">
        <v>72</v>
      </c>
      <c r="V58" s="19">
        <v>3.0</v>
      </c>
      <c r="W58" s="19">
        <v>0.0</v>
      </c>
      <c r="X58" s="19">
        <v>2.0</v>
      </c>
      <c r="Y58" s="22">
        <v>5.75</v>
      </c>
      <c r="Z58" s="22">
        <v>5.75</v>
      </c>
      <c r="AA58" s="19">
        <v>0.0</v>
      </c>
      <c r="AB58" s="19">
        <v>0.0</v>
      </c>
      <c r="AC58" s="11" t="s">
        <v>232</v>
      </c>
      <c r="AD58" s="11" t="s">
        <v>73</v>
      </c>
      <c r="AE58" s="22">
        <f t="shared" si="4"/>
        <v>5.9</v>
      </c>
      <c r="AF58" s="18" t="s">
        <v>452</v>
      </c>
      <c r="AG58" s="19">
        <v>4.0</v>
      </c>
      <c r="AH58" s="19">
        <f t="shared" si="5"/>
        <v>60</v>
      </c>
      <c r="AI58" s="18"/>
    </row>
    <row r="59" ht="15.75" customHeight="1">
      <c r="A59" s="25">
        <f t="shared" si="1"/>
        <v>56</v>
      </c>
      <c r="B59" s="27">
        <f>ROUND(Guida!$B$22*H59/Guida!$B$31+Guida!$B$23*MAX(0,MIN(1,(AE59-5.4)/1.6))+Guida!$B$24*0.35+Guida!$B$25*0,1)</f>
        <v>9.2</v>
      </c>
      <c r="C59" s="28" t="s">
        <v>550</v>
      </c>
      <c r="D59" s="25" t="s">
        <v>261</v>
      </c>
      <c r="E59" s="29" t="s">
        <v>235</v>
      </c>
      <c r="F59" s="30">
        <v>9.0</v>
      </c>
      <c r="G59" s="30">
        <v>9.0</v>
      </c>
      <c r="H59" s="30">
        <v>31.0</v>
      </c>
      <c r="I59" s="30">
        <f>MAX(1,ROUND(H59^Guida!$B$18*Guida!$F$14,0))</f>
        <v>27</v>
      </c>
      <c r="J59" s="30">
        <f t="shared" si="2"/>
        <v>32</v>
      </c>
      <c r="K59" s="25" t="str">
        <f t="shared" si="3"/>
        <v>2a fascia</v>
      </c>
      <c r="L59" s="25" t="s">
        <v>68</v>
      </c>
      <c r="M59" s="37" t="s">
        <v>214</v>
      </c>
      <c r="N59" s="25" t="s">
        <v>160</v>
      </c>
      <c r="O59" s="25" t="s">
        <v>71</v>
      </c>
      <c r="P59" s="30"/>
      <c r="Q59" s="32"/>
      <c r="R59" s="32"/>
      <c r="S59" s="30"/>
      <c r="T59" s="30"/>
      <c r="U59" s="25"/>
      <c r="V59" s="30"/>
      <c r="W59" s="30"/>
      <c r="X59" s="30">
        <v>0.0</v>
      </c>
      <c r="Y59" s="32"/>
      <c r="Z59" s="32"/>
      <c r="AA59" s="30"/>
      <c r="AB59" s="30"/>
      <c r="AC59" s="25" t="s">
        <v>71</v>
      </c>
      <c r="AD59" s="25" t="s">
        <v>103</v>
      </c>
      <c r="AE59" s="32">
        <f t="shared" si="4"/>
        <v>5.5</v>
      </c>
      <c r="AF59" s="29" t="s">
        <v>553</v>
      </c>
      <c r="AG59" s="30">
        <v>5.0</v>
      </c>
      <c r="AH59" s="30">
        <f t="shared" si="5"/>
        <v>38</v>
      </c>
      <c r="AI59" s="29"/>
    </row>
    <row r="60" ht="15.75" customHeight="1">
      <c r="A60" s="11">
        <f t="shared" si="1"/>
        <v>57</v>
      </c>
      <c r="B60" s="16">
        <f>ROUND(Guida!$B$22*H60/Guida!$B$31+Guida!$B$23*MAX(0,MIN(1,(AE60-5.4)/1.6))+Guida!$B$24*0+Guida!$B$25*0,1)</f>
        <v>8.8</v>
      </c>
      <c r="C60" s="17" t="s">
        <v>558</v>
      </c>
      <c r="D60" s="11" t="s">
        <v>239</v>
      </c>
      <c r="E60" s="18" t="s">
        <v>235</v>
      </c>
      <c r="F60" s="19">
        <v>4.0</v>
      </c>
      <c r="G60" s="19">
        <v>4.0</v>
      </c>
      <c r="H60" s="19">
        <v>12.0</v>
      </c>
      <c r="I60" s="19">
        <f>MAX(1,ROUND(H60^Guida!$B$18*Guida!$F$14,0))</f>
        <v>15</v>
      </c>
      <c r="J60" s="19">
        <f t="shared" si="2"/>
        <v>18</v>
      </c>
      <c r="K60" s="11" t="str">
        <f t="shared" si="3"/>
        <v>2a fascia</v>
      </c>
      <c r="L60" s="11" t="s">
        <v>332</v>
      </c>
      <c r="M60" s="18" t="s">
        <v>392</v>
      </c>
      <c r="N60" s="11" t="s">
        <v>71</v>
      </c>
      <c r="O60" s="11" t="s">
        <v>71</v>
      </c>
      <c r="P60" s="19">
        <v>8.0</v>
      </c>
      <c r="Q60" s="22">
        <v>5.94</v>
      </c>
      <c r="R60" s="22">
        <v>6.62</v>
      </c>
      <c r="S60" s="19">
        <v>2.0</v>
      </c>
      <c r="T60" s="19">
        <v>0.0</v>
      </c>
      <c r="U60" s="11" t="s">
        <v>72</v>
      </c>
      <c r="V60" s="19">
        <v>1.0</v>
      </c>
      <c r="W60" s="19">
        <v>0.0</v>
      </c>
      <c r="X60" s="19">
        <v>2.0</v>
      </c>
      <c r="Y60" s="22">
        <v>5.75</v>
      </c>
      <c r="Z60" s="22">
        <v>5.75</v>
      </c>
      <c r="AA60" s="19">
        <v>0.0</v>
      </c>
      <c r="AB60" s="19">
        <v>0.0</v>
      </c>
      <c r="AC60" s="11" t="s">
        <v>239</v>
      </c>
      <c r="AD60" s="11" t="s">
        <v>73</v>
      </c>
      <c r="AE60" s="22">
        <f t="shared" si="4"/>
        <v>5.86</v>
      </c>
      <c r="AF60" s="18" t="s">
        <v>553</v>
      </c>
      <c r="AG60" s="19">
        <v>6.0</v>
      </c>
      <c r="AH60" s="19">
        <f t="shared" si="5"/>
        <v>60</v>
      </c>
      <c r="AI60" s="18"/>
    </row>
    <row r="61" ht="15.75" customHeight="1">
      <c r="A61" s="25">
        <f t="shared" si="1"/>
        <v>58</v>
      </c>
      <c r="B61" s="27">
        <f>ROUND(Guida!$B$22*H61/Guida!$B$31+Guida!$B$23*MAX(0,MIN(1,(AE61-5.4)/1.6))+Guida!$B$24*0+Guida!$B$25*0,1)</f>
        <v>8.6</v>
      </c>
      <c r="C61" s="28" t="s">
        <v>561</v>
      </c>
      <c r="D61" s="25" t="s">
        <v>272</v>
      </c>
      <c r="E61" s="29" t="s">
        <v>287</v>
      </c>
      <c r="F61" s="30">
        <v>5.0</v>
      </c>
      <c r="G61" s="30">
        <v>5.0</v>
      </c>
      <c r="H61" s="30">
        <v>13.0</v>
      </c>
      <c r="I61" s="30">
        <f>MAX(1,ROUND(H61^Guida!$B$18*Guida!$F$14,0))</f>
        <v>16</v>
      </c>
      <c r="J61" s="30">
        <f t="shared" si="2"/>
        <v>19</v>
      </c>
      <c r="K61" s="25" t="str">
        <f t="shared" si="3"/>
        <v>2a fascia</v>
      </c>
      <c r="L61" s="25" t="s">
        <v>332</v>
      </c>
      <c r="M61" s="29" t="s">
        <v>338</v>
      </c>
      <c r="N61" s="25" t="s">
        <v>71</v>
      </c>
      <c r="O61" s="25" t="s">
        <v>71</v>
      </c>
      <c r="P61" s="30">
        <v>17.0</v>
      </c>
      <c r="Q61" s="32">
        <v>5.82</v>
      </c>
      <c r="R61" s="32">
        <v>6.0</v>
      </c>
      <c r="S61" s="30">
        <v>1.0</v>
      </c>
      <c r="T61" s="30">
        <v>1.0</v>
      </c>
      <c r="U61" s="25" t="s">
        <v>72</v>
      </c>
      <c r="V61" s="30">
        <v>2.0</v>
      </c>
      <c r="W61" s="30">
        <v>0.0</v>
      </c>
      <c r="X61" s="30">
        <v>0.0</v>
      </c>
      <c r="Y61" s="32"/>
      <c r="Z61" s="32"/>
      <c r="AA61" s="30"/>
      <c r="AB61" s="30"/>
      <c r="AC61" s="25" t="s">
        <v>212</v>
      </c>
      <c r="AD61" s="25" t="s">
        <v>103</v>
      </c>
      <c r="AE61" s="32">
        <f t="shared" si="4"/>
        <v>5.84</v>
      </c>
      <c r="AF61" s="29" t="s">
        <v>512</v>
      </c>
      <c r="AG61" s="30">
        <v>6.0</v>
      </c>
      <c r="AH61" s="30">
        <f t="shared" si="5"/>
        <v>57</v>
      </c>
      <c r="AI61" s="29"/>
    </row>
    <row r="62" ht="15.75" customHeight="1">
      <c r="A62" s="11">
        <f t="shared" si="1"/>
        <v>59</v>
      </c>
      <c r="B62" s="16">
        <f>ROUND(Guida!$B$22*H62/Guida!$B$31+Guida!$B$23*MAX(0,MIN(1,(AE62-5.4)/1.6))+Guida!$B$24*0+Guida!$B$25*0,1)</f>
        <v>8.2</v>
      </c>
      <c r="C62" s="17" t="s">
        <v>564</v>
      </c>
      <c r="D62" s="11" t="s">
        <v>208</v>
      </c>
      <c r="E62" s="18" t="s">
        <v>235</v>
      </c>
      <c r="F62" s="19">
        <v>14.0</v>
      </c>
      <c r="G62" s="19">
        <v>14.0</v>
      </c>
      <c r="H62" s="19">
        <v>50.0</v>
      </c>
      <c r="I62" s="19">
        <f>MAX(1,ROUND(H62^Guida!$B$18*Guida!$F$14,0))</f>
        <v>36</v>
      </c>
      <c r="J62" s="19">
        <f t="shared" si="2"/>
        <v>43</v>
      </c>
      <c r="K62" s="11" t="str">
        <f t="shared" si="3"/>
        <v>1a fascia</v>
      </c>
      <c r="L62" s="11" t="s">
        <v>68</v>
      </c>
      <c r="M62" s="37" t="s">
        <v>214</v>
      </c>
      <c r="N62" s="11" t="s">
        <v>71</v>
      </c>
      <c r="O62" s="11" t="s">
        <v>71</v>
      </c>
      <c r="P62" s="19"/>
      <c r="Q62" s="22"/>
      <c r="R62" s="22"/>
      <c r="S62" s="19"/>
      <c r="T62" s="19"/>
      <c r="U62" s="11"/>
      <c r="V62" s="19"/>
      <c r="W62" s="19"/>
      <c r="X62" s="19">
        <v>0.0</v>
      </c>
      <c r="Y62" s="22"/>
      <c r="Z62" s="22"/>
      <c r="AA62" s="19"/>
      <c r="AB62" s="19"/>
      <c r="AC62" s="11" t="s">
        <v>71</v>
      </c>
      <c r="AD62" s="11" t="s">
        <v>103</v>
      </c>
      <c r="AE62" s="22">
        <f t="shared" si="4"/>
        <v>5.5</v>
      </c>
      <c r="AF62" s="18" t="s">
        <v>340</v>
      </c>
      <c r="AG62" s="19">
        <v>6.0</v>
      </c>
      <c r="AH62" s="19">
        <f t="shared" si="5"/>
        <v>26</v>
      </c>
      <c r="AI62" s="18"/>
    </row>
    <row r="63" ht="15.75" customHeight="1">
      <c r="A63" s="25">
        <f t="shared" si="1"/>
        <v>59</v>
      </c>
      <c r="B63" s="27">
        <f>ROUND(Guida!$B$22*H63/Guida!$B$31+Guida!$B$23*MAX(0,MIN(1,(AE63-5.4)/1.6))+Guida!$B$24*0+Guida!$B$25*0.6,1)</f>
        <v>8.2</v>
      </c>
      <c r="C63" s="28" t="s">
        <v>569</v>
      </c>
      <c r="D63" s="25" t="s">
        <v>264</v>
      </c>
      <c r="E63" s="29" t="s">
        <v>287</v>
      </c>
      <c r="F63" s="30">
        <v>8.0</v>
      </c>
      <c r="G63" s="30">
        <v>9.0</v>
      </c>
      <c r="H63" s="30">
        <v>27.0</v>
      </c>
      <c r="I63" s="30">
        <f>MAX(1,ROUND(H63^Guida!$B$18*Guida!$F$14,0))</f>
        <v>25</v>
      </c>
      <c r="J63" s="30">
        <f t="shared" si="2"/>
        <v>30</v>
      </c>
      <c r="K63" s="25" t="str">
        <f t="shared" si="3"/>
        <v>2a fascia</v>
      </c>
      <c r="L63" s="25" t="s">
        <v>68</v>
      </c>
      <c r="M63" s="21" t="s">
        <v>100</v>
      </c>
      <c r="N63" s="25" t="s">
        <v>71</v>
      </c>
      <c r="O63" s="25" t="s">
        <v>77</v>
      </c>
      <c r="P63" s="30"/>
      <c r="Q63" s="32"/>
      <c r="R63" s="32"/>
      <c r="S63" s="30"/>
      <c r="T63" s="30"/>
      <c r="U63" s="25"/>
      <c r="V63" s="30"/>
      <c r="W63" s="30"/>
      <c r="X63" s="30">
        <v>2.0</v>
      </c>
      <c r="Y63" s="32">
        <v>6.25</v>
      </c>
      <c r="Z63" s="32">
        <v>6.25</v>
      </c>
      <c r="AA63" s="30">
        <v>0.0</v>
      </c>
      <c r="AB63" s="30">
        <v>0.0</v>
      </c>
      <c r="AC63" s="25" t="s">
        <v>71</v>
      </c>
      <c r="AD63" s="25" t="s">
        <v>103</v>
      </c>
      <c r="AE63" s="32">
        <f t="shared" si="4"/>
        <v>5.5</v>
      </c>
      <c r="AF63" s="29" t="s">
        <v>368</v>
      </c>
      <c r="AG63" s="30">
        <v>6.0</v>
      </c>
      <c r="AH63" s="30">
        <f t="shared" si="5"/>
        <v>41</v>
      </c>
      <c r="AI63" s="29"/>
    </row>
    <row r="64" ht="15.75" customHeight="1">
      <c r="A64" s="11">
        <f t="shared" si="1"/>
        <v>61</v>
      </c>
      <c r="B64" s="16">
        <f>ROUND(Guida!$B$22*H64/Guida!$B$31+Guida!$B$23*MAX(0,MIN(1,(AE64-5.4)/1.6))+Guida!$B$24*0+Guida!$B$25*0,1)</f>
        <v>6.5</v>
      </c>
      <c r="C64" s="17" t="s">
        <v>572</v>
      </c>
      <c r="D64" s="11" t="s">
        <v>283</v>
      </c>
      <c r="E64" s="18" t="s">
        <v>235</v>
      </c>
      <c r="F64" s="19">
        <v>10.0</v>
      </c>
      <c r="G64" s="19">
        <v>10.0</v>
      </c>
      <c r="H64" s="19">
        <v>37.0</v>
      </c>
      <c r="I64" s="19">
        <f>MAX(1,ROUND(H64^Guida!$B$18*Guida!$F$14,0))</f>
        <v>30</v>
      </c>
      <c r="J64" s="19">
        <f t="shared" si="2"/>
        <v>36</v>
      </c>
      <c r="K64" s="11" t="str">
        <f t="shared" si="3"/>
        <v>1a fascia</v>
      </c>
      <c r="L64" s="11" t="s">
        <v>68</v>
      </c>
      <c r="M64" s="18" t="s">
        <v>294</v>
      </c>
      <c r="N64" s="11" t="s">
        <v>71</v>
      </c>
      <c r="O64" s="11" t="s">
        <v>71</v>
      </c>
      <c r="P64" s="19"/>
      <c r="Q64" s="22"/>
      <c r="R64" s="22"/>
      <c r="S64" s="19"/>
      <c r="T64" s="19"/>
      <c r="U64" s="11"/>
      <c r="V64" s="19"/>
      <c r="W64" s="19"/>
      <c r="X64" s="19">
        <v>1.0</v>
      </c>
      <c r="Y64" s="22">
        <v>6.5</v>
      </c>
      <c r="Z64" s="22">
        <v>6.5</v>
      </c>
      <c r="AA64" s="19">
        <v>0.0</v>
      </c>
      <c r="AB64" s="19">
        <v>0.0</v>
      </c>
      <c r="AC64" s="11" t="s">
        <v>71</v>
      </c>
      <c r="AD64" s="11" t="s">
        <v>103</v>
      </c>
      <c r="AE64" s="22">
        <f t="shared" si="4"/>
        <v>5.5</v>
      </c>
      <c r="AF64" s="18" t="s">
        <v>512</v>
      </c>
      <c r="AG64" s="19">
        <v>4.0</v>
      </c>
      <c r="AH64" s="19">
        <f t="shared" si="5"/>
        <v>32</v>
      </c>
      <c r="AI64" s="18"/>
    </row>
    <row r="65" ht="15.75" customHeight="1">
      <c r="A65" s="25">
        <f t="shared" si="1"/>
        <v>62</v>
      </c>
      <c r="B65" s="27">
        <f>ROUND(Guida!$B$22*H65/Guida!$B$31+Guida!$B$23*MAX(0,MIN(1,(AE65-5.4)/1.6))+Guida!$B$24*0+Guida!$B$25*0.35,1)</f>
        <v>6.4</v>
      </c>
      <c r="C65" s="28" t="s">
        <v>582</v>
      </c>
      <c r="D65" s="25" t="s">
        <v>261</v>
      </c>
      <c r="E65" s="29" t="s">
        <v>183</v>
      </c>
      <c r="F65" s="30">
        <v>9.0</v>
      </c>
      <c r="G65" s="30">
        <v>8.0</v>
      </c>
      <c r="H65" s="30">
        <v>23.0</v>
      </c>
      <c r="I65" s="30">
        <f>MAX(1,ROUND(H65^Guida!$B$18*Guida!$F$14,0))</f>
        <v>22</v>
      </c>
      <c r="J65" s="30">
        <f t="shared" si="2"/>
        <v>26</v>
      </c>
      <c r="K65" s="25" t="str">
        <f t="shared" si="3"/>
        <v>2a fascia</v>
      </c>
      <c r="L65" s="25" t="s">
        <v>226</v>
      </c>
      <c r="M65" s="29" t="s">
        <v>227</v>
      </c>
      <c r="N65" s="25" t="s">
        <v>71</v>
      </c>
      <c r="O65" s="25" t="s">
        <v>160</v>
      </c>
      <c r="P65" s="30"/>
      <c r="Q65" s="32"/>
      <c r="R65" s="32"/>
      <c r="S65" s="30"/>
      <c r="T65" s="30"/>
      <c r="U65" s="25"/>
      <c r="V65" s="30"/>
      <c r="W65" s="30"/>
      <c r="X65" s="30">
        <v>0.0</v>
      </c>
      <c r="Y65" s="32"/>
      <c r="Z65" s="32"/>
      <c r="AA65" s="30"/>
      <c r="AB65" s="30"/>
      <c r="AC65" s="25" t="s">
        <v>71</v>
      </c>
      <c r="AD65" s="25" t="s">
        <v>103</v>
      </c>
      <c r="AE65" s="32">
        <f t="shared" si="4"/>
        <v>5.5</v>
      </c>
      <c r="AF65" s="29" t="s">
        <v>585</v>
      </c>
      <c r="AG65" s="30">
        <v>5.0</v>
      </c>
      <c r="AH65" s="30">
        <f t="shared" si="5"/>
        <v>46</v>
      </c>
      <c r="AI65" s="29"/>
    </row>
    <row r="66" ht="15.75" customHeight="1">
      <c r="A66" s="11">
        <f t="shared" si="1"/>
        <v>63</v>
      </c>
      <c r="B66" s="16">
        <f>ROUND(Guida!$B$22*H66/Guida!$B$31+Guida!$B$23*MAX(0,MIN(1,(AE66-5.4)/1.6))+Guida!$B$24*0.35+Guida!$B$25*0,1)</f>
        <v>6.1</v>
      </c>
      <c r="C66" s="17" t="s">
        <v>588</v>
      </c>
      <c r="D66" s="11" t="s">
        <v>264</v>
      </c>
      <c r="E66" s="18" t="s">
        <v>235</v>
      </c>
      <c r="F66" s="19">
        <v>5.0</v>
      </c>
      <c r="G66" s="19">
        <v>4.0</v>
      </c>
      <c r="H66" s="19">
        <v>8.0</v>
      </c>
      <c r="I66" s="19">
        <f>MAX(1,ROUND(H66^Guida!$B$18*Guida!$F$14,0))</f>
        <v>12</v>
      </c>
      <c r="J66" s="19">
        <f t="shared" si="2"/>
        <v>14</v>
      </c>
      <c r="K66" s="11" t="str">
        <f t="shared" si="3"/>
        <v>3a fascia</v>
      </c>
      <c r="L66" s="11" t="s">
        <v>332</v>
      </c>
      <c r="M66" s="36" t="s">
        <v>498</v>
      </c>
      <c r="N66" s="11" t="s">
        <v>160</v>
      </c>
      <c r="O66" s="11" t="s">
        <v>71</v>
      </c>
      <c r="P66" s="19"/>
      <c r="Q66" s="22"/>
      <c r="R66" s="22"/>
      <c r="S66" s="19"/>
      <c r="T66" s="19"/>
      <c r="U66" s="11"/>
      <c r="V66" s="19"/>
      <c r="W66" s="19"/>
      <c r="X66" s="19">
        <v>0.0</v>
      </c>
      <c r="Y66" s="22"/>
      <c r="Z66" s="22"/>
      <c r="AA66" s="19"/>
      <c r="AB66" s="19"/>
      <c r="AC66" s="11" t="s">
        <v>71</v>
      </c>
      <c r="AD66" s="11" t="s">
        <v>103</v>
      </c>
      <c r="AE66" s="22">
        <f t="shared" si="4"/>
        <v>5.5</v>
      </c>
      <c r="AF66" s="18" t="s">
        <v>368</v>
      </c>
      <c r="AG66" s="19">
        <v>6.0</v>
      </c>
      <c r="AH66" s="19">
        <f t="shared" si="5"/>
        <v>73</v>
      </c>
      <c r="AI66" s="18" t="s">
        <v>592</v>
      </c>
    </row>
    <row r="67" ht="15.75" customHeight="1">
      <c r="A67" s="25">
        <f t="shared" si="1"/>
        <v>64</v>
      </c>
      <c r="B67" s="27">
        <f>ROUND(Guida!$B$22*H67/Guida!$B$31+Guida!$B$23*MAX(0,MIN(1,(AE67-5.4)/1.6))+Guida!$B$24*0+Guida!$B$25*0,1)</f>
        <v>6</v>
      </c>
      <c r="C67" s="28" t="s">
        <v>594</v>
      </c>
      <c r="D67" s="25" t="s">
        <v>191</v>
      </c>
      <c r="E67" s="29" t="s">
        <v>235</v>
      </c>
      <c r="F67" s="30">
        <v>3.0</v>
      </c>
      <c r="G67" s="30">
        <v>4.0</v>
      </c>
      <c r="H67" s="30">
        <v>12.0</v>
      </c>
      <c r="I67" s="30">
        <f>MAX(1,ROUND(H67^Guida!$B$18*Guida!$F$14,0))</f>
        <v>15</v>
      </c>
      <c r="J67" s="30">
        <f t="shared" si="2"/>
        <v>18</v>
      </c>
      <c r="K67" s="25" t="str">
        <f t="shared" si="3"/>
        <v>2a fascia</v>
      </c>
      <c r="L67" s="25" t="s">
        <v>332</v>
      </c>
      <c r="M67" s="29" t="s">
        <v>408</v>
      </c>
      <c r="N67" s="25" t="s">
        <v>71</v>
      </c>
      <c r="O67" s="25" t="s">
        <v>71</v>
      </c>
      <c r="P67" s="30">
        <v>9.0</v>
      </c>
      <c r="Q67" s="32">
        <v>5.72</v>
      </c>
      <c r="R67" s="32">
        <v>6.0</v>
      </c>
      <c r="S67" s="30">
        <v>1.0</v>
      </c>
      <c r="T67" s="30">
        <v>0.0</v>
      </c>
      <c r="U67" s="25" t="s">
        <v>72</v>
      </c>
      <c r="V67" s="30">
        <v>1.0</v>
      </c>
      <c r="W67" s="30">
        <v>0.0</v>
      </c>
      <c r="X67" s="30">
        <v>1.0</v>
      </c>
      <c r="Y67" s="32">
        <v>6.5</v>
      </c>
      <c r="Z67" s="32">
        <v>6.5</v>
      </c>
      <c r="AA67" s="30">
        <v>0.0</v>
      </c>
      <c r="AB67" s="30">
        <v>0.0</v>
      </c>
      <c r="AC67" s="25" t="s">
        <v>191</v>
      </c>
      <c r="AD67" s="25" t="s">
        <v>73</v>
      </c>
      <c r="AE67" s="32">
        <f t="shared" si="4"/>
        <v>5.68</v>
      </c>
      <c r="AF67" s="29" t="s">
        <v>607</v>
      </c>
      <c r="AG67" s="30">
        <v>6.0</v>
      </c>
      <c r="AH67" s="30">
        <f t="shared" si="5"/>
        <v>60</v>
      </c>
      <c r="AI67" s="29"/>
    </row>
    <row r="68" ht="15.75" customHeight="1">
      <c r="A68" s="11">
        <f t="shared" si="1"/>
        <v>65</v>
      </c>
      <c r="B68" s="16">
        <f>ROUND(Guida!$B$22*H68/Guida!$B$31+Guida!$B$23*MAX(0,MIN(1,(AE68-5.4)/1.6))+Guida!$B$24*0+Guida!$B$25*0,1)</f>
        <v>5.9</v>
      </c>
      <c r="C68" s="17" t="s">
        <v>610</v>
      </c>
      <c r="D68" s="11" t="s">
        <v>185</v>
      </c>
      <c r="E68" s="18" t="s">
        <v>235</v>
      </c>
      <c r="F68" s="19">
        <v>4.0</v>
      </c>
      <c r="G68" s="19">
        <v>4.0</v>
      </c>
      <c r="H68" s="19">
        <v>7.0</v>
      </c>
      <c r="I68" s="19">
        <f>MAX(1,ROUND(H68^Guida!$B$18*Guida!$F$14,0))</f>
        <v>11</v>
      </c>
      <c r="J68" s="19">
        <f t="shared" si="2"/>
        <v>13</v>
      </c>
      <c r="K68" s="11" t="str">
        <f t="shared" si="3"/>
        <v>3a fascia</v>
      </c>
      <c r="L68" s="11" t="s">
        <v>68</v>
      </c>
      <c r="M68" s="21" t="s">
        <v>70</v>
      </c>
      <c r="N68" s="11" t="s">
        <v>71</v>
      </c>
      <c r="O68" s="11" t="s">
        <v>71</v>
      </c>
      <c r="P68" s="19">
        <v>13.0</v>
      </c>
      <c r="Q68" s="22">
        <v>5.77</v>
      </c>
      <c r="R68" s="22">
        <v>5.92</v>
      </c>
      <c r="S68" s="19">
        <v>1.0</v>
      </c>
      <c r="T68" s="19">
        <v>0.0</v>
      </c>
      <c r="U68" s="11" t="s">
        <v>72</v>
      </c>
      <c r="V68" s="19">
        <v>2.0</v>
      </c>
      <c r="W68" s="19">
        <v>0.0</v>
      </c>
      <c r="X68" s="19">
        <v>2.0</v>
      </c>
      <c r="Y68" s="22">
        <v>5.75</v>
      </c>
      <c r="Z68" s="22">
        <v>5.75</v>
      </c>
      <c r="AA68" s="19">
        <v>0.0</v>
      </c>
      <c r="AB68" s="19">
        <v>0.0</v>
      </c>
      <c r="AC68" s="11" t="s">
        <v>185</v>
      </c>
      <c r="AD68" s="11" t="s">
        <v>73</v>
      </c>
      <c r="AE68" s="22">
        <f t="shared" si="4"/>
        <v>5.72</v>
      </c>
      <c r="AF68" s="18" t="s">
        <v>612</v>
      </c>
      <c r="AG68" s="19">
        <v>7.0</v>
      </c>
      <c r="AH68" s="19">
        <f t="shared" si="5"/>
        <v>77</v>
      </c>
      <c r="AI68" s="18"/>
    </row>
    <row r="69" ht="15.75" customHeight="1">
      <c r="A69" s="25">
        <f t="shared" si="1"/>
        <v>66</v>
      </c>
      <c r="B69" s="27">
        <f>ROUND(Guida!$B$22*H69/Guida!$B$31+Guida!$B$23*MAX(0,MIN(1,(AE69-5.4)/1.6))+Guida!$B$24*0+Guida!$B$25*0,1)</f>
        <v>5.8</v>
      </c>
      <c r="C69" s="28" t="s">
        <v>614</v>
      </c>
      <c r="D69" s="25" t="s">
        <v>175</v>
      </c>
      <c r="E69" s="29" t="s">
        <v>235</v>
      </c>
      <c r="F69" s="30">
        <v>5.0</v>
      </c>
      <c r="G69" s="30">
        <v>4.0</v>
      </c>
      <c r="H69" s="30">
        <v>20.0</v>
      </c>
      <c r="I69" s="30">
        <f>MAX(1,ROUND(H69^Guida!$B$18*Guida!$F$14,0))</f>
        <v>21</v>
      </c>
      <c r="J69" s="30">
        <f t="shared" si="2"/>
        <v>25</v>
      </c>
      <c r="K69" s="25" t="str">
        <f t="shared" si="3"/>
        <v>2a fascia</v>
      </c>
      <c r="L69" s="25" t="s">
        <v>68</v>
      </c>
      <c r="M69" s="37" t="s">
        <v>214</v>
      </c>
      <c r="N69" s="25" t="s">
        <v>71</v>
      </c>
      <c r="O69" s="25" t="s">
        <v>71</v>
      </c>
      <c r="P69" s="30">
        <v>18.0</v>
      </c>
      <c r="Q69" s="32">
        <v>5.67</v>
      </c>
      <c r="R69" s="32">
        <v>5.64</v>
      </c>
      <c r="S69" s="30">
        <v>1.0</v>
      </c>
      <c r="T69" s="30">
        <v>0.0</v>
      </c>
      <c r="U69" s="25" t="s">
        <v>202</v>
      </c>
      <c r="V69" s="30">
        <v>1.0</v>
      </c>
      <c r="W69" s="30">
        <v>0.0</v>
      </c>
      <c r="X69" s="30">
        <v>0.0</v>
      </c>
      <c r="Y69" s="32"/>
      <c r="Z69" s="32"/>
      <c r="AA69" s="30"/>
      <c r="AB69" s="30"/>
      <c r="AC69" s="25" t="s">
        <v>232</v>
      </c>
      <c r="AD69" s="25" t="s">
        <v>103</v>
      </c>
      <c r="AE69" s="32">
        <f t="shared" si="4"/>
        <v>5.6</v>
      </c>
      <c r="AF69" s="29" t="s">
        <v>452</v>
      </c>
      <c r="AG69" s="30">
        <v>6.0</v>
      </c>
      <c r="AH69" s="30">
        <f t="shared" si="5"/>
        <v>51</v>
      </c>
      <c r="AI69" s="29"/>
    </row>
    <row r="70" ht="15.75" customHeight="1">
      <c r="A70" s="11">
        <f t="shared" si="1"/>
        <v>66</v>
      </c>
      <c r="B70" s="16">
        <f>ROUND(Guida!$B$22*H70/Guida!$B$31+Guida!$B$23*MAX(0,MIN(1,(AE70-5.4)/1.6))+Guida!$B$24*0+Guida!$B$25*0,1)</f>
        <v>5.8</v>
      </c>
      <c r="C70" s="17" t="s">
        <v>620</v>
      </c>
      <c r="D70" s="11" t="s">
        <v>60</v>
      </c>
      <c r="E70" s="18" t="s">
        <v>235</v>
      </c>
      <c r="F70" s="19">
        <v>1.0</v>
      </c>
      <c r="G70" s="19">
        <v>1.0</v>
      </c>
      <c r="H70" s="19">
        <v>4.0</v>
      </c>
      <c r="I70" s="19">
        <f>MAX(1,ROUND(H70^Guida!$B$18*Guida!$F$14,0))</f>
        <v>8</v>
      </c>
      <c r="J70" s="19">
        <f t="shared" si="2"/>
        <v>10</v>
      </c>
      <c r="K70" s="11" t="str">
        <f t="shared" si="3"/>
        <v>3a fascia</v>
      </c>
      <c r="L70" s="11" t="s">
        <v>332</v>
      </c>
      <c r="M70" s="18" t="s">
        <v>333</v>
      </c>
      <c r="N70" s="11" t="s">
        <v>71</v>
      </c>
      <c r="O70" s="11" t="s">
        <v>71</v>
      </c>
      <c r="P70" s="19">
        <v>7.0</v>
      </c>
      <c r="Q70" s="22">
        <v>5.93</v>
      </c>
      <c r="R70" s="22">
        <v>6.36</v>
      </c>
      <c r="S70" s="19">
        <v>1.0</v>
      </c>
      <c r="T70" s="19">
        <v>0.0</v>
      </c>
      <c r="U70" s="11" t="s">
        <v>72</v>
      </c>
      <c r="V70" s="19">
        <v>0.0</v>
      </c>
      <c r="W70" s="19">
        <v>0.0</v>
      </c>
      <c r="X70" s="19">
        <v>0.0</v>
      </c>
      <c r="Y70" s="22"/>
      <c r="Z70" s="22"/>
      <c r="AA70" s="19"/>
      <c r="AB70" s="19"/>
      <c r="AC70" s="11" t="s">
        <v>60</v>
      </c>
      <c r="AD70" s="11" t="s">
        <v>73</v>
      </c>
      <c r="AE70" s="22">
        <f t="shared" si="4"/>
        <v>5.74</v>
      </c>
      <c r="AF70" s="18" t="s">
        <v>622</v>
      </c>
      <c r="AG70" s="19">
        <v>0.0</v>
      </c>
      <c r="AH70" s="19">
        <f t="shared" si="5"/>
        <v>83</v>
      </c>
      <c r="AI70" s="18"/>
    </row>
    <row r="71" ht="15.75" customHeight="1">
      <c r="A71" s="25">
        <f t="shared" si="1"/>
        <v>68</v>
      </c>
      <c r="B71" s="27">
        <f>ROUND(Guida!$B$22*H71/Guida!$B$31+Guida!$B$23*MAX(0,MIN(1,(AE71-5.4)/1.6))+Guida!$B$24*0+Guida!$B$25*0,1)</f>
        <v>5.3</v>
      </c>
      <c r="C71" s="28" t="s">
        <v>625</v>
      </c>
      <c r="D71" s="25" t="s">
        <v>177</v>
      </c>
      <c r="E71" s="29" t="s">
        <v>235</v>
      </c>
      <c r="F71" s="30">
        <v>8.0</v>
      </c>
      <c r="G71" s="30">
        <v>8.0</v>
      </c>
      <c r="H71" s="30">
        <v>28.0</v>
      </c>
      <c r="I71" s="30">
        <f>MAX(1,ROUND(H71^Guida!$B$18*Guida!$F$14,0))</f>
        <v>25</v>
      </c>
      <c r="J71" s="30">
        <f t="shared" si="2"/>
        <v>30</v>
      </c>
      <c r="K71" s="25" t="str">
        <f t="shared" si="3"/>
        <v>2a fascia</v>
      </c>
      <c r="L71" s="25" t="s">
        <v>68</v>
      </c>
      <c r="M71" s="29" t="s">
        <v>294</v>
      </c>
      <c r="N71" s="25" t="s">
        <v>71</v>
      </c>
      <c r="O71" s="25" t="s">
        <v>71</v>
      </c>
      <c r="P71" s="30"/>
      <c r="Q71" s="32"/>
      <c r="R71" s="32"/>
      <c r="S71" s="30"/>
      <c r="T71" s="30"/>
      <c r="U71" s="25"/>
      <c r="V71" s="30"/>
      <c r="W71" s="30"/>
      <c r="X71" s="30">
        <v>1.0</v>
      </c>
      <c r="Y71" s="32">
        <v>5.5</v>
      </c>
      <c r="Z71" s="32">
        <v>5.5</v>
      </c>
      <c r="AA71" s="30">
        <v>0.0</v>
      </c>
      <c r="AB71" s="30">
        <v>0.0</v>
      </c>
      <c r="AC71" s="25" t="s">
        <v>71</v>
      </c>
      <c r="AD71" s="25" t="s">
        <v>103</v>
      </c>
      <c r="AE71" s="32">
        <f t="shared" si="4"/>
        <v>5.5</v>
      </c>
      <c r="AF71" s="29" t="s">
        <v>626</v>
      </c>
      <c r="AG71" s="30">
        <v>5.0</v>
      </c>
      <c r="AH71" s="30">
        <f t="shared" si="5"/>
        <v>40</v>
      </c>
      <c r="AI71" s="29"/>
    </row>
    <row r="72" ht="15.75" customHeight="1">
      <c r="A72" s="11">
        <f t="shared" si="1"/>
        <v>69</v>
      </c>
      <c r="B72" s="16">
        <f>ROUND(Guida!$B$22*H72/Guida!$B$31+Guida!$B$23*MAX(0,MIN(1,(AE72-5.4)/1.6))+Guida!$B$24*0+Guida!$B$25*0,1)</f>
        <v>5.2</v>
      </c>
      <c r="C72" s="17" t="s">
        <v>629</v>
      </c>
      <c r="D72" s="11" t="s">
        <v>261</v>
      </c>
      <c r="E72" s="18" t="s">
        <v>235</v>
      </c>
      <c r="F72" s="19">
        <v>7.0</v>
      </c>
      <c r="G72" s="19">
        <v>9.0</v>
      </c>
      <c r="H72" s="19">
        <v>27.0</v>
      </c>
      <c r="I72" s="19">
        <f>MAX(1,ROUND(H72^Guida!$B$18*Guida!$F$14,0))</f>
        <v>25</v>
      </c>
      <c r="J72" s="19">
        <f t="shared" si="2"/>
        <v>30</v>
      </c>
      <c r="K72" s="11" t="str">
        <f t="shared" si="3"/>
        <v>2a fascia</v>
      </c>
      <c r="L72" s="11" t="s">
        <v>68</v>
      </c>
      <c r="M72" s="21" t="s">
        <v>100</v>
      </c>
      <c r="N72" s="11" t="s">
        <v>71</v>
      </c>
      <c r="O72" s="11" t="s">
        <v>71</v>
      </c>
      <c r="P72" s="19"/>
      <c r="Q72" s="22"/>
      <c r="R72" s="22"/>
      <c r="S72" s="19"/>
      <c r="T72" s="19"/>
      <c r="U72" s="11"/>
      <c r="V72" s="19"/>
      <c r="W72" s="19"/>
      <c r="X72" s="19">
        <v>2.0</v>
      </c>
      <c r="Y72" s="22">
        <v>6.75</v>
      </c>
      <c r="Z72" s="22">
        <v>9.5</v>
      </c>
      <c r="AA72" s="19">
        <v>2.0</v>
      </c>
      <c r="AB72" s="19">
        <v>0.0</v>
      </c>
      <c r="AC72" s="11" t="s">
        <v>71</v>
      </c>
      <c r="AD72" s="11" t="s">
        <v>103</v>
      </c>
      <c r="AE72" s="22">
        <f t="shared" si="4"/>
        <v>5.5</v>
      </c>
      <c r="AF72" s="18" t="s">
        <v>585</v>
      </c>
      <c r="AG72" s="19">
        <v>5.0</v>
      </c>
      <c r="AH72" s="19">
        <f t="shared" si="5"/>
        <v>41</v>
      </c>
      <c r="AI72" s="18"/>
    </row>
    <row r="73" ht="15.75" customHeight="1">
      <c r="A73" s="25">
        <f t="shared" si="1"/>
        <v>70</v>
      </c>
      <c r="B73" s="27">
        <f>ROUND(Guida!$B$22*H73/Guida!$B$31+Guida!$B$23*MAX(0,MIN(1,(AE73-5.4)/1.6))+Guida!$B$24*0+Guida!$B$25*0,1)</f>
        <v>5.1</v>
      </c>
      <c r="C73" s="28" t="s">
        <v>633</v>
      </c>
      <c r="D73" s="25" t="s">
        <v>195</v>
      </c>
      <c r="E73" s="29" t="s">
        <v>235</v>
      </c>
      <c r="F73" s="30">
        <v>10.0</v>
      </c>
      <c r="G73" s="30">
        <v>9.0</v>
      </c>
      <c r="H73" s="30">
        <v>22.0</v>
      </c>
      <c r="I73" s="30">
        <f>MAX(1,ROUND(H73^Guida!$B$18*Guida!$F$14,0))</f>
        <v>22</v>
      </c>
      <c r="J73" s="30">
        <f t="shared" si="2"/>
        <v>26</v>
      </c>
      <c r="K73" s="25" t="str">
        <f t="shared" si="3"/>
        <v>2a fascia</v>
      </c>
      <c r="L73" s="25" t="s">
        <v>68</v>
      </c>
      <c r="M73" s="37" t="s">
        <v>146</v>
      </c>
      <c r="N73" s="25" t="s">
        <v>71</v>
      </c>
      <c r="O73" s="25" t="s">
        <v>71</v>
      </c>
      <c r="P73" s="30">
        <v>7.0</v>
      </c>
      <c r="Q73" s="32">
        <v>5.64</v>
      </c>
      <c r="R73" s="32">
        <v>5.64</v>
      </c>
      <c r="S73" s="30">
        <v>0.0</v>
      </c>
      <c r="T73" s="30">
        <v>0.0</v>
      </c>
      <c r="U73" s="25" t="s">
        <v>72</v>
      </c>
      <c r="V73" s="30">
        <v>0.0</v>
      </c>
      <c r="W73" s="30">
        <v>0.0</v>
      </c>
      <c r="X73" s="30">
        <v>0.0</v>
      </c>
      <c r="Y73" s="32"/>
      <c r="Z73" s="32"/>
      <c r="AA73" s="30"/>
      <c r="AB73" s="30"/>
      <c r="AC73" s="25" t="s">
        <v>195</v>
      </c>
      <c r="AD73" s="25" t="s">
        <v>73</v>
      </c>
      <c r="AE73" s="32">
        <f t="shared" si="4"/>
        <v>5.54</v>
      </c>
      <c r="AF73" s="29" t="s">
        <v>635</v>
      </c>
      <c r="AG73" s="30">
        <v>6.0</v>
      </c>
      <c r="AH73" s="30">
        <f t="shared" si="5"/>
        <v>49</v>
      </c>
      <c r="AI73" s="29"/>
    </row>
    <row r="74" ht="15.75" customHeight="1">
      <c r="A74" s="11">
        <f t="shared" si="1"/>
        <v>71</v>
      </c>
      <c r="B74" s="16">
        <f>ROUND(Guida!$B$22*H74/Guida!$B$31+Guida!$B$23*MAX(0,MIN(1,(AE74-5.4)/1.6))+Guida!$B$24*0+Guida!$B$25*0,1)</f>
        <v>4.9</v>
      </c>
      <c r="C74" s="17" t="s">
        <v>637</v>
      </c>
      <c r="D74" s="11" t="s">
        <v>208</v>
      </c>
      <c r="E74" s="18" t="s">
        <v>183</v>
      </c>
      <c r="F74" s="19">
        <v>7.0</v>
      </c>
      <c r="G74" s="19">
        <v>7.0</v>
      </c>
      <c r="H74" s="19">
        <v>25.0</v>
      </c>
      <c r="I74" s="19">
        <f>MAX(1,ROUND(H74^Guida!$B$18*Guida!$F$14,0))</f>
        <v>23</v>
      </c>
      <c r="J74" s="19">
        <f t="shared" si="2"/>
        <v>28</v>
      </c>
      <c r="K74" s="11" t="str">
        <f t="shared" si="3"/>
        <v>2a fascia</v>
      </c>
      <c r="L74" s="11" t="s">
        <v>226</v>
      </c>
      <c r="M74" s="18" t="s">
        <v>227</v>
      </c>
      <c r="N74" s="11" t="s">
        <v>71</v>
      </c>
      <c r="O74" s="11" t="s">
        <v>71</v>
      </c>
      <c r="P74" s="19"/>
      <c r="Q74" s="22"/>
      <c r="R74" s="22"/>
      <c r="S74" s="19"/>
      <c r="T74" s="19"/>
      <c r="U74" s="11"/>
      <c r="V74" s="19"/>
      <c r="W74" s="19"/>
      <c r="X74" s="19">
        <v>0.0</v>
      </c>
      <c r="Y74" s="22"/>
      <c r="Z74" s="22"/>
      <c r="AA74" s="19"/>
      <c r="AB74" s="19"/>
      <c r="AC74" s="11" t="s">
        <v>71</v>
      </c>
      <c r="AD74" s="11" t="s">
        <v>103</v>
      </c>
      <c r="AE74" s="22">
        <f t="shared" si="4"/>
        <v>5.5</v>
      </c>
      <c r="AF74" s="18" t="s">
        <v>368</v>
      </c>
      <c r="AG74" s="19">
        <v>6.0</v>
      </c>
      <c r="AH74" s="19">
        <f t="shared" si="5"/>
        <v>44</v>
      </c>
      <c r="AI74" s="18"/>
    </row>
    <row r="75" ht="15.75" customHeight="1">
      <c r="A75" s="25">
        <f t="shared" si="1"/>
        <v>72</v>
      </c>
      <c r="B75" s="27">
        <f>ROUND(Guida!$B$22*H75/Guida!$B$31+Guida!$B$23*MAX(0,MIN(1,(AE75-5.4)/1.6))+Guida!$B$24*0+Guida!$B$25*0,1)</f>
        <v>4.8</v>
      </c>
      <c r="C75" s="28" t="s">
        <v>641</v>
      </c>
      <c r="D75" s="25" t="s">
        <v>261</v>
      </c>
      <c r="E75" s="29" t="s">
        <v>183</v>
      </c>
      <c r="F75" s="30">
        <v>4.0</v>
      </c>
      <c r="G75" s="30">
        <v>6.0</v>
      </c>
      <c r="H75" s="30">
        <v>24.0</v>
      </c>
      <c r="I75" s="30">
        <f>MAX(1,ROUND(H75^Guida!$B$18*Guida!$F$14,0))</f>
        <v>23</v>
      </c>
      <c r="J75" s="30">
        <f t="shared" si="2"/>
        <v>28</v>
      </c>
      <c r="K75" s="25" t="str">
        <f t="shared" si="3"/>
        <v>2a fascia</v>
      </c>
      <c r="L75" s="25" t="s">
        <v>332</v>
      </c>
      <c r="M75" s="29" t="s">
        <v>473</v>
      </c>
      <c r="N75" s="25" t="s">
        <v>71</v>
      </c>
      <c r="O75" s="25" t="s">
        <v>71</v>
      </c>
      <c r="P75" s="30"/>
      <c r="Q75" s="32"/>
      <c r="R75" s="32"/>
      <c r="S75" s="30"/>
      <c r="T75" s="30"/>
      <c r="U75" s="25"/>
      <c r="V75" s="30"/>
      <c r="W75" s="30"/>
      <c r="X75" s="30">
        <v>2.0</v>
      </c>
      <c r="Y75" s="32">
        <v>6.75</v>
      </c>
      <c r="Z75" s="32">
        <v>7.25</v>
      </c>
      <c r="AA75" s="30">
        <v>0.0</v>
      </c>
      <c r="AB75" s="30">
        <v>1.0</v>
      </c>
      <c r="AC75" s="25" t="s">
        <v>71</v>
      </c>
      <c r="AD75" s="25" t="s">
        <v>103</v>
      </c>
      <c r="AE75" s="32">
        <f t="shared" si="4"/>
        <v>5.5</v>
      </c>
      <c r="AF75" s="29" t="s">
        <v>643</v>
      </c>
      <c r="AG75" s="30">
        <v>5.0</v>
      </c>
      <c r="AH75" s="30">
        <f t="shared" si="5"/>
        <v>45</v>
      </c>
      <c r="AI75" s="29"/>
    </row>
    <row r="76" ht="15.75" customHeight="1">
      <c r="A76" s="11">
        <f t="shared" si="1"/>
        <v>73</v>
      </c>
      <c r="B76" s="16">
        <f>ROUND(Guida!$B$22*H76/Guida!$B$31+Guida!$B$23*MAX(0,MIN(1,(AE76-5.4)/1.6))+Guida!$B$24*0+Guida!$B$25*0,1)</f>
        <v>4.5</v>
      </c>
      <c r="C76" s="17" t="s">
        <v>647</v>
      </c>
      <c r="D76" s="11" t="s">
        <v>185</v>
      </c>
      <c r="E76" s="18" t="s">
        <v>235</v>
      </c>
      <c r="F76" s="19">
        <v>1.0</v>
      </c>
      <c r="G76" s="19">
        <v>1.0</v>
      </c>
      <c r="H76" s="19">
        <v>3.0</v>
      </c>
      <c r="I76" s="19">
        <f>MAX(1,ROUND(H76^Guida!$B$18*Guida!$F$14,0))</f>
        <v>7</v>
      </c>
      <c r="J76" s="19">
        <f t="shared" si="2"/>
        <v>8</v>
      </c>
      <c r="K76" s="11" t="str">
        <f t="shared" si="3"/>
        <v>3a fascia</v>
      </c>
      <c r="L76" s="11" t="s">
        <v>226</v>
      </c>
      <c r="M76" s="18" t="s">
        <v>301</v>
      </c>
      <c r="N76" s="11" t="s">
        <v>71</v>
      </c>
      <c r="O76" s="11" t="s">
        <v>71</v>
      </c>
      <c r="P76" s="19">
        <v>12.0</v>
      </c>
      <c r="Q76" s="22">
        <v>5.75</v>
      </c>
      <c r="R76" s="22">
        <v>5.83</v>
      </c>
      <c r="S76" s="19">
        <v>0.0</v>
      </c>
      <c r="T76" s="19">
        <v>1.0</v>
      </c>
      <c r="U76" s="11" t="s">
        <v>72</v>
      </c>
      <c r="V76" s="19">
        <v>0.0</v>
      </c>
      <c r="W76" s="19">
        <v>0.0</v>
      </c>
      <c r="X76" s="19">
        <v>1.0</v>
      </c>
      <c r="Y76" s="22">
        <v>5.0</v>
      </c>
      <c r="Z76" s="22">
        <v>5.0</v>
      </c>
      <c r="AA76" s="19">
        <v>0.0</v>
      </c>
      <c r="AB76" s="19">
        <v>0.0</v>
      </c>
      <c r="AC76" s="11" t="s">
        <v>185</v>
      </c>
      <c r="AD76" s="11" t="s">
        <v>73</v>
      </c>
      <c r="AE76" s="22">
        <f t="shared" si="4"/>
        <v>5.66</v>
      </c>
      <c r="AF76" s="18" t="s">
        <v>512</v>
      </c>
      <c r="AG76" s="19">
        <v>7.0</v>
      </c>
      <c r="AH76" s="19">
        <f t="shared" si="5"/>
        <v>84</v>
      </c>
      <c r="AI76" s="18"/>
    </row>
    <row r="77" ht="15.75" customHeight="1">
      <c r="A77" s="25">
        <f t="shared" si="1"/>
        <v>74</v>
      </c>
      <c r="B77" s="27">
        <f>ROUND(Guida!$B$22*H77/Guida!$B$31+Guida!$B$23*MAX(0,MIN(1,(AE77-5.4)/1.6))+Guida!$B$24*0+Guida!$B$25*0.35,1)</f>
        <v>4.4</v>
      </c>
      <c r="C77" s="28" t="s">
        <v>650</v>
      </c>
      <c r="D77" s="25" t="s">
        <v>272</v>
      </c>
      <c r="E77" s="29" t="s">
        <v>287</v>
      </c>
      <c r="F77" s="30">
        <v>5.0</v>
      </c>
      <c r="G77" s="30">
        <v>4.0</v>
      </c>
      <c r="H77" s="30">
        <v>8.0</v>
      </c>
      <c r="I77" s="30">
        <f>MAX(1,ROUND(H77^Guida!$B$18*Guida!$F$14,0))</f>
        <v>12</v>
      </c>
      <c r="J77" s="30">
        <f t="shared" si="2"/>
        <v>14</v>
      </c>
      <c r="K77" s="25" t="str">
        <f t="shared" si="3"/>
        <v>3a fascia</v>
      </c>
      <c r="L77" s="25" t="s">
        <v>332</v>
      </c>
      <c r="M77" s="29" t="s">
        <v>338</v>
      </c>
      <c r="N77" s="25" t="s">
        <v>71</v>
      </c>
      <c r="O77" s="25" t="s">
        <v>160</v>
      </c>
      <c r="P77" s="30"/>
      <c r="Q77" s="32"/>
      <c r="R77" s="32"/>
      <c r="S77" s="30"/>
      <c r="T77" s="30"/>
      <c r="U77" s="25"/>
      <c r="V77" s="30"/>
      <c r="W77" s="30"/>
      <c r="X77" s="30">
        <v>0.0</v>
      </c>
      <c r="Y77" s="32"/>
      <c r="Z77" s="32"/>
      <c r="AA77" s="30"/>
      <c r="AB77" s="30"/>
      <c r="AC77" s="25" t="s">
        <v>71</v>
      </c>
      <c r="AD77" s="25" t="s">
        <v>103</v>
      </c>
      <c r="AE77" s="32">
        <f t="shared" si="4"/>
        <v>5.5</v>
      </c>
      <c r="AF77" s="29" t="s">
        <v>512</v>
      </c>
      <c r="AG77" s="30">
        <v>6.0</v>
      </c>
      <c r="AH77" s="30">
        <f t="shared" si="5"/>
        <v>73</v>
      </c>
      <c r="AI77" s="29"/>
    </row>
    <row r="78" ht="15.75" customHeight="1">
      <c r="A78" s="11">
        <f t="shared" si="1"/>
        <v>75</v>
      </c>
      <c r="B78" s="16">
        <f>ROUND(Guida!$B$22*H78/Guida!$B$31+Guida!$B$23*MAX(0,MIN(1,(AE78-5.4)/1.6))+Guida!$B$24*0+Guida!$B$25*0,1)</f>
        <v>4</v>
      </c>
      <c r="C78" s="17" t="s">
        <v>653</v>
      </c>
      <c r="D78" s="11" t="s">
        <v>272</v>
      </c>
      <c r="E78" s="18" t="s">
        <v>287</v>
      </c>
      <c r="F78" s="19">
        <v>6.0</v>
      </c>
      <c r="G78" s="19">
        <v>6.0</v>
      </c>
      <c r="H78" s="19">
        <v>18.0</v>
      </c>
      <c r="I78" s="19">
        <f>MAX(1,ROUND(H78^Guida!$B$18*Guida!$F$14,0))</f>
        <v>19</v>
      </c>
      <c r="J78" s="19">
        <f t="shared" si="2"/>
        <v>23</v>
      </c>
      <c r="K78" s="11" t="str">
        <f t="shared" si="3"/>
        <v>2a fascia</v>
      </c>
      <c r="L78" s="11" t="s">
        <v>226</v>
      </c>
      <c r="M78" s="18" t="s">
        <v>227</v>
      </c>
      <c r="N78" s="11" t="s">
        <v>71</v>
      </c>
      <c r="O78" s="11" t="s">
        <v>71</v>
      </c>
      <c r="P78" s="19"/>
      <c r="Q78" s="22"/>
      <c r="R78" s="22"/>
      <c r="S78" s="19"/>
      <c r="T78" s="19"/>
      <c r="U78" s="11"/>
      <c r="V78" s="19"/>
      <c r="W78" s="19"/>
      <c r="X78" s="19">
        <v>0.0</v>
      </c>
      <c r="Y78" s="22"/>
      <c r="Z78" s="22"/>
      <c r="AA78" s="19"/>
      <c r="AB78" s="19"/>
      <c r="AC78" s="11" t="s">
        <v>71</v>
      </c>
      <c r="AD78" s="11" t="s">
        <v>103</v>
      </c>
      <c r="AE78" s="22">
        <f t="shared" si="4"/>
        <v>5.5</v>
      </c>
      <c r="AF78" s="18" t="s">
        <v>658</v>
      </c>
      <c r="AG78" s="19">
        <v>6.0</v>
      </c>
      <c r="AH78" s="19">
        <f t="shared" si="5"/>
        <v>53</v>
      </c>
      <c r="AI78" s="18"/>
    </row>
    <row r="79" ht="15.75" customHeight="1">
      <c r="A79" s="25">
        <f t="shared" si="1"/>
        <v>76</v>
      </c>
      <c r="B79" s="27">
        <f>ROUND(Guida!$B$22*H79/Guida!$B$31+Guida!$B$23*MAX(0,MIN(1,(AE79-5.4)/1.6))+Guida!$B$24*0+Guida!$B$25*0,1)</f>
        <v>3.5</v>
      </c>
      <c r="C79" s="28" t="s">
        <v>664</v>
      </c>
      <c r="D79" s="25" t="s">
        <v>93</v>
      </c>
      <c r="E79" s="29" t="s">
        <v>235</v>
      </c>
      <c r="F79" s="30">
        <v>5.0</v>
      </c>
      <c r="G79" s="30">
        <v>4.0</v>
      </c>
      <c r="H79" s="30">
        <v>10.0</v>
      </c>
      <c r="I79" s="30">
        <f>MAX(1,ROUND(H79^Guida!$B$18*Guida!$F$14,0))</f>
        <v>14</v>
      </c>
      <c r="J79" s="30">
        <f t="shared" si="2"/>
        <v>17</v>
      </c>
      <c r="K79" s="25" t="str">
        <f t="shared" si="3"/>
        <v>3a fascia</v>
      </c>
      <c r="L79" s="25" t="s">
        <v>332</v>
      </c>
      <c r="M79" s="29" t="s">
        <v>333</v>
      </c>
      <c r="N79" s="25" t="s">
        <v>71</v>
      </c>
      <c r="O79" s="25" t="s">
        <v>71</v>
      </c>
      <c r="P79" s="30">
        <v>2.0</v>
      </c>
      <c r="Q79" s="32">
        <v>6.0</v>
      </c>
      <c r="R79" s="32">
        <v>6.0</v>
      </c>
      <c r="S79" s="30">
        <v>0.0</v>
      </c>
      <c r="T79" s="30">
        <v>0.0</v>
      </c>
      <c r="U79" s="25" t="s">
        <v>72</v>
      </c>
      <c r="V79" s="30">
        <v>0.0</v>
      </c>
      <c r="W79" s="30">
        <v>0.0</v>
      </c>
      <c r="X79" s="30">
        <v>0.0</v>
      </c>
      <c r="Y79" s="32"/>
      <c r="Z79" s="32"/>
      <c r="AA79" s="30"/>
      <c r="AB79" s="30"/>
      <c r="AC79" s="25" t="s">
        <v>93</v>
      </c>
      <c r="AD79" s="25" t="s">
        <v>73</v>
      </c>
      <c r="AE79" s="32">
        <f t="shared" si="4"/>
        <v>5.54</v>
      </c>
      <c r="AF79" s="29" t="s">
        <v>635</v>
      </c>
      <c r="AG79" s="30">
        <v>0.0</v>
      </c>
      <c r="AH79" s="30">
        <f t="shared" si="5"/>
        <v>68</v>
      </c>
      <c r="AI79" s="29"/>
    </row>
    <row r="80" ht="15.75" customHeight="1">
      <c r="A80" s="11">
        <f t="shared" si="1"/>
        <v>77</v>
      </c>
      <c r="B80" s="16">
        <f>ROUND(Guida!$B$22*H80/Guida!$B$31+Guida!$B$23*MAX(0,MIN(1,(AE80-5.4)/1.6))+Guida!$B$24*0+Guida!$B$25*0,1)</f>
        <v>3.4</v>
      </c>
      <c r="C80" s="17" t="s">
        <v>673</v>
      </c>
      <c r="D80" s="11" t="s">
        <v>232</v>
      </c>
      <c r="E80" s="18" t="s">
        <v>183</v>
      </c>
      <c r="F80" s="19">
        <v>4.0</v>
      </c>
      <c r="G80" s="19">
        <v>4.0</v>
      </c>
      <c r="H80" s="19">
        <v>14.0</v>
      </c>
      <c r="I80" s="19">
        <f>MAX(1,ROUND(H80^Guida!$B$18*Guida!$F$14,0))</f>
        <v>17</v>
      </c>
      <c r="J80" s="19">
        <f t="shared" si="2"/>
        <v>20</v>
      </c>
      <c r="K80" s="11" t="str">
        <f t="shared" si="3"/>
        <v>2a fascia</v>
      </c>
      <c r="L80" s="11" t="s">
        <v>226</v>
      </c>
      <c r="M80" s="18" t="s">
        <v>495</v>
      </c>
      <c r="N80" s="11" t="s">
        <v>71</v>
      </c>
      <c r="O80" s="11" t="s">
        <v>71</v>
      </c>
      <c r="P80" s="19"/>
      <c r="Q80" s="22"/>
      <c r="R80" s="22"/>
      <c r="S80" s="19"/>
      <c r="T80" s="19"/>
      <c r="U80" s="11"/>
      <c r="V80" s="19"/>
      <c r="W80" s="19"/>
      <c r="X80" s="19">
        <v>1.0</v>
      </c>
      <c r="Y80" s="22">
        <v>5.5</v>
      </c>
      <c r="Z80" s="22">
        <v>5.5</v>
      </c>
      <c r="AA80" s="19">
        <v>0.0</v>
      </c>
      <c r="AB80" s="19">
        <v>0.0</v>
      </c>
      <c r="AC80" s="11" t="s">
        <v>71</v>
      </c>
      <c r="AD80" s="11" t="s">
        <v>103</v>
      </c>
      <c r="AE80" s="22">
        <f t="shared" si="4"/>
        <v>5.5</v>
      </c>
      <c r="AF80" s="18" t="s">
        <v>452</v>
      </c>
      <c r="AG80" s="19">
        <v>4.0</v>
      </c>
      <c r="AH80" s="19">
        <f t="shared" si="5"/>
        <v>55</v>
      </c>
      <c r="AI80" s="18"/>
    </row>
    <row r="81" ht="15.75" customHeight="1">
      <c r="A81" s="25">
        <f t="shared" si="1"/>
        <v>78</v>
      </c>
      <c r="B81" s="27">
        <f>ROUND(Guida!$B$22*H81/Guida!$B$31+Guida!$B$23*MAX(0,MIN(1,(AE81-5.4)/1.6))+Guida!$B$24*0+Guida!$B$25*0,1)</f>
        <v>3.3</v>
      </c>
      <c r="C81" s="28" t="s">
        <v>692</v>
      </c>
      <c r="D81" s="25" t="s">
        <v>264</v>
      </c>
      <c r="E81" s="29" t="s">
        <v>235</v>
      </c>
      <c r="F81" s="30">
        <v>8.0</v>
      </c>
      <c r="G81" s="30">
        <v>7.0</v>
      </c>
      <c r="H81" s="30">
        <v>13.0</v>
      </c>
      <c r="I81" s="30">
        <f>MAX(1,ROUND(H81^Guida!$B$18*Guida!$F$14,0))</f>
        <v>16</v>
      </c>
      <c r="J81" s="30">
        <f t="shared" si="2"/>
        <v>19</v>
      </c>
      <c r="K81" s="25" t="str">
        <f t="shared" si="3"/>
        <v>2a fascia</v>
      </c>
      <c r="L81" s="25" t="s">
        <v>226</v>
      </c>
      <c r="M81" s="29" t="s">
        <v>227</v>
      </c>
      <c r="N81" s="25" t="s">
        <v>71</v>
      </c>
      <c r="O81" s="25" t="s">
        <v>71</v>
      </c>
      <c r="P81" s="30"/>
      <c r="Q81" s="32"/>
      <c r="R81" s="32"/>
      <c r="S81" s="30"/>
      <c r="T81" s="30"/>
      <c r="U81" s="25"/>
      <c r="V81" s="30"/>
      <c r="W81" s="30"/>
      <c r="X81" s="30">
        <v>0.0</v>
      </c>
      <c r="Y81" s="32"/>
      <c r="Z81" s="32"/>
      <c r="AA81" s="30"/>
      <c r="AB81" s="30"/>
      <c r="AC81" s="25" t="s">
        <v>71</v>
      </c>
      <c r="AD81" s="25" t="s">
        <v>103</v>
      </c>
      <c r="AE81" s="32">
        <f t="shared" si="4"/>
        <v>5.5</v>
      </c>
      <c r="AF81" s="29" t="s">
        <v>703</v>
      </c>
      <c r="AG81" s="30">
        <v>6.0</v>
      </c>
      <c r="AH81" s="30">
        <f t="shared" si="5"/>
        <v>57</v>
      </c>
      <c r="AI81" s="29"/>
    </row>
    <row r="82" ht="15.75" customHeight="1">
      <c r="A82" s="11">
        <f t="shared" si="1"/>
        <v>79</v>
      </c>
      <c r="B82" s="16">
        <f>ROUND(Guida!$B$22*H82/Guida!$B$31+Guida!$B$23*MAX(0,MIN(1,(AE82-5.4)/1.6))+Guida!$B$24*0+Guida!$B$25*0,1)</f>
        <v>3</v>
      </c>
      <c r="C82" s="17" t="s">
        <v>711</v>
      </c>
      <c r="D82" s="11" t="s">
        <v>261</v>
      </c>
      <c r="E82" s="18" t="s">
        <v>235</v>
      </c>
      <c r="F82" s="19">
        <v>5.0</v>
      </c>
      <c r="G82" s="19">
        <v>5.0</v>
      </c>
      <c r="H82" s="19">
        <v>11.0</v>
      </c>
      <c r="I82" s="19">
        <f>MAX(1,ROUND(H82^Guida!$B$18*Guida!$F$14,0))</f>
        <v>14</v>
      </c>
      <c r="J82" s="19">
        <f t="shared" si="2"/>
        <v>17</v>
      </c>
      <c r="K82" s="11" t="str">
        <f t="shared" si="3"/>
        <v>3a fascia</v>
      </c>
      <c r="L82" s="11" t="s">
        <v>332</v>
      </c>
      <c r="M82" s="18" t="s">
        <v>338</v>
      </c>
      <c r="N82" s="11" t="s">
        <v>71</v>
      </c>
      <c r="O82" s="11" t="s">
        <v>71</v>
      </c>
      <c r="P82" s="19"/>
      <c r="Q82" s="22"/>
      <c r="R82" s="22"/>
      <c r="S82" s="19"/>
      <c r="T82" s="19"/>
      <c r="U82" s="11"/>
      <c r="V82" s="19"/>
      <c r="W82" s="19"/>
      <c r="X82" s="19">
        <v>0.0</v>
      </c>
      <c r="Y82" s="22"/>
      <c r="Z82" s="22"/>
      <c r="AA82" s="19"/>
      <c r="AB82" s="19"/>
      <c r="AC82" s="11" t="s">
        <v>71</v>
      </c>
      <c r="AD82" s="11" t="s">
        <v>103</v>
      </c>
      <c r="AE82" s="22">
        <f t="shared" si="4"/>
        <v>5.5</v>
      </c>
      <c r="AF82" s="18" t="s">
        <v>643</v>
      </c>
      <c r="AG82" s="19">
        <v>5.0</v>
      </c>
      <c r="AH82" s="19">
        <f t="shared" si="5"/>
        <v>64</v>
      </c>
      <c r="AI82" s="18"/>
    </row>
    <row r="83" ht="15.75" customHeight="1">
      <c r="A83" s="25">
        <f t="shared" si="1"/>
        <v>79</v>
      </c>
      <c r="B83" s="27">
        <f>ROUND(Guida!$B$22*H83/Guida!$B$31+Guida!$B$23*MAX(0,MIN(1,(AE83-5.4)/1.6))+Guida!$B$24*0+Guida!$B$25*0,1)</f>
        <v>3</v>
      </c>
      <c r="C83" s="28" t="s">
        <v>721</v>
      </c>
      <c r="D83" s="25" t="s">
        <v>283</v>
      </c>
      <c r="E83" s="29" t="s">
        <v>287</v>
      </c>
      <c r="F83" s="30">
        <v>1.0</v>
      </c>
      <c r="G83" s="30">
        <v>3.0</v>
      </c>
      <c r="H83" s="30">
        <v>11.0</v>
      </c>
      <c r="I83" s="30">
        <f>MAX(1,ROUND(H83^Guida!$B$18*Guida!$F$14,0))</f>
        <v>14</v>
      </c>
      <c r="J83" s="30">
        <f t="shared" si="2"/>
        <v>17</v>
      </c>
      <c r="K83" s="25" t="str">
        <f t="shared" si="3"/>
        <v>3a fascia</v>
      </c>
      <c r="L83" s="25" t="s">
        <v>332</v>
      </c>
      <c r="M83" s="29" t="s">
        <v>473</v>
      </c>
      <c r="N83" s="25" t="s">
        <v>71</v>
      </c>
      <c r="O83" s="25" t="s">
        <v>71</v>
      </c>
      <c r="P83" s="30"/>
      <c r="Q83" s="32"/>
      <c r="R83" s="32"/>
      <c r="S83" s="30"/>
      <c r="T83" s="30"/>
      <c r="U83" s="25"/>
      <c r="V83" s="30"/>
      <c r="W83" s="30"/>
      <c r="X83" s="30">
        <v>2.0</v>
      </c>
      <c r="Y83" s="32">
        <v>6.25</v>
      </c>
      <c r="Z83" s="32">
        <v>6.25</v>
      </c>
      <c r="AA83" s="30">
        <v>0.0</v>
      </c>
      <c r="AB83" s="30">
        <v>0.0</v>
      </c>
      <c r="AC83" s="25" t="s">
        <v>71</v>
      </c>
      <c r="AD83" s="25" t="s">
        <v>103</v>
      </c>
      <c r="AE83" s="32">
        <f t="shared" si="4"/>
        <v>5.5</v>
      </c>
      <c r="AF83" s="29" t="s">
        <v>658</v>
      </c>
      <c r="AG83" s="30">
        <v>4.0</v>
      </c>
      <c r="AH83" s="30">
        <f t="shared" si="5"/>
        <v>64</v>
      </c>
      <c r="AI83" s="29"/>
    </row>
    <row r="84" ht="15.75" customHeight="1">
      <c r="A84" s="11">
        <f t="shared" si="1"/>
        <v>81</v>
      </c>
      <c r="B84" s="16">
        <f>ROUND(Guida!$B$22*H84/Guida!$B$31+Guida!$B$23*MAX(0,MIN(1,(AE84-5.4)/1.6))+Guida!$B$24*0+Guida!$B$25*0,1)</f>
        <v>2.5</v>
      </c>
      <c r="C84" s="17" t="s">
        <v>724</v>
      </c>
      <c r="D84" s="11" t="s">
        <v>239</v>
      </c>
      <c r="E84" s="18" t="s">
        <v>235</v>
      </c>
      <c r="F84" s="19">
        <v>6.0</v>
      </c>
      <c r="G84" s="19">
        <v>6.0</v>
      </c>
      <c r="H84" s="19">
        <v>7.0</v>
      </c>
      <c r="I84" s="19">
        <f>MAX(1,ROUND(H84^Guida!$B$18*Guida!$F$14,0))</f>
        <v>11</v>
      </c>
      <c r="J84" s="19">
        <f t="shared" si="2"/>
        <v>13</v>
      </c>
      <c r="K84" s="11" t="str">
        <f t="shared" si="3"/>
        <v>3a fascia</v>
      </c>
      <c r="L84" s="11" t="s">
        <v>68</v>
      </c>
      <c r="M84" s="37" t="s">
        <v>214</v>
      </c>
      <c r="N84" s="11" t="s">
        <v>71</v>
      </c>
      <c r="O84" s="11" t="s">
        <v>71</v>
      </c>
      <c r="P84" s="19"/>
      <c r="Q84" s="22"/>
      <c r="R84" s="22"/>
      <c r="S84" s="19"/>
      <c r="T84" s="19"/>
      <c r="U84" s="11"/>
      <c r="V84" s="19"/>
      <c r="W84" s="19"/>
      <c r="X84" s="19">
        <v>0.0</v>
      </c>
      <c r="Y84" s="22"/>
      <c r="Z84" s="22"/>
      <c r="AA84" s="19"/>
      <c r="AB84" s="19"/>
      <c r="AC84" s="11" t="s">
        <v>71</v>
      </c>
      <c r="AD84" s="11" t="s">
        <v>103</v>
      </c>
      <c r="AE84" s="22">
        <f t="shared" si="4"/>
        <v>5.5</v>
      </c>
      <c r="AF84" s="18" t="s">
        <v>643</v>
      </c>
      <c r="AG84" s="19">
        <v>6.0</v>
      </c>
      <c r="AH84" s="19">
        <f t="shared" si="5"/>
        <v>77</v>
      </c>
      <c r="AI84" s="18"/>
    </row>
    <row r="85" ht="15.75" customHeight="1">
      <c r="A85" s="25">
        <f t="shared" si="1"/>
        <v>82</v>
      </c>
      <c r="B85" s="27">
        <f>ROUND(Guida!$B$22*H85/Guida!$B$31+Guida!$B$23*MAX(0,MIN(1,(AE85-5.4)/1.6))+Guida!$B$24*0+Guida!$B$25*0,1)</f>
        <v>2.4</v>
      </c>
      <c r="C85" s="28" t="s">
        <v>726</v>
      </c>
      <c r="D85" s="25" t="s">
        <v>283</v>
      </c>
      <c r="E85" s="29" t="s">
        <v>287</v>
      </c>
      <c r="F85" s="30">
        <v>5.0</v>
      </c>
      <c r="G85" s="30">
        <v>4.0</v>
      </c>
      <c r="H85" s="30">
        <v>6.0</v>
      </c>
      <c r="I85" s="30">
        <f>MAX(1,ROUND(H85^Guida!$B$18*Guida!$F$14,0))</f>
        <v>10</v>
      </c>
      <c r="J85" s="30">
        <f t="shared" si="2"/>
        <v>12</v>
      </c>
      <c r="K85" s="25" t="str">
        <f t="shared" si="3"/>
        <v>3a fascia</v>
      </c>
      <c r="L85" s="25" t="s">
        <v>226</v>
      </c>
      <c r="M85" s="29" t="s">
        <v>281</v>
      </c>
      <c r="N85" s="25" t="s">
        <v>71</v>
      </c>
      <c r="O85" s="25" t="s">
        <v>71</v>
      </c>
      <c r="P85" s="30"/>
      <c r="Q85" s="32"/>
      <c r="R85" s="32"/>
      <c r="S85" s="30"/>
      <c r="T85" s="30"/>
      <c r="U85" s="25"/>
      <c r="V85" s="30"/>
      <c r="W85" s="30"/>
      <c r="X85" s="30">
        <v>0.0</v>
      </c>
      <c r="Y85" s="32"/>
      <c r="Z85" s="32"/>
      <c r="AA85" s="30"/>
      <c r="AB85" s="30"/>
      <c r="AC85" s="25" t="s">
        <v>283</v>
      </c>
      <c r="AD85" s="25" t="s">
        <v>73</v>
      </c>
      <c r="AE85" s="32">
        <f t="shared" si="4"/>
        <v>5.5</v>
      </c>
      <c r="AF85" s="29" t="s">
        <v>658</v>
      </c>
      <c r="AG85" s="30">
        <v>4.0</v>
      </c>
      <c r="AH85" s="30">
        <f t="shared" si="5"/>
        <v>80</v>
      </c>
      <c r="AI85" s="29"/>
    </row>
    <row r="86" ht="15.75" customHeight="1">
      <c r="A86" s="11">
        <f t="shared" si="1"/>
        <v>83</v>
      </c>
      <c r="B86" s="16">
        <f>ROUND(Guida!$B$22*H86/Guida!$B$31+Guida!$B$23*MAX(0,MIN(1,(AE86-5.4)/1.6))+Guida!$B$24*0+Guida!$B$25*0,1)</f>
        <v>2.2</v>
      </c>
      <c r="C86" s="17" t="s">
        <v>729</v>
      </c>
      <c r="D86" s="11" t="s">
        <v>177</v>
      </c>
      <c r="E86" s="18" t="s">
        <v>235</v>
      </c>
      <c r="F86" s="19">
        <v>4.0</v>
      </c>
      <c r="G86" s="19">
        <v>4.0</v>
      </c>
      <c r="H86" s="19">
        <v>5.0</v>
      </c>
      <c r="I86" s="19">
        <f>MAX(1,ROUND(H86^Guida!$B$18*Guida!$F$14,0))</f>
        <v>9</v>
      </c>
      <c r="J86" s="19">
        <f t="shared" si="2"/>
        <v>11</v>
      </c>
      <c r="K86" s="11" t="str">
        <f t="shared" si="3"/>
        <v>3a fascia</v>
      </c>
      <c r="L86" s="11" t="s">
        <v>332</v>
      </c>
      <c r="M86" s="18" t="s">
        <v>338</v>
      </c>
      <c r="N86" s="11" t="s">
        <v>71</v>
      </c>
      <c r="O86" s="11" t="s">
        <v>71</v>
      </c>
      <c r="P86" s="19"/>
      <c r="Q86" s="22"/>
      <c r="R86" s="22"/>
      <c r="S86" s="19"/>
      <c r="T86" s="19"/>
      <c r="U86" s="11"/>
      <c r="V86" s="19"/>
      <c r="W86" s="19"/>
      <c r="X86" s="19">
        <v>0.0</v>
      </c>
      <c r="Y86" s="22"/>
      <c r="Z86" s="22"/>
      <c r="AA86" s="19"/>
      <c r="AB86" s="19"/>
      <c r="AC86" s="11" t="s">
        <v>71</v>
      </c>
      <c r="AD86" s="11" t="s">
        <v>103</v>
      </c>
      <c r="AE86" s="22">
        <f t="shared" si="4"/>
        <v>5.5</v>
      </c>
      <c r="AF86" s="18" t="s">
        <v>733</v>
      </c>
      <c r="AG86" s="19">
        <v>5.0</v>
      </c>
      <c r="AH86" s="19">
        <f t="shared" si="5"/>
        <v>81</v>
      </c>
      <c r="AI86" s="18"/>
    </row>
    <row r="87" ht="15.75" customHeight="1">
      <c r="A87" s="25">
        <f t="shared" si="1"/>
        <v>83</v>
      </c>
      <c r="B87" s="27">
        <f>ROUND(Guida!$B$22*H87/Guida!$B$31+Guida!$B$23*MAX(0,MIN(1,(AE87-5.4)/1.6))+Guida!$B$24*0+Guida!$B$25*0,1)</f>
        <v>2.2</v>
      </c>
      <c r="C87" s="28" t="s">
        <v>736</v>
      </c>
      <c r="D87" s="25" t="s">
        <v>272</v>
      </c>
      <c r="E87" s="29" t="s">
        <v>287</v>
      </c>
      <c r="F87" s="30">
        <v>4.0</v>
      </c>
      <c r="G87" s="30">
        <v>4.0</v>
      </c>
      <c r="H87" s="30">
        <v>5.0</v>
      </c>
      <c r="I87" s="30">
        <f>MAX(1,ROUND(H87^Guida!$B$18*Guida!$F$14,0))</f>
        <v>9</v>
      </c>
      <c r="J87" s="30">
        <f t="shared" si="2"/>
        <v>11</v>
      </c>
      <c r="K87" s="25" t="str">
        <f t="shared" si="3"/>
        <v>3a fascia</v>
      </c>
      <c r="L87" s="25" t="s">
        <v>332</v>
      </c>
      <c r="M87" s="29" t="s">
        <v>338</v>
      </c>
      <c r="N87" s="25" t="s">
        <v>71</v>
      </c>
      <c r="O87" s="25" t="s">
        <v>71</v>
      </c>
      <c r="P87" s="30"/>
      <c r="Q87" s="32"/>
      <c r="R87" s="32"/>
      <c r="S87" s="30"/>
      <c r="T87" s="30"/>
      <c r="U87" s="25"/>
      <c r="V87" s="30"/>
      <c r="W87" s="30"/>
      <c r="X87" s="30">
        <v>0.0</v>
      </c>
      <c r="Y87" s="32"/>
      <c r="Z87" s="32"/>
      <c r="AA87" s="30"/>
      <c r="AB87" s="30"/>
      <c r="AC87" s="25" t="s">
        <v>71</v>
      </c>
      <c r="AD87" s="25" t="s">
        <v>103</v>
      </c>
      <c r="AE87" s="32">
        <f t="shared" si="4"/>
        <v>5.5</v>
      </c>
      <c r="AF87" s="29" t="s">
        <v>658</v>
      </c>
      <c r="AG87" s="30">
        <v>6.0</v>
      </c>
      <c r="AH87" s="30">
        <f t="shared" si="5"/>
        <v>81</v>
      </c>
      <c r="AI87" s="29"/>
    </row>
    <row r="88" ht="15.75" customHeight="1">
      <c r="A88" s="11">
        <f t="shared" si="1"/>
        <v>85</v>
      </c>
      <c r="B88" s="16">
        <f>ROUND(Guida!$B$22*H88/Guida!$B$31+Guida!$B$23*MAX(0,MIN(1,(AE88-5.4)/1.6))+Guida!$B$24*0+Guida!$B$25*0,1)</f>
        <v>2.1</v>
      </c>
      <c r="C88" s="17" t="s">
        <v>684</v>
      </c>
      <c r="D88" s="11" t="s">
        <v>239</v>
      </c>
      <c r="E88" s="18" t="s">
        <v>235</v>
      </c>
      <c r="F88" s="19">
        <v>1.0</v>
      </c>
      <c r="G88" s="19">
        <v>1.0</v>
      </c>
      <c r="H88" s="19">
        <v>2.0</v>
      </c>
      <c r="I88" s="19">
        <f>MAX(1,ROUND(H88^Guida!$B$18*Guida!$F$14,0))</f>
        <v>5</v>
      </c>
      <c r="J88" s="19">
        <f t="shared" si="2"/>
        <v>6</v>
      </c>
      <c r="K88" s="11" t="str">
        <f t="shared" si="3"/>
        <v>4a fascia</v>
      </c>
      <c r="L88" s="11" t="s">
        <v>332</v>
      </c>
      <c r="M88" s="36" t="s">
        <v>477</v>
      </c>
      <c r="N88" s="11" t="s">
        <v>71</v>
      </c>
      <c r="O88" s="11" t="s">
        <v>71</v>
      </c>
      <c r="P88" s="19">
        <v>3.0</v>
      </c>
      <c r="Q88" s="22">
        <v>5.67</v>
      </c>
      <c r="R88" s="22">
        <v>5.67</v>
      </c>
      <c r="S88" s="19">
        <v>0.0</v>
      </c>
      <c r="T88" s="19">
        <v>0.0</v>
      </c>
      <c r="U88" s="11" t="s">
        <v>72</v>
      </c>
      <c r="V88" s="19">
        <v>0.0</v>
      </c>
      <c r="W88" s="19">
        <v>0.0</v>
      </c>
      <c r="X88" s="19">
        <v>0.0</v>
      </c>
      <c r="Y88" s="22"/>
      <c r="Z88" s="22"/>
      <c r="AA88" s="19"/>
      <c r="AB88" s="19"/>
      <c r="AC88" s="11" t="s">
        <v>239</v>
      </c>
      <c r="AD88" s="11" t="s">
        <v>73</v>
      </c>
      <c r="AE88" s="22">
        <f t="shared" si="4"/>
        <v>5.52</v>
      </c>
      <c r="AF88" s="18" t="s">
        <v>643</v>
      </c>
      <c r="AG88" s="19">
        <v>6.0</v>
      </c>
      <c r="AH88" s="19">
        <f t="shared" si="5"/>
        <v>86</v>
      </c>
      <c r="AI88" s="18" t="s">
        <v>685</v>
      </c>
    </row>
    <row r="89" ht="15.75" customHeight="1">
      <c r="A89" s="25">
        <f t="shared" si="1"/>
        <v>86</v>
      </c>
      <c r="B89" s="27">
        <f>ROUND(Guida!$B$22*H89/Guida!$B$31+Guida!$B$23*MAX(0,MIN(1,(AE89-5.4)/1.6))+Guida!$B$24*0+Guida!$B$25*0,1)</f>
        <v>2</v>
      </c>
      <c r="C89" s="28" t="s">
        <v>752</v>
      </c>
      <c r="D89" s="25" t="s">
        <v>177</v>
      </c>
      <c r="E89" s="29" t="s">
        <v>287</v>
      </c>
      <c r="F89" s="30">
        <v>1.0</v>
      </c>
      <c r="G89" s="30">
        <v>1.0</v>
      </c>
      <c r="H89" s="30">
        <v>3.0</v>
      </c>
      <c r="I89" s="30">
        <f>MAX(1,ROUND(H89^Guida!$B$18*Guida!$F$14,0))</f>
        <v>7</v>
      </c>
      <c r="J89" s="30">
        <f t="shared" si="2"/>
        <v>8</v>
      </c>
      <c r="K89" s="25" t="str">
        <f t="shared" si="3"/>
        <v>3a fascia</v>
      </c>
      <c r="L89" s="25" t="s">
        <v>332</v>
      </c>
      <c r="M89" s="29" t="s">
        <v>338</v>
      </c>
      <c r="N89" s="25" t="s">
        <v>71</v>
      </c>
      <c r="O89" s="25" t="s">
        <v>71</v>
      </c>
      <c r="P89" s="30"/>
      <c r="Q89" s="32"/>
      <c r="R89" s="32"/>
      <c r="S89" s="30"/>
      <c r="T89" s="30"/>
      <c r="U89" s="25"/>
      <c r="V89" s="30"/>
      <c r="W89" s="30"/>
      <c r="X89" s="30">
        <v>0.0</v>
      </c>
      <c r="Y89" s="32"/>
      <c r="Z89" s="32"/>
      <c r="AA89" s="30"/>
      <c r="AB89" s="30"/>
      <c r="AC89" s="25" t="s">
        <v>71</v>
      </c>
      <c r="AD89" s="25" t="s">
        <v>103</v>
      </c>
      <c r="AE89" s="32">
        <f t="shared" si="4"/>
        <v>5.5</v>
      </c>
      <c r="AF89" s="29" t="s">
        <v>754</v>
      </c>
      <c r="AG89" s="30">
        <v>7.0</v>
      </c>
      <c r="AH89" s="30">
        <f t="shared" si="5"/>
        <v>84</v>
      </c>
      <c r="AI89" s="29"/>
    </row>
    <row r="90" ht="15.75" customHeight="1">
      <c r="A90" s="11">
        <f t="shared" si="1"/>
        <v>87</v>
      </c>
      <c r="B90" s="16">
        <f>ROUND(Guida!$B$22*H90/Guida!$B$31+Guida!$B$23*MAX(0,MIN(1,(AE90-5.4)/1.6))+Guida!$B$24*0+Guida!$B$25*0,1)</f>
        <v>1.7</v>
      </c>
      <c r="C90" s="17" t="s">
        <v>759</v>
      </c>
      <c r="D90" s="11" t="s">
        <v>283</v>
      </c>
      <c r="E90" s="18" t="s">
        <v>235</v>
      </c>
      <c r="F90" s="19">
        <v>1.0</v>
      </c>
      <c r="G90" s="19">
        <v>1.0</v>
      </c>
      <c r="H90" s="19">
        <v>1.0</v>
      </c>
      <c r="I90" s="19">
        <f>MAX(1,ROUND(H90^Guida!$B$18*Guida!$F$14,0))</f>
        <v>3</v>
      </c>
      <c r="J90" s="19">
        <f t="shared" si="2"/>
        <v>4</v>
      </c>
      <c r="K90" s="11" t="str">
        <f t="shared" si="3"/>
        <v>4a fascia</v>
      </c>
      <c r="L90" s="11" t="s">
        <v>332</v>
      </c>
      <c r="M90" s="18" t="s">
        <v>338</v>
      </c>
      <c r="N90" s="11" t="s">
        <v>71</v>
      </c>
      <c r="O90" s="11" t="s">
        <v>71</v>
      </c>
      <c r="P90" s="19"/>
      <c r="Q90" s="22"/>
      <c r="R90" s="22"/>
      <c r="S90" s="19"/>
      <c r="T90" s="19"/>
      <c r="U90" s="11"/>
      <c r="V90" s="19"/>
      <c r="W90" s="19"/>
      <c r="X90" s="19">
        <v>0.0</v>
      </c>
      <c r="Y90" s="22"/>
      <c r="Z90" s="22"/>
      <c r="AA90" s="19"/>
      <c r="AB90" s="19"/>
      <c r="AC90" s="11" t="s">
        <v>71</v>
      </c>
      <c r="AD90" s="11" t="s">
        <v>103</v>
      </c>
      <c r="AE90" s="22">
        <f t="shared" si="4"/>
        <v>5.5</v>
      </c>
      <c r="AF90" s="18" t="s">
        <v>761</v>
      </c>
      <c r="AG90" s="19">
        <v>4.0</v>
      </c>
      <c r="AH90" s="19">
        <f t="shared" si="5"/>
        <v>87</v>
      </c>
      <c r="AI90" s="18"/>
    </row>
    <row r="91" ht="15.75" customHeight="1">
      <c r="A91" s="25">
        <f t="shared" si="1"/>
        <v>87</v>
      </c>
      <c r="B91" s="27">
        <f>ROUND(Guida!$B$22*H91/Guida!$B$31+Guida!$B$23*MAX(0,MIN(1,(AE91-5.4)/1.6))+Guida!$B$24*0+Guida!$B$25*0,1)</f>
        <v>1.7</v>
      </c>
      <c r="C91" s="28" t="s">
        <v>765</v>
      </c>
      <c r="D91" s="25" t="s">
        <v>264</v>
      </c>
      <c r="E91" s="29" t="s">
        <v>235</v>
      </c>
      <c r="F91" s="30">
        <v>1.0</v>
      </c>
      <c r="G91" s="30">
        <v>1.0</v>
      </c>
      <c r="H91" s="30">
        <v>1.0</v>
      </c>
      <c r="I91" s="30">
        <f>MAX(1,ROUND(H91^Guida!$B$18*Guida!$F$14,0))</f>
        <v>3</v>
      </c>
      <c r="J91" s="30">
        <f t="shared" si="2"/>
        <v>4</v>
      </c>
      <c r="K91" s="25" t="str">
        <f t="shared" si="3"/>
        <v>4a fascia</v>
      </c>
      <c r="L91" s="25" t="s">
        <v>332</v>
      </c>
      <c r="M91" s="29" t="s">
        <v>338</v>
      </c>
      <c r="N91" s="25" t="s">
        <v>71</v>
      </c>
      <c r="O91" s="25" t="s">
        <v>71</v>
      </c>
      <c r="P91" s="30"/>
      <c r="Q91" s="32"/>
      <c r="R91" s="32"/>
      <c r="S91" s="30"/>
      <c r="T91" s="30"/>
      <c r="U91" s="25"/>
      <c r="V91" s="30"/>
      <c r="W91" s="30"/>
      <c r="X91" s="30">
        <v>0.0</v>
      </c>
      <c r="Y91" s="32"/>
      <c r="Z91" s="32"/>
      <c r="AA91" s="30"/>
      <c r="AB91" s="30"/>
      <c r="AC91" s="25" t="s">
        <v>71</v>
      </c>
      <c r="AD91" s="25" t="s">
        <v>103</v>
      </c>
      <c r="AE91" s="32">
        <f t="shared" si="4"/>
        <v>5.5</v>
      </c>
      <c r="AF91" s="29" t="s">
        <v>771</v>
      </c>
      <c r="AG91" s="30">
        <v>6.0</v>
      </c>
      <c r="AH91" s="30">
        <f t="shared" si="5"/>
        <v>87</v>
      </c>
      <c r="AI91" s="29"/>
    </row>
    <row r="92" ht="15.75" customHeight="1">
      <c r="A92" s="11">
        <f t="shared" si="1"/>
        <v>87</v>
      </c>
      <c r="B92" s="16">
        <f>ROUND(Guida!$B$22*H92/Guida!$B$31+Guida!$B$23*MAX(0,MIN(1,(AE92-5.4)/1.6))+Guida!$B$24*0+Guida!$B$25*0,1)</f>
        <v>1.7</v>
      </c>
      <c r="C92" s="17" t="s">
        <v>775</v>
      </c>
      <c r="D92" s="11" t="s">
        <v>264</v>
      </c>
      <c r="E92" s="18" t="s">
        <v>183</v>
      </c>
      <c r="F92" s="19">
        <v>1.0</v>
      </c>
      <c r="G92" s="19">
        <v>1.0</v>
      </c>
      <c r="H92" s="19">
        <v>1.0</v>
      </c>
      <c r="I92" s="19">
        <f>MAX(1,ROUND(H92^Guida!$B$18*Guida!$F$14,0))</f>
        <v>3</v>
      </c>
      <c r="J92" s="19">
        <f t="shared" si="2"/>
        <v>4</v>
      </c>
      <c r="K92" s="11" t="str">
        <f t="shared" si="3"/>
        <v>4a fascia</v>
      </c>
      <c r="L92" s="11" t="s">
        <v>332</v>
      </c>
      <c r="M92" s="18" t="s">
        <v>338</v>
      </c>
      <c r="N92" s="11" t="s">
        <v>71</v>
      </c>
      <c r="O92" s="11" t="s">
        <v>71</v>
      </c>
      <c r="P92" s="19"/>
      <c r="Q92" s="22"/>
      <c r="R92" s="22"/>
      <c r="S92" s="19"/>
      <c r="T92" s="19"/>
      <c r="U92" s="11"/>
      <c r="V92" s="19"/>
      <c r="W92" s="19"/>
      <c r="X92" s="19">
        <v>0.0</v>
      </c>
      <c r="Y92" s="22"/>
      <c r="Z92" s="22"/>
      <c r="AA92" s="19"/>
      <c r="AB92" s="19"/>
      <c r="AC92" s="11" t="s">
        <v>71</v>
      </c>
      <c r="AD92" s="11" t="s">
        <v>103</v>
      </c>
      <c r="AE92" s="22">
        <f t="shared" si="4"/>
        <v>5.5</v>
      </c>
      <c r="AF92" s="18" t="s">
        <v>771</v>
      </c>
      <c r="AG92" s="19">
        <v>6.0</v>
      </c>
      <c r="AH92" s="19">
        <f t="shared" si="5"/>
        <v>87</v>
      </c>
      <c r="AI92" s="18"/>
    </row>
    <row r="93" ht="15.75" customHeight="1"/>
    <row r="94" ht="15.75" customHeight="1">
      <c r="A94" s="39" t="s">
        <v>493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I$92"/>
  <conditionalFormatting sqref="B4:B9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4:AG9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4:L92">
    <cfRule type="cellIs" dxfId="0" priority="3" operator="equal">
      <formula>"Titolare"</formula>
    </cfRule>
  </conditionalFormatting>
  <conditionalFormatting sqref="L4:L92">
    <cfRule type="cellIs" dxfId="1" priority="4" operator="equal">
      <formula>"Riserva"</formula>
    </cfRule>
  </conditionalFormatting>
  <conditionalFormatting sqref="N4:N92">
    <cfRule type="cellIs" dxfId="2" priority="5" operator="equal">
      <formula>"1o"</formula>
    </cfRule>
  </conditionalFormatting>
  <conditionalFormatting sqref="X4:X92">
    <cfRule type="colorScale" priority="6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4" width="22.0"/>
    <col customWidth="1" min="5" max="5" width="12.0"/>
    <col customWidth="1" min="6" max="7" width="9.0"/>
    <col customWidth="1" min="8" max="9" width="14.0"/>
    <col customWidth="1" min="10" max="10" width="12.0"/>
    <col customWidth="1" min="11" max="21" width="8.43"/>
    <col customWidth="1" min="22" max="26" width="8.71"/>
  </cols>
  <sheetData>
    <row r="1">
      <c r="A1" s="2" t="s">
        <v>554</v>
      </c>
    </row>
    <row r="2">
      <c r="A2" s="4" t="s">
        <v>555</v>
      </c>
    </row>
    <row r="4">
      <c r="A4" s="40" t="s">
        <v>556</v>
      </c>
    </row>
    <row r="6" ht="42.0" customHeight="1">
      <c r="B6" s="41" t="s">
        <v>143</v>
      </c>
      <c r="C6" s="41" t="s">
        <v>182</v>
      </c>
      <c r="D6" s="41" t="s">
        <v>239</v>
      </c>
      <c r="E6" s="41" t="s">
        <v>133</v>
      </c>
      <c r="F6" s="41" t="s">
        <v>208</v>
      </c>
      <c r="G6" s="41" t="s">
        <v>261</v>
      </c>
      <c r="H6" s="41" t="s">
        <v>177</v>
      </c>
      <c r="I6" s="41" t="s">
        <v>64</v>
      </c>
      <c r="J6" s="41" t="s">
        <v>93</v>
      </c>
      <c r="K6" s="41" t="s">
        <v>195</v>
      </c>
      <c r="L6" s="41" t="s">
        <v>232</v>
      </c>
      <c r="M6" s="41" t="s">
        <v>175</v>
      </c>
      <c r="N6" s="41" t="s">
        <v>272</v>
      </c>
      <c r="O6" s="41" t="s">
        <v>191</v>
      </c>
      <c r="P6" s="41" t="s">
        <v>283</v>
      </c>
      <c r="Q6" s="41" t="s">
        <v>60</v>
      </c>
      <c r="R6" s="41" t="s">
        <v>253</v>
      </c>
      <c r="S6" s="41" t="s">
        <v>212</v>
      </c>
      <c r="T6" s="41" t="s">
        <v>185</v>
      </c>
      <c r="U6" s="41" t="s">
        <v>264</v>
      </c>
    </row>
    <row r="7">
      <c r="A7" s="42" t="s">
        <v>143</v>
      </c>
      <c r="B7" s="25"/>
      <c r="C7" s="25">
        <v>6.0</v>
      </c>
      <c r="D7" s="25">
        <v>6.0</v>
      </c>
      <c r="E7" s="25">
        <v>10.0</v>
      </c>
      <c r="F7" s="25">
        <v>8.0</v>
      </c>
      <c r="G7" s="25">
        <v>5.0</v>
      </c>
      <c r="H7" s="25">
        <v>8.0</v>
      </c>
      <c r="I7" s="25">
        <v>8.0</v>
      </c>
      <c r="J7" s="25">
        <v>10.0</v>
      </c>
      <c r="K7" s="25">
        <v>12.0</v>
      </c>
      <c r="L7" s="25">
        <v>13.0</v>
      </c>
      <c r="M7" s="25">
        <v>11.0</v>
      </c>
      <c r="N7" s="25">
        <v>7.0</v>
      </c>
      <c r="O7" s="25">
        <v>11.0</v>
      </c>
      <c r="P7" s="25">
        <v>7.0</v>
      </c>
      <c r="Q7" s="25">
        <v>7.0</v>
      </c>
      <c r="R7" s="25">
        <v>14.0</v>
      </c>
      <c r="S7" s="25">
        <v>9.0</v>
      </c>
      <c r="T7" s="25">
        <v>10.0</v>
      </c>
      <c r="U7" s="25">
        <v>9.0</v>
      </c>
    </row>
    <row r="8">
      <c r="A8" s="42" t="s">
        <v>182</v>
      </c>
      <c r="B8" s="25">
        <v>6.0</v>
      </c>
      <c r="C8" s="25"/>
      <c r="D8" s="25">
        <v>9.0</v>
      </c>
      <c r="E8" s="25">
        <v>12.0</v>
      </c>
      <c r="F8" s="25">
        <v>10.0</v>
      </c>
      <c r="G8" s="25">
        <v>11.0</v>
      </c>
      <c r="H8" s="25">
        <v>7.0</v>
      </c>
      <c r="I8" s="25">
        <v>9.0</v>
      </c>
      <c r="J8" s="25">
        <v>11.0</v>
      </c>
      <c r="K8" s="25">
        <v>7.0</v>
      </c>
      <c r="L8" s="25">
        <v>6.0</v>
      </c>
      <c r="M8" s="25">
        <v>10.0</v>
      </c>
      <c r="N8" s="25">
        <v>13.0</v>
      </c>
      <c r="O8" s="25">
        <v>6.0</v>
      </c>
      <c r="P8" s="25">
        <v>11.0</v>
      </c>
      <c r="Q8" s="25">
        <v>12.0</v>
      </c>
      <c r="R8" s="25">
        <v>6.0</v>
      </c>
      <c r="S8" s="25">
        <v>8.0</v>
      </c>
      <c r="T8" s="25">
        <v>10.0</v>
      </c>
      <c r="U8" s="25">
        <v>7.0</v>
      </c>
    </row>
    <row r="9">
      <c r="A9" s="42" t="s">
        <v>239</v>
      </c>
      <c r="B9" s="25">
        <v>6.0</v>
      </c>
      <c r="C9" s="25">
        <v>9.0</v>
      </c>
      <c r="D9" s="25"/>
      <c r="E9" s="25">
        <v>11.0</v>
      </c>
      <c r="F9" s="25">
        <v>6.0</v>
      </c>
      <c r="G9" s="25">
        <v>8.0</v>
      </c>
      <c r="H9" s="25">
        <v>10.0</v>
      </c>
      <c r="I9" s="25">
        <v>12.0</v>
      </c>
      <c r="J9" s="25">
        <v>8.0</v>
      </c>
      <c r="K9" s="25">
        <v>11.0</v>
      </c>
      <c r="L9" s="25">
        <v>10.0</v>
      </c>
      <c r="M9" s="25">
        <v>7.0</v>
      </c>
      <c r="N9" s="25">
        <v>9.0</v>
      </c>
      <c r="O9" s="25">
        <v>12.0</v>
      </c>
      <c r="P9" s="25">
        <v>10.0</v>
      </c>
      <c r="Q9" s="25">
        <v>8.0</v>
      </c>
      <c r="R9" s="25">
        <v>8.0</v>
      </c>
      <c r="S9" s="25">
        <v>11.0</v>
      </c>
      <c r="T9" s="25">
        <v>9.0</v>
      </c>
      <c r="U9" s="25">
        <v>6.0</v>
      </c>
    </row>
    <row r="10">
      <c r="A10" s="42" t="s">
        <v>133</v>
      </c>
      <c r="B10" s="25">
        <v>10.0</v>
      </c>
      <c r="C10" s="25">
        <v>12.0</v>
      </c>
      <c r="D10" s="25">
        <v>11.0</v>
      </c>
      <c r="E10" s="25"/>
      <c r="F10" s="25">
        <v>6.0</v>
      </c>
      <c r="G10" s="25">
        <v>6.0</v>
      </c>
      <c r="H10" s="25">
        <v>7.0</v>
      </c>
      <c r="I10" s="25">
        <v>10.0</v>
      </c>
      <c r="J10" s="25">
        <v>8.0</v>
      </c>
      <c r="K10" s="25">
        <v>10.0</v>
      </c>
      <c r="L10" s="25">
        <v>13.0</v>
      </c>
      <c r="M10" s="25">
        <v>9.0</v>
      </c>
      <c r="N10" s="25">
        <v>9.0</v>
      </c>
      <c r="O10" s="25">
        <v>7.0</v>
      </c>
      <c r="P10" s="25">
        <v>7.0</v>
      </c>
      <c r="Q10" s="25">
        <v>9.0</v>
      </c>
      <c r="R10" s="25">
        <v>11.0</v>
      </c>
      <c r="S10" s="25">
        <v>11.0</v>
      </c>
      <c r="T10" s="25">
        <v>8.0</v>
      </c>
      <c r="U10" s="25">
        <v>7.0</v>
      </c>
    </row>
    <row r="11">
      <c r="A11" s="42" t="s">
        <v>208</v>
      </c>
      <c r="B11" s="25">
        <v>8.0</v>
      </c>
      <c r="C11" s="25">
        <v>10.0</v>
      </c>
      <c r="D11" s="25">
        <v>6.0</v>
      </c>
      <c r="E11" s="25">
        <v>6.0</v>
      </c>
      <c r="F11" s="25"/>
      <c r="G11" s="25">
        <v>10.0</v>
      </c>
      <c r="H11" s="25">
        <v>8.0</v>
      </c>
      <c r="I11" s="25">
        <v>10.0</v>
      </c>
      <c r="J11" s="25">
        <v>11.0</v>
      </c>
      <c r="K11" s="25">
        <v>6.0</v>
      </c>
      <c r="L11" s="25">
        <v>6.0</v>
      </c>
      <c r="M11" s="25">
        <v>9.0</v>
      </c>
      <c r="N11" s="25">
        <v>12.0</v>
      </c>
      <c r="O11" s="25">
        <v>7.0</v>
      </c>
      <c r="P11" s="25">
        <v>12.0</v>
      </c>
      <c r="Q11" s="25">
        <v>13.0</v>
      </c>
      <c r="R11" s="25">
        <v>7.0</v>
      </c>
      <c r="S11" s="25">
        <v>8.0</v>
      </c>
      <c r="T11" s="25">
        <v>11.0</v>
      </c>
      <c r="U11" s="25">
        <v>11.0</v>
      </c>
    </row>
    <row r="12">
      <c r="A12" s="42" t="s">
        <v>261</v>
      </c>
      <c r="B12" s="25">
        <v>5.0</v>
      </c>
      <c r="C12" s="25">
        <v>11.0</v>
      </c>
      <c r="D12" s="25">
        <v>8.0</v>
      </c>
      <c r="E12" s="25">
        <v>6.0</v>
      </c>
      <c r="F12" s="25">
        <v>10.0</v>
      </c>
      <c r="G12" s="25"/>
      <c r="H12" s="25">
        <v>14.0</v>
      </c>
      <c r="I12" s="25">
        <v>10.0</v>
      </c>
      <c r="J12" s="25">
        <v>9.0</v>
      </c>
      <c r="K12" s="25">
        <v>7.0</v>
      </c>
      <c r="L12" s="25">
        <v>7.0</v>
      </c>
      <c r="M12" s="25">
        <v>9.0</v>
      </c>
      <c r="N12" s="25">
        <v>7.0</v>
      </c>
      <c r="O12" s="25">
        <v>6.0</v>
      </c>
      <c r="P12" s="25">
        <v>11.0</v>
      </c>
      <c r="Q12" s="25">
        <v>12.0</v>
      </c>
      <c r="R12" s="25">
        <v>6.0</v>
      </c>
      <c r="S12" s="25">
        <v>10.0</v>
      </c>
      <c r="T12" s="25">
        <v>10.0</v>
      </c>
      <c r="U12" s="25">
        <v>13.0</v>
      </c>
    </row>
    <row r="13">
      <c r="A13" s="42" t="s">
        <v>177</v>
      </c>
      <c r="B13" s="25">
        <v>8.0</v>
      </c>
      <c r="C13" s="25">
        <v>7.0</v>
      </c>
      <c r="D13" s="25">
        <v>10.0</v>
      </c>
      <c r="E13" s="25">
        <v>7.0</v>
      </c>
      <c r="F13" s="25">
        <v>8.0</v>
      </c>
      <c r="G13" s="25">
        <v>14.0</v>
      </c>
      <c r="H13" s="25"/>
      <c r="I13" s="25">
        <v>12.0</v>
      </c>
      <c r="J13" s="25">
        <v>5.0</v>
      </c>
      <c r="K13" s="25">
        <v>9.0</v>
      </c>
      <c r="L13" s="25">
        <v>8.0</v>
      </c>
      <c r="M13" s="25">
        <v>7.0</v>
      </c>
      <c r="N13" s="25">
        <v>7.0</v>
      </c>
      <c r="O13" s="25">
        <v>10.0</v>
      </c>
      <c r="P13" s="25">
        <v>9.0</v>
      </c>
      <c r="Q13" s="25">
        <v>10.0</v>
      </c>
      <c r="R13" s="25">
        <v>7.0</v>
      </c>
      <c r="S13" s="25">
        <v>14.0</v>
      </c>
      <c r="T13" s="25">
        <v>7.0</v>
      </c>
      <c r="U13" s="25">
        <v>12.0</v>
      </c>
    </row>
    <row r="14">
      <c r="A14" s="42" t="s">
        <v>64</v>
      </c>
      <c r="B14" s="25">
        <v>8.0</v>
      </c>
      <c r="C14" s="25">
        <v>9.0</v>
      </c>
      <c r="D14" s="25">
        <v>12.0</v>
      </c>
      <c r="E14" s="25">
        <v>10.0</v>
      </c>
      <c r="F14" s="25">
        <v>10.0</v>
      </c>
      <c r="G14" s="25">
        <v>10.0</v>
      </c>
      <c r="H14" s="25">
        <v>12.0</v>
      </c>
      <c r="I14" s="25"/>
      <c r="J14" s="25">
        <v>7.0</v>
      </c>
      <c r="K14" s="25">
        <v>7.0</v>
      </c>
      <c r="L14" s="25">
        <v>8.0</v>
      </c>
      <c r="M14" s="25">
        <v>0.0</v>
      </c>
      <c r="N14" s="25">
        <v>7.0</v>
      </c>
      <c r="O14" s="25">
        <v>10.0</v>
      </c>
      <c r="P14" s="25">
        <v>13.0</v>
      </c>
      <c r="Q14" s="25">
        <v>12.0</v>
      </c>
      <c r="R14" s="25">
        <v>4.0</v>
      </c>
      <c r="S14" s="25">
        <v>12.0</v>
      </c>
      <c r="T14" s="25">
        <v>12.0</v>
      </c>
      <c r="U14" s="25">
        <v>8.0</v>
      </c>
    </row>
    <row r="15">
      <c r="A15" s="42" t="s">
        <v>93</v>
      </c>
      <c r="B15" s="25">
        <v>10.0</v>
      </c>
      <c r="C15" s="25">
        <v>11.0</v>
      </c>
      <c r="D15" s="25">
        <v>8.0</v>
      </c>
      <c r="E15" s="25">
        <v>8.0</v>
      </c>
      <c r="F15" s="25">
        <v>11.0</v>
      </c>
      <c r="G15" s="25">
        <v>9.0</v>
      </c>
      <c r="H15" s="25">
        <v>5.0</v>
      </c>
      <c r="I15" s="25">
        <v>7.0</v>
      </c>
      <c r="J15" s="25"/>
      <c r="K15" s="25">
        <v>13.0</v>
      </c>
      <c r="L15" s="25">
        <v>12.0</v>
      </c>
      <c r="M15" s="25">
        <v>12.0</v>
      </c>
      <c r="N15" s="25">
        <v>10.0</v>
      </c>
      <c r="O15" s="25">
        <v>12.0</v>
      </c>
      <c r="P15" s="25">
        <v>10.0</v>
      </c>
      <c r="Q15" s="25">
        <v>6.0</v>
      </c>
      <c r="R15" s="25">
        <v>10.0</v>
      </c>
      <c r="S15" s="25">
        <v>0.0</v>
      </c>
      <c r="T15" s="25">
        <v>9.0</v>
      </c>
      <c r="U15" s="25">
        <v>8.0</v>
      </c>
    </row>
    <row r="16">
      <c r="A16" s="42" t="s">
        <v>195</v>
      </c>
      <c r="B16" s="25">
        <v>12.0</v>
      </c>
      <c r="C16" s="25">
        <v>7.0</v>
      </c>
      <c r="D16" s="25">
        <v>11.0</v>
      </c>
      <c r="E16" s="25">
        <v>10.0</v>
      </c>
      <c r="F16" s="25">
        <v>6.0</v>
      </c>
      <c r="G16" s="25">
        <v>7.0</v>
      </c>
      <c r="H16" s="25">
        <v>9.0</v>
      </c>
      <c r="I16" s="25">
        <v>7.0</v>
      </c>
      <c r="J16" s="25">
        <v>13.0</v>
      </c>
      <c r="K16" s="25"/>
      <c r="L16" s="25">
        <v>13.0</v>
      </c>
      <c r="M16" s="25">
        <v>12.0</v>
      </c>
      <c r="N16" s="25">
        <v>7.0</v>
      </c>
      <c r="O16" s="25">
        <v>16.0</v>
      </c>
      <c r="P16" s="25">
        <v>7.0</v>
      </c>
      <c r="Q16" s="25">
        <v>0.0</v>
      </c>
      <c r="R16" s="25">
        <v>12.0</v>
      </c>
      <c r="S16" s="25">
        <v>6.0</v>
      </c>
      <c r="T16" s="25">
        <v>8.0</v>
      </c>
      <c r="U16" s="25">
        <v>8.0</v>
      </c>
    </row>
    <row r="17">
      <c r="A17" s="42" t="s">
        <v>232</v>
      </c>
      <c r="B17" s="25">
        <v>13.0</v>
      </c>
      <c r="C17" s="25">
        <v>6.0</v>
      </c>
      <c r="D17" s="25">
        <v>10.0</v>
      </c>
      <c r="E17" s="25">
        <v>13.0</v>
      </c>
      <c r="F17" s="25">
        <v>6.0</v>
      </c>
      <c r="G17" s="25">
        <v>7.0</v>
      </c>
      <c r="H17" s="25">
        <v>8.0</v>
      </c>
      <c r="I17" s="25">
        <v>8.0</v>
      </c>
      <c r="J17" s="25">
        <v>12.0</v>
      </c>
      <c r="K17" s="25">
        <v>13.0</v>
      </c>
      <c r="L17" s="25"/>
      <c r="M17" s="25">
        <v>11.0</v>
      </c>
      <c r="N17" s="25">
        <v>6.0</v>
      </c>
      <c r="O17" s="25">
        <v>11.0</v>
      </c>
      <c r="P17" s="25">
        <v>4.0</v>
      </c>
      <c r="Q17" s="25">
        <v>6.0</v>
      </c>
      <c r="R17" s="25">
        <v>14.0</v>
      </c>
      <c r="S17" s="25">
        <v>7.0</v>
      </c>
      <c r="T17" s="25">
        <v>7.0</v>
      </c>
      <c r="U17" s="25">
        <v>9.0</v>
      </c>
    </row>
    <row r="18">
      <c r="A18" s="42" t="s">
        <v>175</v>
      </c>
      <c r="B18" s="25">
        <v>11.0</v>
      </c>
      <c r="C18" s="25">
        <v>10.0</v>
      </c>
      <c r="D18" s="25">
        <v>7.0</v>
      </c>
      <c r="E18" s="25">
        <v>9.0</v>
      </c>
      <c r="F18" s="25">
        <v>9.0</v>
      </c>
      <c r="G18" s="25">
        <v>9.0</v>
      </c>
      <c r="H18" s="25">
        <v>7.0</v>
      </c>
      <c r="I18" s="25">
        <v>0.0</v>
      </c>
      <c r="J18" s="25">
        <v>12.0</v>
      </c>
      <c r="K18" s="25">
        <v>12.0</v>
      </c>
      <c r="L18" s="25">
        <v>11.0</v>
      </c>
      <c r="M18" s="25"/>
      <c r="N18" s="25">
        <v>12.0</v>
      </c>
      <c r="O18" s="25">
        <v>9.0</v>
      </c>
      <c r="P18" s="25">
        <v>6.0</v>
      </c>
      <c r="Q18" s="25">
        <v>7.0</v>
      </c>
      <c r="R18" s="25">
        <v>15.0</v>
      </c>
      <c r="S18" s="25">
        <v>7.0</v>
      </c>
      <c r="T18" s="25">
        <v>7.0</v>
      </c>
      <c r="U18" s="25">
        <v>11.0</v>
      </c>
    </row>
    <row r="19">
      <c r="A19" s="42" t="s">
        <v>272</v>
      </c>
      <c r="B19" s="25">
        <v>7.0</v>
      </c>
      <c r="C19" s="25">
        <v>13.0</v>
      </c>
      <c r="D19" s="25">
        <v>9.0</v>
      </c>
      <c r="E19" s="25">
        <v>9.0</v>
      </c>
      <c r="F19" s="25">
        <v>12.0</v>
      </c>
      <c r="G19" s="25">
        <v>7.0</v>
      </c>
      <c r="H19" s="25">
        <v>7.0</v>
      </c>
      <c r="I19" s="25">
        <v>7.0</v>
      </c>
      <c r="J19" s="25">
        <v>10.0</v>
      </c>
      <c r="K19" s="25">
        <v>7.0</v>
      </c>
      <c r="L19" s="25">
        <v>6.0</v>
      </c>
      <c r="M19" s="25">
        <v>12.0</v>
      </c>
      <c r="N19" s="25"/>
      <c r="O19" s="25">
        <v>10.0</v>
      </c>
      <c r="P19" s="25">
        <v>9.0</v>
      </c>
      <c r="Q19" s="25">
        <v>12.0</v>
      </c>
      <c r="R19" s="25">
        <v>10.0</v>
      </c>
      <c r="S19" s="25">
        <v>9.0</v>
      </c>
      <c r="T19" s="25">
        <v>9.0</v>
      </c>
      <c r="U19" s="25">
        <v>6.0</v>
      </c>
    </row>
    <row r="20">
      <c r="A20" s="42" t="s">
        <v>191</v>
      </c>
      <c r="B20" s="25">
        <v>11.0</v>
      </c>
      <c r="C20" s="25">
        <v>6.0</v>
      </c>
      <c r="D20" s="25">
        <v>12.0</v>
      </c>
      <c r="E20" s="25">
        <v>7.0</v>
      </c>
      <c r="F20" s="25">
        <v>7.0</v>
      </c>
      <c r="G20" s="25">
        <v>6.0</v>
      </c>
      <c r="H20" s="25">
        <v>10.0</v>
      </c>
      <c r="I20" s="25">
        <v>10.0</v>
      </c>
      <c r="J20" s="25">
        <v>12.0</v>
      </c>
      <c r="K20" s="25">
        <v>16.0</v>
      </c>
      <c r="L20" s="25">
        <v>11.0</v>
      </c>
      <c r="M20" s="25">
        <v>9.0</v>
      </c>
      <c r="N20" s="25">
        <v>10.0</v>
      </c>
      <c r="O20" s="25"/>
      <c r="P20" s="25">
        <v>8.0</v>
      </c>
      <c r="Q20" s="25">
        <v>3.0</v>
      </c>
      <c r="R20" s="25">
        <v>11.0</v>
      </c>
      <c r="S20" s="25">
        <v>7.0</v>
      </c>
      <c r="T20" s="25">
        <v>8.0</v>
      </c>
      <c r="U20" s="25">
        <v>7.0</v>
      </c>
    </row>
    <row r="21" ht="15.75" customHeight="1">
      <c r="A21" s="42" t="s">
        <v>283</v>
      </c>
      <c r="B21" s="25">
        <v>7.0</v>
      </c>
      <c r="C21" s="25">
        <v>11.0</v>
      </c>
      <c r="D21" s="25">
        <v>10.0</v>
      </c>
      <c r="E21" s="25">
        <v>7.0</v>
      </c>
      <c r="F21" s="25">
        <v>12.0</v>
      </c>
      <c r="G21" s="25">
        <v>11.0</v>
      </c>
      <c r="H21" s="25">
        <v>9.0</v>
      </c>
      <c r="I21" s="25">
        <v>13.0</v>
      </c>
      <c r="J21" s="25">
        <v>10.0</v>
      </c>
      <c r="K21" s="25">
        <v>7.0</v>
      </c>
      <c r="L21" s="25">
        <v>4.0</v>
      </c>
      <c r="M21" s="25">
        <v>6.0</v>
      </c>
      <c r="N21" s="25">
        <v>9.0</v>
      </c>
      <c r="O21" s="25">
        <v>8.0</v>
      </c>
      <c r="P21" s="25"/>
      <c r="Q21" s="25">
        <v>12.0</v>
      </c>
      <c r="R21" s="25">
        <v>4.0</v>
      </c>
      <c r="S21" s="25">
        <v>9.0</v>
      </c>
      <c r="T21" s="25">
        <v>11.0</v>
      </c>
      <c r="U21" s="25">
        <v>11.0</v>
      </c>
    </row>
    <row r="22" ht="15.75" customHeight="1">
      <c r="A22" s="42" t="s">
        <v>60</v>
      </c>
      <c r="B22" s="25">
        <v>7.0</v>
      </c>
      <c r="C22" s="25">
        <v>12.0</v>
      </c>
      <c r="D22" s="25">
        <v>8.0</v>
      </c>
      <c r="E22" s="25">
        <v>9.0</v>
      </c>
      <c r="F22" s="25">
        <v>13.0</v>
      </c>
      <c r="G22" s="25">
        <v>12.0</v>
      </c>
      <c r="H22" s="25">
        <v>10.0</v>
      </c>
      <c r="I22" s="25">
        <v>12.0</v>
      </c>
      <c r="J22" s="25">
        <v>6.0</v>
      </c>
      <c r="K22" s="25">
        <v>0.0</v>
      </c>
      <c r="L22" s="25">
        <v>6.0</v>
      </c>
      <c r="M22" s="25">
        <v>7.0</v>
      </c>
      <c r="N22" s="25">
        <v>12.0</v>
      </c>
      <c r="O22" s="25">
        <v>3.0</v>
      </c>
      <c r="P22" s="25">
        <v>12.0</v>
      </c>
      <c r="Q22" s="25"/>
      <c r="R22" s="25">
        <v>7.0</v>
      </c>
      <c r="S22" s="25">
        <v>13.0</v>
      </c>
      <c r="T22" s="25">
        <v>11.0</v>
      </c>
      <c r="U22" s="25">
        <v>11.0</v>
      </c>
    </row>
    <row r="23" ht="15.75" customHeight="1">
      <c r="A23" s="42" t="s">
        <v>253</v>
      </c>
      <c r="B23" s="25">
        <v>14.0</v>
      </c>
      <c r="C23" s="25">
        <v>6.0</v>
      </c>
      <c r="D23" s="25">
        <v>8.0</v>
      </c>
      <c r="E23" s="25">
        <v>11.0</v>
      </c>
      <c r="F23" s="25">
        <v>7.0</v>
      </c>
      <c r="G23" s="25">
        <v>6.0</v>
      </c>
      <c r="H23" s="25">
        <v>7.0</v>
      </c>
      <c r="I23" s="25">
        <v>4.0</v>
      </c>
      <c r="J23" s="25">
        <v>10.0</v>
      </c>
      <c r="K23" s="25">
        <v>12.0</v>
      </c>
      <c r="L23" s="25">
        <v>14.0</v>
      </c>
      <c r="M23" s="25">
        <v>15.0</v>
      </c>
      <c r="N23" s="25">
        <v>10.0</v>
      </c>
      <c r="O23" s="25">
        <v>11.0</v>
      </c>
      <c r="P23" s="25">
        <v>4.0</v>
      </c>
      <c r="Q23" s="25">
        <v>7.0</v>
      </c>
      <c r="R23" s="25"/>
      <c r="S23" s="25">
        <v>9.0</v>
      </c>
      <c r="T23" s="25">
        <v>7.0</v>
      </c>
      <c r="U23" s="25">
        <v>9.0</v>
      </c>
    </row>
    <row r="24" ht="15.75" customHeight="1">
      <c r="A24" s="42" t="s">
        <v>212</v>
      </c>
      <c r="B24" s="25">
        <v>9.0</v>
      </c>
      <c r="C24" s="25">
        <v>8.0</v>
      </c>
      <c r="D24" s="25">
        <v>11.0</v>
      </c>
      <c r="E24" s="25">
        <v>11.0</v>
      </c>
      <c r="F24" s="25">
        <v>8.0</v>
      </c>
      <c r="G24" s="25">
        <v>10.0</v>
      </c>
      <c r="H24" s="25">
        <v>14.0</v>
      </c>
      <c r="I24" s="25">
        <v>12.0</v>
      </c>
      <c r="J24" s="25">
        <v>0.0</v>
      </c>
      <c r="K24" s="25">
        <v>6.0</v>
      </c>
      <c r="L24" s="25">
        <v>7.0</v>
      </c>
      <c r="M24" s="25">
        <v>7.0</v>
      </c>
      <c r="N24" s="25">
        <v>9.0</v>
      </c>
      <c r="O24" s="25">
        <v>7.0</v>
      </c>
      <c r="P24" s="25">
        <v>9.0</v>
      </c>
      <c r="Q24" s="25">
        <v>13.0</v>
      </c>
      <c r="R24" s="25">
        <v>9.0</v>
      </c>
      <c r="S24" s="25"/>
      <c r="T24" s="25">
        <v>10.0</v>
      </c>
      <c r="U24" s="25">
        <v>11.0</v>
      </c>
    </row>
    <row r="25" ht="15.75" customHeight="1">
      <c r="A25" s="42" t="s">
        <v>185</v>
      </c>
      <c r="B25" s="25">
        <v>10.0</v>
      </c>
      <c r="C25" s="25">
        <v>10.0</v>
      </c>
      <c r="D25" s="25">
        <v>9.0</v>
      </c>
      <c r="E25" s="25">
        <v>8.0</v>
      </c>
      <c r="F25" s="25">
        <v>11.0</v>
      </c>
      <c r="G25" s="25">
        <v>10.0</v>
      </c>
      <c r="H25" s="25">
        <v>7.0</v>
      </c>
      <c r="I25" s="25">
        <v>12.0</v>
      </c>
      <c r="J25" s="25">
        <v>9.0</v>
      </c>
      <c r="K25" s="25">
        <v>8.0</v>
      </c>
      <c r="L25" s="25">
        <v>7.0</v>
      </c>
      <c r="M25" s="25">
        <v>7.0</v>
      </c>
      <c r="N25" s="25">
        <v>9.0</v>
      </c>
      <c r="O25" s="25">
        <v>8.0</v>
      </c>
      <c r="P25" s="25">
        <v>11.0</v>
      </c>
      <c r="Q25" s="25">
        <v>11.0</v>
      </c>
      <c r="R25" s="25">
        <v>7.0</v>
      </c>
      <c r="S25" s="25">
        <v>10.0</v>
      </c>
      <c r="T25" s="25"/>
      <c r="U25" s="25">
        <v>7.0</v>
      </c>
    </row>
    <row r="26" ht="15.75" customHeight="1">
      <c r="A26" s="42" t="s">
        <v>264</v>
      </c>
      <c r="B26" s="25">
        <v>9.0</v>
      </c>
      <c r="C26" s="25">
        <v>7.0</v>
      </c>
      <c r="D26" s="25">
        <v>6.0</v>
      </c>
      <c r="E26" s="25">
        <v>7.0</v>
      </c>
      <c r="F26" s="25">
        <v>11.0</v>
      </c>
      <c r="G26" s="25">
        <v>13.0</v>
      </c>
      <c r="H26" s="25">
        <v>12.0</v>
      </c>
      <c r="I26" s="25">
        <v>8.0</v>
      </c>
      <c r="J26" s="25">
        <v>8.0</v>
      </c>
      <c r="K26" s="25">
        <v>8.0</v>
      </c>
      <c r="L26" s="25">
        <v>9.0</v>
      </c>
      <c r="M26" s="25">
        <v>11.0</v>
      </c>
      <c r="N26" s="25">
        <v>6.0</v>
      </c>
      <c r="O26" s="25">
        <v>7.0</v>
      </c>
      <c r="P26" s="25">
        <v>11.0</v>
      </c>
      <c r="Q26" s="25">
        <v>11.0</v>
      </c>
      <c r="R26" s="25">
        <v>9.0</v>
      </c>
      <c r="S26" s="25">
        <v>11.0</v>
      </c>
      <c r="T26" s="25">
        <v>7.0</v>
      </c>
      <c r="U26" s="25"/>
    </row>
    <row r="27" ht="15.75" customHeight="1"/>
    <row r="28" ht="15.75" customHeight="1"/>
    <row r="29" ht="15.75" customHeight="1">
      <c r="A29" s="40" t="s">
        <v>574</v>
      </c>
    </row>
    <row r="30" ht="15.75" customHeight="1">
      <c r="A30" s="6" t="s">
        <v>575</v>
      </c>
      <c r="B30" s="6" t="s">
        <v>576</v>
      </c>
      <c r="C30" s="6" t="s">
        <v>577</v>
      </c>
      <c r="D30" s="6" t="s">
        <v>46</v>
      </c>
      <c r="E30" s="6" t="s">
        <v>578</v>
      </c>
    </row>
    <row r="31" ht="15.75" customHeight="1">
      <c r="A31" s="25">
        <v>1.0</v>
      </c>
      <c r="B31" s="29" t="s">
        <v>64</v>
      </c>
      <c r="C31" s="29" t="s">
        <v>175</v>
      </c>
      <c r="D31" s="25">
        <v>0.0</v>
      </c>
      <c r="E31" s="25" t="s">
        <v>580</v>
      </c>
    </row>
    <row r="32" ht="15.75" customHeight="1">
      <c r="A32" s="25">
        <v>2.0</v>
      </c>
      <c r="B32" s="29" t="s">
        <v>93</v>
      </c>
      <c r="C32" s="29" t="s">
        <v>212</v>
      </c>
      <c r="D32" s="25">
        <v>0.0</v>
      </c>
      <c r="E32" s="25" t="s">
        <v>580</v>
      </c>
    </row>
    <row r="33" ht="15.75" customHeight="1">
      <c r="A33" s="25">
        <v>3.0</v>
      </c>
      <c r="B33" s="29" t="s">
        <v>195</v>
      </c>
      <c r="C33" s="29" t="s">
        <v>60</v>
      </c>
      <c r="D33" s="25">
        <v>0.0</v>
      </c>
      <c r="E33" s="25" t="s">
        <v>580</v>
      </c>
    </row>
    <row r="34" ht="15.75" customHeight="1">
      <c r="A34" s="25">
        <v>4.0</v>
      </c>
      <c r="B34" s="29" t="s">
        <v>191</v>
      </c>
      <c r="C34" s="29" t="s">
        <v>60</v>
      </c>
      <c r="D34" s="25">
        <v>3.0</v>
      </c>
      <c r="E34" s="25" t="s">
        <v>580</v>
      </c>
    </row>
    <row r="35" ht="15.75" customHeight="1">
      <c r="A35" s="25">
        <v>5.0</v>
      </c>
      <c r="B35" s="29" t="s">
        <v>64</v>
      </c>
      <c r="C35" s="29" t="s">
        <v>253</v>
      </c>
      <c r="D35" s="25">
        <v>4.0</v>
      </c>
      <c r="E35" s="25" t="s">
        <v>581</v>
      </c>
    </row>
    <row r="36" ht="15.75" customHeight="1">
      <c r="A36" s="25">
        <v>6.0</v>
      </c>
      <c r="B36" s="29" t="s">
        <v>232</v>
      </c>
      <c r="C36" s="29" t="s">
        <v>283</v>
      </c>
      <c r="D36" s="25">
        <v>4.0</v>
      </c>
      <c r="E36" s="25" t="s">
        <v>581</v>
      </c>
    </row>
    <row r="37" ht="15.75" customHeight="1">
      <c r="A37" s="25">
        <v>7.0</v>
      </c>
      <c r="B37" s="29" t="s">
        <v>283</v>
      </c>
      <c r="C37" s="29" t="s">
        <v>253</v>
      </c>
      <c r="D37" s="25">
        <v>4.0</v>
      </c>
      <c r="E37" s="25" t="s">
        <v>581</v>
      </c>
    </row>
    <row r="38" ht="15.75" customHeight="1">
      <c r="A38" s="25">
        <v>8.0</v>
      </c>
      <c r="B38" s="29" t="s">
        <v>143</v>
      </c>
      <c r="C38" s="29" t="s">
        <v>261</v>
      </c>
      <c r="D38" s="25">
        <v>5.0</v>
      </c>
      <c r="E38" s="25" t="s">
        <v>581</v>
      </c>
    </row>
    <row r="39" ht="15.75" customHeight="1">
      <c r="A39" s="25">
        <v>9.0</v>
      </c>
      <c r="B39" s="29" t="s">
        <v>177</v>
      </c>
      <c r="C39" s="29" t="s">
        <v>93</v>
      </c>
      <c r="D39" s="25">
        <v>5.0</v>
      </c>
      <c r="E39" s="25" t="s">
        <v>581</v>
      </c>
    </row>
    <row r="40" ht="15.75" customHeight="1">
      <c r="A40" s="25">
        <v>10.0</v>
      </c>
      <c r="B40" s="29" t="s">
        <v>143</v>
      </c>
      <c r="C40" s="29" t="s">
        <v>182</v>
      </c>
      <c r="D40" s="25">
        <v>6.0</v>
      </c>
      <c r="E40" s="25" t="s">
        <v>581</v>
      </c>
    </row>
    <row r="41" ht="15.75" customHeight="1">
      <c r="A41" s="25">
        <v>11.0</v>
      </c>
      <c r="B41" s="29" t="s">
        <v>143</v>
      </c>
      <c r="C41" s="29" t="s">
        <v>239</v>
      </c>
      <c r="D41" s="25">
        <v>6.0</v>
      </c>
      <c r="E41" s="25" t="s">
        <v>581</v>
      </c>
    </row>
    <row r="42" ht="15.75" customHeight="1">
      <c r="A42" s="25">
        <v>12.0</v>
      </c>
      <c r="B42" s="29" t="s">
        <v>182</v>
      </c>
      <c r="C42" s="29" t="s">
        <v>232</v>
      </c>
      <c r="D42" s="25">
        <v>6.0</v>
      </c>
      <c r="E42" s="25" t="s">
        <v>581</v>
      </c>
    </row>
    <row r="43" ht="15.75" customHeight="1">
      <c r="A43" s="25">
        <v>13.0</v>
      </c>
      <c r="B43" s="29" t="s">
        <v>182</v>
      </c>
      <c r="C43" s="29" t="s">
        <v>191</v>
      </c>
      <c r="D43" s="25">
        <v>6.0</v>
      </c>
      <c r="E43" s="25" t="s">
        <v>581</v>
      </c>
    </row>
    <row r="44" ht="15.75" customHeight="1">
      <c r="A44" s="25">
        <v>14.0</v>
      </c>
      <c r="B44" s="29" t="s">
        <v>182</v>
      </c>
      <c r="C44" s="29" t="s">
        <v>253</v>
      </c>
      <c r="D44" s="25">
        <v>6.0</v>
      </c>
      <c r="E44" s="25" t="s">
        <v>581</v>
      </c>
    </row>
    <row r="45" ht="15.75" customHeight="1">
      <c r="A45" s="25">
        <v>15.0</v>
      </c>
      <c r="B45" s="29" t="s">
        <v>239</v>
      </c>
      <c r="C45" s="29" t="s">
        <v>208</v>
      </c>
      <c r="D45" s="25">
        <v>6.0</v>
      </c>
      <c r="E45" s="25" t="s">
        <v>581</v>
      </c>
    </row>
    <row r="46" ht="15.75" customHeight="1">
      <c r="A46" s="25">
        <v>16.0</v>
      </c>
      <c r="B46" s="29" t="s">
        <v>239</v>
      </c>
      <c r="C46" s="29" t="s">
        <v>264</v>
      </c>
      <c r="D46" s="25">
        <v>6.0</v>
      </c>
      <c r="E46" s="25" t="s">
        <v>581</v>
      </c>
    </row>
    <row r="47" ht="15.75" customHeight="1">
      <c r="A47" s="25">
        <v>17.0</v>
      </c>
      <c r="B47" s="29" t="s">
        <v>133</v>
      </c>
      <c r="C47" s="29" t="s">
        <v>208</v>
      </c>
      <c r="D47" s="25">
        <v>6.0</v>
      </c>
      <c r="E47" s="25" t="s">
        <v>581</v>
      </c>
    </row>
    <row r="48" ht="15.75" customHeight="1">
      <c r="A48" s="25">
        <v>18.0</v>
      </c>
      <c r="B48" s="29" t="s">
        <v>133</v>
      </c>
      <c r="C48" s="29" t="s">
        <v>261</v>
      </c>
      <c r="D48" s="25">
        <v>6.0</v>
      </c>
      <c r="E48" s="25" t="s">
        <v>581</v>
      </c>
    </row>
    <row r="49" ht="15.75" customHeight="1">
      <c r="A49" s="25">
        <v>19.0</v>
      </c>
      <c r="B49" s="29" t="s">
        <v>208</v>
      </c>
      <c r="C49" s="29" t="s">
        <v>195</v>
      </c>
      <c r="D49" s="25">
        <v>6.0</v>
      </c>
      <c r="E49" s="25" t="s">
        <v>581</v>
      </c>
    </row>
    <row r="50" ht="15.75" customHeight="1">
      <c r="A50" s="25">
        <v>20.0</v>
      </c>
      <c r="B50" s="29" t="s">
        <v>208</v>
      </c>
      <c r="C50" s="29" t="s">
        <v>232</v>
      </c>
      <c r="D50" s="25">
        <v>6.0</v>
      </c>
      <c r="E50" s="25" t="s">
        <v>581</v>
      </c>
    </row>
    <row r="51" ht="15.75" customHeight="1">
      <c r="A51" s="25">
        <v>21.0</v>
      </c>
      <c r="B51" s="29" t="s">
        <v>261</v>
      </c>
      <c r="C51" s="29" t="s">
        <v>191</v>
      </c>
      <c r="D51" s="25">
        <v>6.0</v>
      </c>
      <c r="E51" s="25" t="s">
        <v>581</v>
      </c>
    </row>
    <row r="52" ht="15.75" customHeight="1">
      <c r="A52" s="25">
        <v>22.0</v>
      </c>
      <c r="B52" s="29" t="s">
        <v>261</v>
      </c>
      <c r="C52" s="29" t="s">
        <v>253</v>
      </c>
      <c r="D52" s="25">
        <v>6.0</v>
      </c>
      <c r="E52" s="25" t="s">
        <v>581</v>
      </c>
    </row>
    <row r="53" ht="15.75" customHeight="1">
      <c r="A53" s="25">
        <v>23.0</v>
      </c>
      <c r="B53" s="29" t="s">
        <v>93</v>
      </c>
      <c r="C53" s="29" t="s">
        <v>60</v>
      </c>
      <c r="D53" s="25">
        <v>6.0</v>
      </c>
      <c r="E53" s="25" t="s">
        <v>581</v>
      </c>
    </row>
    <row r="54" ht="15.75" customHeight="1">
      <c r="A54" s="25">
        <v>24.0</v>
      </c>
      <c r="B54" s="29" t="s">
        <v>195</v>
      </c>
      <c r="C54" s="29" t="s">
        <v>212</v>
      </c>
      <c r="D54" s="25">
        <v>6.0</v>
      </c>
      <c r="E54" s="25" t="s">
        <v>581</v>
      </c>
    </row>
    <row r="55" ht="15.75" customHeight="1">
      <c r="A55" s="25">
        <v>25.0</v>
      </c>
      <c r="B55" s="29" t="s">
        <v>232</v>
      </c>
      <c r="C55" s="29" t="s">
        <v>272</v>
      </c>
      <c r="D55" s="25">
        <v>6.0</v>
      </c>
      <c r="E55" s="25" t="s">
        <v>581</v>
      </c>
    </row>
    <row r="56" ht="15.75" customHeight="1"/>
    <row r="57" ht="15.75" customHeight="1"/>
    <row r="58" ht="15.75" customHeight="1">
      <c r="A58" s="43" t="s">
        <v>589</v>
      </c>
    </row>
    <row r="59" ht="15.75" customHeight="1">
      <c r="A59" s="44" t="s">
        <v>575</v>
      </c>
      <c r="B59" s="44" t="s">
        <v>576</v>
      </c>
      <c r="C59" s="44" t="s">
        <v>577</v>
      </c>
      <c r="D59" s="44" t="s">
        <v>46</v>
      </c>
      <c r="E59" s="44" t="s">
        <v>578</v>
      </c>
    </row>
    <row r="60" ht="15.75" customHeight="1">
      <c r="A60" s="25">
        <v>1.0</v>
      </c>
      <c r="B60" s="29" t="s">
        <v>195</v>
      </c>
      <c r="C60" s="29" t="s">
        <v>191</v>
      </c>
      <c r="D60" s="25">
        <v>16.0</v>
      </c>
      <c r="E60" s="25" t="s">
        <v>590</v>
      </c>
    </row>
    <row r="61" ht="15.75" customHeight="1">
      <c r="A61" s="25">
        <v>2.0</v>
      </c>
      <c r="B61" s="29" t="s">
        <v>175</v>
      </c>
      <c r="C61" s="29" t="s">
        <v>253</v>
      </c>
      <c r="D61" s="25">
        <v>15.0</v>
      </c>
      <c r="E61" s="25" t="s">
        <v>590</v>
      </c>
    </row>
    <row r="62" ht="15.75" customHeight="1">
      <c r="A62" s="25">
        <v>3.0</v>
      </c>
      <c r="B62" s="29" t="s">
        <v>232</v>
      </c>
      <c r="C62" s="29" t="s">
        <v>253</v>
      </c>
      <c r="D62" s="25">
        <v>14.0</v>
      </c>
      <c r="E62" s="25" t="s">
        <v>590</v>
      </c>
    </row>
    <row r="63" ht="15.75" customHeight="1">
      <c r="A63" s="25">
        <v>4.0</v>
      </c>
      <c r="B63" s="29" t="s">
        <v>177</v>
      </c>
      <c r="C63" s="29" t="s">
        <v>212</v>
      </c>
      <c r="D63" s="25">
        <v>14.0</v>
      </c>
      <c r="E63" s="25" t="s">
        <v>590</v>
      </c>
    </row>
    <row r="64" ht="15.75" customHeight="1">
      <c r="A64" s="25">
        <v>5.0</v>
      </c>
      <c r="B64" s="29" t="s">
        <v>261</v>
      </c>
      <c r="C64" s="29" t="s">
        <v>177</v>
      </c>
      <c r="D64" s="25">
        <v>14.0</v>
      </c>
      <c r="E64" s="25" t="s">
        <v>590</v>
      </c>
    </row>
    <row r="65" ht="15.75" customHeight="1">
      <c r="A65" s="25">
        <v>6.0</v>
      </c>
      <c r="B65" s="29" t="s">
        <v>143</v>
      </c>
      <c r="C65" s="29" t="s">
        <v>253</v>
      </c>
      <c r="D65" s="25">
        <v>14.0</v>
      </c>
      <c r="E65" s="25" t="s">
        <v>590</v>
      </c>
    </row>
    <row r="66" ht="15.75" customHeight="1">
      <c r="A66" s="25">
        <v>7.0</v>
      </c>
      <c r="B66" s="29" t="s">
        <v>60</v>
      </c>
      <c r="C66" s="29" t="s">
        <v>212</v>
      </c>
      <c r="D66" s="25">
        <v>13.0</v>
      </c>
      <c r="E66" s="25" t="s">
        <v>590</v>
      </c>
    </row>
    <row r="67" ht="15.75" customHeight="1">
      <c r="A67" s="25">
        <v>8.0</v>
      </c>
      <c r="B67" s="29" t="s">
        <v>195</v>
      </c>
      <c r="C67" s="29" t="s">
        <v>232</v>
      </c>
      <c r="D67" s="25">
        <v>13.0</v>
      </c>
      <c r="E67" s="25" t="s">
        <v>590</v>
      </c>
    </row>
    <row r="68" ht="15.75" customHeight="1">
      <c r="A68" s="25">
        <v>9.0</v>
      </c>
      <c r="B68" s="29" t="s">
        <v>93</v>
      </c>
      <c r="C68" s="29" t="s">
        <v>195</v>
      </c>
      <c r="D68" s="25">
        <v>13.0</v>
      </c>
      <c r="E68" s="25" t="s">
        <v>590</v>
      </c>
    </row>
    <row r="69" ht="15.75" customHeight="1">
      <c r="A69" s="25">
        <v>10.0</v>
      </c>
      <c r="B69" s="29" t="s">
        <v>64</v>
      </c>
      <c r="C69" s="29" t="s">
        <v>283</v>
      </c>
      <c r="D69" s="25">
        <v>13.0</v>
      </c>
      <c r="E69" s="25" t="s">
        <v>590</v>
      </c>
    </row>
    <row r="70" ht="15.75" customHeight="1"/>
    <row r="71" ht="15.75" customHeight="1"/>
    <row r="72" ht="15.75" customHeight="1">
      <c r="A72" s="40" t="s">
        <v>595</v>
      </c>
    </row>
    <row r="73" ht="30.0" customHeight="1">
      <c r="A73" s="6" t="s">
        <v>575</v>
      </c>
      <c r="B73" s="6" t="s">
        <v>597</v>
      </c>
      <c r="C73" s="6" t="s">
        <v>598</v>
      </c>
      <c r="D73" s="6" t="s">
        <v>599</v>
      </c>
      <c r="E73" s="6" t="s">
        <v>600</v>
      </c>
      <c r="F73" s="6" t="s">
        <v>601</v>
      </c>
      <c r="G73" s="6" t="s">
        <v>602</v>
      </c>
      <c r="H73" s="6" t="s">
        <v>603</v>
      </c>
      <c r="I73" s="6" t="s">
        <v>604</v>
      </c>
      <c r="J73" s="6" t="s">
        <v>605</v>
      </c>
    </row>
    <row r="74" ht="15.75" customHeight="1">
      <c r="A74" s="25">
        <v>1.0</v>
      </c>
      <c r="B74" s="29" t="s">
        <v>105</v>
      </c>
      <c r="C74" s="29" t="s">
        <v>178</v>
      </c>
      <c r="D74" s="29" t="s">
        <v>124</v>
      </c>
      <c r="E74" s="25">
        <v>12.0</v>
      </c>
      <c r="F74" s="25">
        <v>7.0</v>
      </c>
      <c r="G74" s="25">
        <v>0.0</v>
      </c>
      <c r="H74" s="25">
        <v>19.0</v>
      </c>
      <c r="I74" s="25">
        <v>60.0</v>
      </c>
      <c r="J74" s="25">
        <v>48.8</v>
      </c>
    </row>
    <row r="75" ht="15.75" customHeight="1">
      <c r="A75" s="25">
        <v>2.0</v>
      </c>
      <c r="B75" s="29" t="s">
        <v>105</v>
      </c>
      <c r="C75" s="29" t="s">
        <v>215</v>
      </c>
      <c r="D75" s="29" t="s">
        <v>606</v>
      </c>
      <c r="E75" s="25">
        <v>6.0</v>
      </c>
      <c r="F75" s="25">
        <v>0.0</v>
      </c>
      <c r="G75" s="25">
        <v>13.0</v>
      </c>
      <c r="H75" s="25">
        <v>19.0</v>
      </c>
      <c r="I75" s="25">
        <v>58.0</v>
      </c>
      <c r="J75" s="25">
        <v>46.3</v>
      </c>
    </row>
    <row r="76" ht="15.75" customHeight="1">
      <c r="A76" s="25">
        <v>3.0</v>
      </c>
      <c r="B76" s="29" t="s">
        <v>215</v>
      </c>
      <c r="C76" s="29" t="s">
        <v>178</v>
      </c>
      <c r="D76" s="29" t="s">
        <v>124</v>
      </c>
      <c r="E76" s="25">
        <v>7.0</v>
      </c>
      <c r="F76" s="25">
        <v>12.0</v>
      </c>
      <c r="G76" s="25">
        <v>0.0</v>
      </c>
      <c r="H76" s="25">
        <v>19.0</v>
      </c>
      <c r="I76" s="25">
        <v>58.0</v>
      </c>
      <c r="J76" s="25">
        <v>45.5</v>
      </c>
    </row>
    <row r="77" ht="15.75" customHeight="1">
      <c r="A77" s="25">
        <v>4.0</v>
      </c>
      <c r="B77" s="29" t="s">
        <v>105</v>
      </c>
      <c r="C77" s="29" t="s">
        <v>178</v>
      </c>
      <c r="D77" s="29" t="s">
        <v>606</v>
      </c>
      <c r="E77" s="25">
        <v>12.0</v>
      </c>
      <c r="F77" s="25">
        <v>0.0</v>
      </c>
      <c r="G77" s="25">
        <v>7.0</v>
      </c>
      <c r="H77" s="25">
        <v>19.0</v>
      </c>
      <c r="I77" s="25">
        <v>57.0</v>
      </c>
      <c r="J77" s="25">
        <v>45.5</v>
      </c>
    </row>
    <row r="78" ht="15.75" customHeight="1">
      <c r="A78" s="25">
        <v>5.0</v>
      </c>
      <c r="B78" s="29" t="s">
        <v>105</v>
      </c>
      <c r="C78" s="29" t="s">
        <v>215</v>
      </c>
      <c r="D78" s="29" t="s">
        <v>401</v>
      </c>
      <c r="E78" s="25">
        <v>6.0</v>
      </c>
      <c r="F78" s="25">
        <v>13.0</v>
      </c>
      <c r="G78" s="25">
        <v>0.0</v>
      </c>
      <c r="H78" s="25">
        <v>19.0</v>
      </c>
      <c r="I78" s="25">
        <v>55.0</v>
      </c>
      <c r="J78" s="25">
        <v>43.9</v>
      </c>
    </row>
    <row r="79" ht="15.75" customHeight="1">
      <c r="A79" s="25">
        <v>6.0</v>
      </c>
      <c r="B79" s="29" t="s">
        <v>105</v>
      </c>
      <c r="C79" s="29" t="s">
        <v>124</v>
      </c>
      <c r="D79" s="29" t="s">
        <v>75</v>
      </c>
      <c r="E79" s="25">
        <v>7.0</v>
      </c>
      <c r="F79" s="25">
        <v>3.0</v>
      </c>
      <c r="G79" s="25">
        <v>9.0</v>
      </c>
      <c r="H79" s="25">
        <v>19.0</v>
      </c>
      <c r="I79" s="25">
        <v>56.0</v>
      </c>
      <c r="J79" s="25">
        <v>43.9</v>
      </c>
    </row>
    <row r="80" ht="15.75" customHeight="1">
      <c r="A80" s="25">
        <v>7.0</v>
      </c>
      <c r="B80" s="29" t="s">
        <v>105</v>
      </c>
      <c r="C80" s="29" t="s">
        <v>210</v>
      </c>
      <c r="D80" s="29" t="s">
        <v>75</v>
      </c>
      <c r="E80" s="25">
        <v>9.0</v>
      </c>
      <c r="F80" s="25">
        <v>3.0</v>
      </c>
      <c r="G80" s="25">
        <v>7.0</v>
      </c>
      <c r="H80" s="25">
        <v>19.0</v>
      </c>
      <c r="I80" s="25">
        <v>56.0</v>
      </c>
      <c r="J80" s="25">
        <v>43.3</v>
      </c>
    </row>
    <row r="81" ht="15.75" customHeight="1">
      <c r="A81" s="25">
        <v>8.0</v>
      </c>
      <c r="B81" s="29" t="s">
        <v>105</v>
      </c>
      <c r="C81" s="29" t="s">
        <v>204</v>
      </c>
      <c r="D81" s="29" t="s">
        <v>606</v>
      </c>
      <c r="E81" s="25">
        <v>7.0</v>
      </c>
      <c r="F81" s="25">
        <v>0.0</v>
      </c>
      <c r="G81" s="25">
        <v>12.0</v>
      </c>
      <c r="H81" s="25">
        <v>19.0</v>
      </c>
      <c r="I81" s="25">
        <v>55.0</v>
      </c>
      <c r="J81" s="25">
        <v>43.1</v>
      </c>
    </row>
    <row r="82" ht="15.75" customHeight="1">
      <c r="A82" s="25">
        <v>9.0</v>
      </c>
      <c r="B82" s="29" t="s">
        <v>178</v>
      </c>
      <c r="C82" s="29" t="s">
        <v>204</v>
      </c>
      <c r="D82" s="29" t="s">
        <v>124</v>
      </c>
      <c r="E82" s="25">
        <v>8.0</v>
      </c>
      <c r="F82" s="25">
        <v>0.0</v>
      </c>
      <c r="G82" s="25">
        <v>11.0</v>
      </c>
      <c r="H82" s="25">
        <v>19.0</v>
      </c>
      <c r="I82" s="25">
        <v>55.0</v>
      </c>
      <c r="J82" s="25">
        <v>42.4</v>
      </c>
    </row>
    <row r="83" ht="15.75" customHeight="1">
      <c r="A83" s="25">
        <v>10.0</v>
      </c>
      <c r="B83" s="29" t="s">
        <v>105</v>
      </c>
      <c r="C83" s="29" t="s">
        <v>124</v>
      </c>
      <c r="D83" s="29" t="s">
        <v>606</v>
      </c>
      <c r="E83" s="25">
        <v>7.0</v>
      </c>
      <c r="F83" s="25">
        <v>0.0</v>
      </c>
      <c r="G83" s="25">
        <v>12.0</v>
      </c>
      <c r="H83" s="25">
        <v>19.0</v>
      </c>
      <c r="I83" s="25">
        <v>54.0</v>
      </c>
      <c r="J83" s="25">
        <v>41.6</v>
      </c>
    </row>
    <row r="84" ht="15.75" customHeight="1">
      <c r="A84" s="25">
        <v>11.0</v>
      </c>
      <c r="B84" s="29" t="s">
        <v>105</v>
      </c>
      <c r="C84" s="29" t="s">
        <v>210</v>
      </c>
      <c r="D84" s="29" t="s">
        <v>606</v>
      </c>
      <c r="E84" s="25">
        <v>9.0</v>
      </c>
      <c r="F84" s="25">
        <v>0.0</v>
      </c>
      <c r="G84" s="25">
        <v>10.0</v>
      </c>
      <c r="H84" s="25">
        <v>19.0</v>
      </c>
      <c r="I84" s="25">
        <v>54.0</v>
      </c>
      <c r="J84" s="25">
        <v>41.0</v>
      </c>
    </row>
    <row r="85" ht="15.75" customHeight="1">
      <c r="A85" s="25">
        <v>12.0</v>
      </c>
      <c r="B85" s="29" t="s">
        <v>105</v>
      </c>
      <c r="C85" s="29" t="s">
        <v>75</v>
      </c>
      <c r="D85" s="29" t="s">
        <v>606</v>
      </c>
      <c r="E85" s="25">
        <v>3.0</v>
      </c>
      <c r="F85" s="25">
        <v>0.0</v>
      </c>
      <c r="G85" s="25">
        <v>16.0</v>
      </c>
      <c r="H85" s="25">
        <v>19.0</v>
      </c>
      <c r="I85" s="25">
        <v>53.0</v>
      </c>
      <c r="J85" s="25">
        <v>40.6</v>
      </c>
    </row>
    <row r="86" ht="15.75" customHeight="1">
      <c r="A86" s="25">
        <v>13.0</v>
      </c>
      <c r="B86" s="29" t="s">
        <v>178</v>
      </c>
      <c r="C86" s="29" t="s">
        <v>124</v>
      </c>
      <c r="D86" s="29" t="s">
        <v>210</v>
      </c>
      <c r="E86" s="25">
        <v>0.0</v>
      </c>
      <c r="F86" s="25">
        <v>10.0</v>
      </c>
      <c r="G86" s="25">
        <v>9.0</v>
      </c>
      <c r="H86" s="25">
        <v>19.0</v>
      </c>
      <c r="I86" s="25">
        <v>54.0</v>
      </c>
      <c r="J86" s="25">
        <v>40.3</v>
      </c>
    </row>
    <row r="87" ht="15.75" customHeight="1">
      <c r="A87" s="25">
        <v>14.0</v>
      </c>
      <c r="B87" s="29" t="s">
        <v>215</v>
      </c>
      <c r="C87" s="29" t="s">
        <v>178</v>
      </c>
      <c r="D87" s="29" t="s">
        <v>401</v>
      </c>
      <c r="E87" s="25">
        <v>7.0</v>
      </c>
      <c r="F87" s="25">
        <v>0.0</v>
      </c>
      <c r="G87" s="25">
        <v>12.0</v>
      </c>
      <c r="H87" s="25">
        <v>19.0</v>
      </c>
      <c r="I87" s="25">
        <v>52.0</v>
      </c>
      <c r="J87" s="25">
        <v>39.8</v>
      </c>
    </row>
    <row r="88" ht="15.75" customHeight="1">
      <c r="A88" s="25">
        <v>15.0</v>
      </c>
      <c r="B88" s="29" t="s">
        <v>178</v>
      </c>
      <c r="C88" s="29" t="s">
        <v>124</v>
      </c>
      <c r="D88" s="29" t="s">
        <v>75</v>
      </c>
      <c r="E88" s="25">
        <v>0.0</v>
      </c>
      <c r="F88" s="25">
        <v>10.0</v>
      </c>
      <c r="G88" s="25">
        <v>9.0</v>
      </c>
      <c r="H88" s="25">
        <v>19.0</v>
      </c>
      <c r="I88" s="25">
        <v>53.0</v>
      </c>
      <c r="J88" s="25">
        <v>39.8</v>
      </c>
    </row>
    <row r="89" ht="15.75" customHeight="1">
      <c r="A89" s="25">
        <v>16.0</v>
      </c>
      <c r="B89" s="29" t="s">
        <v>178</v>
      </c>
      <c r="C89" s="29" t="s">
        <v>124</v>
      </c>
      <c r="D89" s="29" t="s">
        <v>606</v>
      </c>
      <c r="E89" s="25">
        <v>0.0</v>
      </c>
      <c r="F89" s="25">
        <v>7.0</v>
      </c>
      <c r="G89" s="25">
        <v>12.0</v>
      </c>
      <c r="H89" s="25">
        <v>19.0</v>
      </c>
      <c r="I89" s="25">
        <v>51.0</v>
      </c>
      <c r="J89" s="25">
        <v>37.5</v>
      </c>
    </row>
    <row r="90" ht="15.75" customHeight="1">
      <c r="A90" s="25">
        <v>17.0</v>
      </c>
      <c r="B90" s="29" t="s">
        <v>215</v>
      </c>
      <c r="C90" s="29" t="s">
        <v>204</v>
      </c>
      <c r="D90" s="29" t="s">
        <v>401</v>
      </c>
      <c r="E90" s="25">
        <v>10.0</v>
      </c>
      <c r="F90" s="25">
        <v>0.0</v>
      </c>
      <c r="G90" s="25">
        <v>9.0</v>
      </c>
      <c r="H90" s="25">
        <v>19.0</v>
      </c>
      <c r="I90" s="25">
        <v>50.0</v>
      </c>
      <c r="J90" s="25">
        <v>37.5</v>
      </c>
    </row>
    <row r="91" ht="15.75" customHeight="1">
      <c r="A91" s="25">
        <v>18.0</v>
      </c>
      <c r="B91" s="29" t="s">
        <v>105</v>
      </c>
      <c r="C91" s="29" t="s">
        <v>606</v>
      </c>
      <c r="D91" s="29" t="s">
        <v>237</v>
      </c>
      <c r="E91" s="25">
        <v>0.0</v>
      </c>
      <c r="F91" s="25">
        <v>12.0</v>
      </c>
      <c r="G91" s="25">
        <v>7.0</v>
      </c>
      <c r="H91" s="25">
        <v>19.0</v>
      </c>
      <c r="I91" s="25">
        <v>50.0</v>
      </c>
      <c r="J91" s="25">
        <v>36.8</v>
      </c>
    </row>
    <row r="92" ht="15.75" customHeight="1">
      <c r="A92" s="25">
        <v>19.0</v>
      </c>
      <c r="B92" s="29" t="s">
        <v>105</v>
      </c>
      <c r="C92" s="29" t="s">
        <v>606</v>
      </c>
      <c r="D92" s="29" t="s">
        <v>186</v>
      </c>
      <c r="E92" s="25">
        <v>0.0</v>
      </c>
      <c r="F92" s="25">
        <v>13.0</v>
      </c>
      <c r="G92" s="25">
        <v>6.0</v>
      </c>
      <c r="H92" s="25">
        <v>19.0</v>
      </c>
      <c r="I92" s="25">
        <v>49.0</v>
      </c>
      <c r="J92" s="25">
        <v>36.3</v>
      </c>
    </row>
    <row r="93" ht="15.75" customHeight="1">
      <c r="A93" s="25">
        <v>20.0</v>
      </c>
      <c r="B93" s="29" t="s">
        <v>178</v>
      </c>
      <c r="C93" s="29" t="s">
        <v>124</v>
      </c>
      <c r="D93" s="29" t="s">
        <v>237</v>
      </c>
      <c r="E93" s="25">
        <v>0.0</v>
      </c>
      <c r="F93" s="25">
        <v>9.0</v>
      </c>
      <c r="G93" s="25">
        <v>10.0</v>
      </c>
      <c r="H93" s="25">
        <v>19.0</v>
      </c>
      <c r="I93" s="25">
        <v>50.0</v>
      </c>
      <c r="J93" s="25">
        <v>36.1</v>
      </c>
    </row>
    <row r="94" ht="15.75" customHeight="1"/>
    <row r="95" ht="15.75" customHeight="1"/>
    <row r="96" ht="15.75" customHeight="1">
      <c r="A96" s="39" t="s">
        <v>617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7:U26">
    <cfRule type="colorScale" priority="1">
      <colorScale>
        <cfvo type="formula" val="0"/>
        <cfvo type="formula" val="9"/>
        <cfvo type="formula" val="16"/>
        <color rgb="FF63BE7B"/>
        <color rgb="FFFFEB84"/>
        <color rgb="FFF8696B"/>
      </colorScale>
    </cfRule>
  </conditionalFormatting>
  <conditionalFormatting sqref="E74:G93">
    <cfRule type="colorScale" priority="2">
      <colorScale>
        <cfvo type="min" val="0"/>
        <cfvo type="max" val="0"/>
        <color rgb="FF63BE7B"/>
        <color rgb="FFFFEB84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3.0"/>
    <col customWidth="1" min="3" max="3" width="15.0"/>
    <col customWidth="1" min="4" max="4" width="32.0"/>
    <col customWidth="1" min="5" max="5" width="16.0"/>
    <col customWidth="1" min="6" max="6" width="12.0"/>
    <col customWidth="1" min="7" max="7" width="14.0"/>
    <col customWidth="1" min="8" max="8" width="95.0"/>
    <col customWidth="1" min="9" max="26" width="8.71"/>
  </cols>
  <sheetData>
    <row r="1">
      <c r="A1" s="2" t="s">
        <v>655</v>
      </c>
    </row>
    <row r="2">
      <c r="A2" s="4" t="s">
        <v>657</v>
      </c>
    </row>
    <row r="3" ht="30.0" customHeight="1">
      <c r="A3" s="6" t="s">
        <v>10</v>
      </c>
      <c r="B3" s="6" t="s">
        <v>11</v>
      </c>
      <c r="C3" s="6" t="s">
        <v>659</v>
      </c>
      <c r="D3" s="6" t="s">
        <v>660</v>
      </c>
      <c r="E3" s="6" t="s">
        <v>17</v>
      </c>
      <c r="F3" s="6" t="s">
        <v>661</v>
      </c>
      <c r="G3" s="6" t="s">
        <v>36</v>
      </c>
      <c r="H3" s="6" t="s">
        <v>662</v>
      </c>
    </row>
    <row r="4" ht="15.0" customHeight="1">
      <c r="A4" s="45" t="s">
        <v>519</v>
      </c>
      <c r="B4" s="46" t="s">
        <v>143</v>
      </c>
      <c r="C4" s="47" t="s">
        <v>287</v>
      </c>
      <c r="D4" s="48" t="s">
        <v>663</v>
      </c>
      <c r="E4" s="47">
        <v>12.0</v>
      </c>
      <c r="F4" s="47">
        <v>48.0</v>
      </c>
      <c r="G4" s="47">
        <v>0.0</v>
      </c>
      <c r="H4" s="49" t="s">
        <v>522</v>
      </c>
    </row>
    <row r="5" ht="15.0" customHeight="1">
      <c r="A5" s="45" t="s">
        <v>562</v>
      </c>
      <c r="B5" s="46" t="s">
        <v>143</v>
      </c>
      <c r="C5" s="47" t="s">
        <v>666</v>
      </c>
      <c r="D5" s="48" t="s">
        <v>663</v>
      </c>
      <c r="E5" s="47">
        <v>6.0</v>
      </c>
      <c r="F5" s="47">
        <v>70.0</v>
      </c>
      <c r="G5" s="47">
        <v>0.0</v>
      </c>
      <c r="H5" s="49" t="s">
        <v>565</v>
      </c>
    </row>
    <row r="6" ht="15.0" customHeight="1">
      <c r="A6" s="45" t="s">
        <v>628</v>
      </c>
      <c r="B6" s="46" t="s">
        <v>239</v>
      </c>
      <c r="C6" s="47" t="s">
        <v>666</v>
      </c>
      <c r="D6" s="48" t="s">
        <v>663</v>
      </c>
      <c r="E6" s="47">
        <v>3.0</v>
      </c>
      <c r="F6" s="47">
        <v>80.0</v>
      </c>
      <c r="G6" s="47">
        <v>0.0</v>
      </c>
      <c r="H6" s="49" t="s">
        <v>631</v>
      </c>
    </row>
    <row r="7" ht="15.0" customHeight="1">
      <c r="A7" s="45" t="s">
        <v>513</v>
      </c>
      <c r="B7" s="46" t="s">
        <v>208</v>
      </c>
      <c r="C7" s="47" t="s">
        <v>666</v>
      </c>
      <c r="D7" s="48" t="s">
        <v>663</v>
      </c>
      <c r="E7" s="47">
        <v>5.0</v>
      </c>
      <c r="F7" s="47">
        <v>59.0</v>
      </c>
      <c r="G7" s="47">
        <v>0.0</v>
      </c>
      <c r="H7" s="49" t="s">
        <v>515</v>
      </c>
    </row>
    <row r="8" ht="24.0" customHeight="1">
      <c r="A8" s="45" t="s">
        <v>310</v>
      </c>
      <c r="B8" s="46" t="s">
        <v>93</v>
      </c>
      <c r="C8" s="47" t="s">
        <v>287</v>
      </c>
      <c r="D8" s="48" t="s">
        <v>663</v>
      </c>
      <c r="E8" s="47">
        <v>55.0</v>
      </c>
      <c r="F8" s="47">
        <v>9.0</v>
      </c>
      <c r="G8" s="47">
        <v>1.0</v>
      </c>
      <c r="H8" s="49" t="s">
        <v>318</v>
      </c>
    </row>
    <row r="9" ht="15.0" customHeight="1">
      <c r="A9" s="45" t="s">
        <v>496</v>
      </c>
      <c r="B9" s="46" t="s">
        <v>93</v>
      </c>
      <c r="C9" s="47" t="s">
        <v>287</v>
      </c>
      <c r="D9" s="48" t="s">
        <v>663</v>
      </c>
      <c r="E9" s="47">
        <v>14.0</v>
      </c>
      <c r="F9" s="47">
        <v>43.0</v>
      </c>
      <c r="G9" s="47">
        <v>0.0</v>
      </c>
      <c r="H9" s="49" t="s">
        <v>500</v>
      </c>
    </row>
    <row r="10" ht="15.0" customHeight="1">
      <c r="A10" s="45" t="s">
        <v>427</v>
      </c>
      <c r="B10" s="46" t="s">
        <v>195</v>
      </c>
      <c r="C10" s="47" t="s">
        <v>666</v>
      </c>
      <c r="D10" s="48" t="s">
        <v>663</v>
      </c>
      <c r="E10" s="47">
        <v>8.0</v>
      </c>
      <c r="F10" s="47">
        <v>43.0</v>
      </c>
      <c r="G10" s="47">
        <v>1.0</v>
      </c>
      <c r="H10" s="49" t="s">
        <v>433</v>
      </c>
    </row>
    <row r="11" ht="15.0" customHeight="1">
      <c r="A11" s="45" t="s">
        <v>640</v>
      </c>
      <c r="B11" s="46" t="s">
        <v>272</v>
      </c>
      <c r="C11" s="47" t="s">
        <v>669</v>
      </c>
      <c r="D11" s="48" t="s">
        <v>663</v>
      </c>
      <c r="E11" s="47">
        <v>9.0</v>
      </c>
      <c r="F11" s="47">
        <v>52.0</v>
      </c>
      <c r="G11" s="47">
        <v>0.0</v>
      </c>
      <c r="H11" s="49" t="s">
        <v>645</v>
      </c>
    </row>
    <row r="12" ht="15.0" customHeight="1">
      <c r="A12" s="45" t="s">
        <v>197</v>
      </c>
      <c r="B12" s="46" t="s">
        <v>191</v>
      </c>
      <c r="C12" s="47" t="s">
        <v>669</v>
      </c>
      <c r="D12" s="48" t="s">
        <v>663</v>
      </c>
      <c r="E12" s="47">
        <v>46.0</v>
      </c>
      <c r="F12" s="47">
        <v>4.0</v>
      </c>
      <c r="G12" s="47">
        <v>2.0</v>
      </c>
      <c r="H12" s="49" t="s">
        <v>205</v>
      </c>
    </row>
    <row r="13" ht="15.0" customHeight="1">
      <c r="A13" s="45" t="s">
        <v>503</v>
      </c>
      <c r="B13" s="46" t="s">
        <v>191</v>
      </c>
      <c r="C13" s="47" t="s">
        <v>666</v>
      </c>
      <c r="D13" s="48" t="s">
        <v>663</v>
      </c>
      <c r="E13" s="47">
        <v>7.0</v>
      </c>
      <c r="F13" s="47">
        <v>57.0</v>
      </c>
      <c r="G13" s="47">
        <v>0.0</v>
      </c>
      <c r="H13" s="49" t="s">
        <v>506</v>
      </c>
    </row>
    <row r="14" ht="15.0" customHeight="1">
      <c r="A14" s="45" t="s">
        <v>670</v>
      </c>
      <c r="B14" s="46" t="s">
        <v>191</v>
      </c>
      <c r="C14" s="47" t="s">
        <v>666</v>
      </c>
      <c r="D14" s="48" t="s">
        <v>663</v>
      </c>
      <c r="E14" s="47">
        <v>3.0</v>
      </c>
      <c r="F14" s="47">
        <v>150.0</v>
      </c>
      <c r="G14" s="47">
        <v>0.0</v>
      </c>
      <c r="H14" s="49" t="s">
        <v>671</v>
      </c>
    </row>
    <row r="15" ht="15.0" customHeight="1">
      <c r="A15" s="45" t="s">
        <v>672</v>
      </c>
      <c r="B15" s="46" t="s">
        <v>283</v>
      </c>
      <c r="C15" s="47" t="s">
        <v>669</v>
      </c>
      <c r="D15" s="48" t="s">
        <v>663</v>
      </c>
      <c r="E15" s="47">
        <v>10.0</v>
      </c>
      <c r="F15" s="47">
        <v>72.0</v>
      </c>
      <c r="G15" s="47">
        <v>0.0</v>
      </c>
      <c r="H15" s="49" t="s">
        <v>674</v>
      </c>
    </row>
    <row r="16" ht="15.0" customHeight="1">
      <c r="A16" s="45" t="s">
        <v>541</v>
      </c>
      <c r="B16" s="46" t="s">
        <v>253</v>
      </c>
      <c r="C16" s="47" t="s">
        <v>669</v>
      </c>
      <c r="D16" s="48" t="s">
        <v>663</v>
      </c>
      <c r="E16" s="47">
        <v>11.0</v>
      </c>
      <c r="F16" s="47">
        <v>40.0</v>
      </c>
      <c r="G16" s="47">
        <v>0.0</v>
      </c>
      <c r="H16" s="49" t="s">
        <v>545</v>
      </c>
    </row>
    <row r="17" ht="15.0" customHeight="1">
      <c r="A17" s="45" t="s">
        <v>675</v>
      </c>
      <c r="B17" s="46" t="s">
        <v>253</v>
      </c>
      <c r="C17" s="47" t="s">
        <v>666</v>
      </c>
      <c r="D17" s="48" t="s">
        <v>663</v>
      </c>
      <c r="E17" s="47">
        <v>1.0</v>
      </c>
      <c r="F17" s="47">
        <v>189.0</v>
      </c>
      <c r="G17" s="47">
        <v>0.0</v>
      </c>
      <c r="H17" s="49" t="s">
        <v>676</v>
      </c>
    </row>
    <row r="18" ht="15.0" customHeight="1">
      <c r="A18" s="45" t="s">
        <v>454</v>
      </c>
      <c r="B18" s="46" t="s">
        <v>185</v>
      </c>
      <c r="C18" s="47" t="s">
        <v>666</v>
      </c>
      <c r="D18" s="48" t="s">
        <v>663</v>
      </c>
      <c r="E18" s="47">
        <v>5.0</v>
      </c>
      <c r="F18" s="47">
        <v>48.0</v>
      </c>
      <c r="G18" s="47">
        <v>0.0</v>
      </c>
      <c r="H18" s="49" t="s">
        <v>459</v>
      </c>
    </row>
    <row r="19" ht="15.0" customHeight="1">
      <c r="A19" s="45" t="s">
        <v>588</v>
      </c>
      <c r="B19" s="46" t="s">
        <v>264</v>
      </c>
      <c r="C19" s="47" t="s">
        <v>287</v>
      </c>
      <c r="D19" s="48" t="s">
        <v>663</v>
      </c>
      <c r="E19" s="47">
        <v>12.0</v>
      </c>
      <c r="F19" s="47">
        <v>63.0</v>
      </c>
      <c r="G19" s="47">
        <v>0.0</v>
      </c>
      <c r="H19" s="49" t="s">
        <v>592</v>
      </c>
    </row>
    <row r="20" ht="15.0" customHeight="1">
      <c r="A20" s="45" t="s">
        <v>677</v>
      </c>
      <c r="B20" s="46" t="s">
        <v>264</v>
      </c>
      <c r="C20" s="47" t="s">
        <v>666</v>
      </c>
      <c r="D20" s="48" t="s">
        <v>663</v>
      </c>
      <c r="E20" s="47">
        <v>4.0</v>
      </c>
      <c r="F20" s="47">
        <v>164.0</v>
      </c>
      <c r="G20" s="47">
        <v>0.0</v>
      </c>
      <c r="H20" s="49" t="s">
        <v>679</v>
      </c>
    </row>
    <row r="21" ht="15.0" customHeight="1">
      <c r="A21" s="45" t="s">
        <v>180</v>
      </c>
      <c r="B21" s="46" t="s">
        <v>182</v>
      </c>
      <c r="C21" s="47" t="s">
        <v>669</v>
      </c>
      <c r="D21" s="50" t="s">
        <v>680</v>
      </c>
      <c r="E21" s="47">
        <v>40.0</v>
      </c>
      <c r="F21" s="47">
        <v>3.0</v>
      </c>
      <c r="G21" s="47">
        <v>2.0</v>
      </c>
      <c r="H21" s="49" t="s">
        <v>192</v>
      </c>
    </row>
    <row r="22" ht="15.0" customHeight="1">
      <c r="A22" s="45" t="s">
        <v>681</v>
      </c>
      <c r="B22" s="46" t="s">
        <v>182</v>
      </c>
      <c r="C22" s="47" t="s">
        <v>669</v>
      </c>
      <c r="D22" s="50" t="s">
        <v>680</v>
      </c>
      <c r="E22" s="47">
        <v>7.0</v>
      </c>
      <c r="F22" s="47">
        <v>164.0</v>
      </c>
      <c r="G22" s="47">
        <v>1.0</v>
      </c>
      <c r="H22" s="49" t="s">
        <v>683</v>
      </c>
    </row>
    <row r="23" ht="15.0" customHeight="1">
      <c r="A23" s="45" t="s">
        <v>684</v>
      </c>
      <c r="B23" s="46" t="s">
        <v>239</v>
      </c>
      <c r="C23" s="47" t="s">
        <v>287</v>
      </c>
      <c r="D23" s="50" t="s">
        <v>680</v>
      </c>
      <c r="E23" s="47">
        <v>5.0</v>
      </c>
      <c r="F23" s="47">
        <v>85.0</v>
      </c>
      <c r="G23" s="47">
        <v>0.0</v>
      </c>
      <c r="H23" s="49" t="s">
        <v>685</v>
      </c>
    </row>
    <row r="24" ht="15.0" customHeight="1">
      <c r="A24" s="45" t="s">
        <v>686</v>
      </c>
      <c r="B24" s="46" t="s">
        <v>133</v>
      </c>
      <c r="C24" s="47" t="s">
        <v>669</v>
      </c>
      <c r="D24" s="50" t="s">
        <v>680</v>
      </c>
      <c r="E24" s="47">
        <v>7.0</v>
      </c>
      <c r="F24" s="47">
        <v>99.0</v>
      </c>
      <c r="G24" s="47">
        <v>0.0</v>
      </c>
      <c r="H24" s="49" t="s">
        <v>687</v>
      </c>
    </row>
    <row r="25" ht="15.0" customHeight="1">
      <c r="A25" s="45" t="s">
        <v>474</v>
      </c>
      <c r="B25" s="46" t="s">
        <v>195</v>
      </c>
      <c r="C25" s="47" t="s">
        <v>669</v>
      </c>
      <c r="D25" s="50" t="s">
        <v>680</v>
      </c>
      <c r="E25" s="47">
        <v>8.0</v>
      </c>
      <c r="F25" s="47">
        <v>30.0</v>
      </c>
      <c r="G25" s="47">
        <v>0.0</v>
      </c>
      <c r="H25" s="49" t="s">
        <v>479</v>
      </c>
    </row>
    <row r="26" ht="15.0" customHeight="1">
      <c r="A26" s="45" t="s">
        <v>688</v>
      </c>
      <c r="B26" s="46" t="s">
        <v>195</v>
      </c>
      <c r="C26" s="47" t="s">
        <v>669</v>
      </c>
      <c r="D26" s="50" t="s">
        <v>680</v>
      </c>
      <c r="E26" s="47">
        <v>10.0</v>
      </c>
      <c r="F26" s="47">
        <v>101.0</v>
      </c>
      <c r="G26" s="47">
        <v>2.0</v>
      </c>
      <c r="H26" s="49" t="s">
        <v>689</v>
      </c>
    </row>
    <row r="27" ht="15.0" customHeight="1">
      <c r="A27" s="45" t="s">
        <v>691</v>
      </c>
      <c r="B27" s="46" t="s">
        <v>195</v>
      </c>
      <c r="C27" s="47" t="s">
        <v>669</v>
      </c>
      <c r="D27" s="50" t="s">
        <v>680</v>
      </c>
      <c r="E27" s="47">
        <v>8.0</v>
      </c>
      <c r="F27" s="47">
        <v>114.0</v>
      </c>
      <c r="G27" s="47">
        <v>1.0</v>
      </c>
      <c r="H27" s="49" t="s">
        <v>693</v>
      </c>
    </row>
    <row r="28" ht="15.0" customHeight="1">
      <c r="A28" s="45" t="s">
        <v>694</v>
      </c>
      <c r="B28" s="46" t="s">
        <v>195</v>
      </c>
      <c r="C28" s="47" t="s">
        <v>666</v>
      </c>
      <c r="D28" s="50" t="s">
        <v>680</v>
      </c>
      <c r="E28" s="47">
        <v>1.0</v>
      </c>
      <c r="F28" s="47">
        <v>162.0</v>
      </c>
      <c r="G28" s="47">
        <v>0.0</v>
      </c>
      <c r="H28" s="49" t="s">
        <v>695</v>
      </c>
    </row>
    <row r="29" ht="15.0" customHeight="1">
      <c r="A29" s="45" t="s">
        <v>505</v>
      </c>
      <c r="B29" s="46" t="s">
        <v>232</v>
      </c>
      <c r="C29" s="47" t="s">
        <v>287</v>
      </c>
      <c r="D29" s="50" t="s">
        <v>680</v>
      </c>
      <c r="E29" s="47">
        <v>23.0</v>
      </c>
      <c r="F29" s="47">
        <v>45.0</v>
      </c>
      <c r="G29" s="47">
        <v>2.0</v>
      </c>
      <c r="H29" s="49" t="s">
        <v>509</v>
      </c>
    </row>
    <row r="30" ht="15.0" customHeight="1">
      <c r="A30" s="45" t="s">
        <v>535</v>
      </c>
      <c r="B30" s="46" t="s">
        <v>272</v>
      </c>
      <c r="C30" s="47" t="s">
        <v>287</v>
      </c>
      <c r="D30" s="50" t="s">
        <v>680</v>
      </c>
      <c r="E30" s="47">
        <v>32.0</v>
      </c>
      <c r="F30" s="47">
        <v>52.0</v>
      </c>
      <c r="G30" s="47">
        <v>2.0</v>
      </c>
      <c r="H30" s="49" t="s">
        <v>538</v>
      </c>
    </row>
    <row r="31" ht="15.0" customHeight="1">
      <c r="A31" s="45" t="s">
        <v>697</v>
      </c>
      <c r="B31" s="46" t="s">
        <v>253</v>
      </c>
      <c r="C31" s="47" t="s">
        <v>666</v>
      </c>
      <c r="D31" s="50" t="s">
        <v>680</v>
      </c>
      <c r="E31" s="47">
        <v>5.0</v>
      </c>
      <c r="F31" s="47">
        <v>91.0</v>
      </c>
      <c r="G31" s="47">
        <v>0.0</v>
      </c>
      <c r="H31" s="49" t="s">
        <v>698</v>
      </c>
    </row>
    <row r="32" ht="15.0" customHeight="1">
      <c r="A32" s="45" t="s">
        <v>699</v>
      </c>
      <c r="B32" s="46" t="s">
        <v>253</v>
      </c>
      <c r="C32" s="47" t="s">
        <v>666</v>
      </c>
      <c r="D32" s="50" t="s">
        <v>680</v>
      </c>
      <c r="E32" s="47">
        <v>4.0</v>
      </c>
      <c r="F32" s="47">
        <v>160.0</v>
      </c>
      <c r="G32" s="47">
        <v>0.0</v>
      </c>
      <c r="H32" s="49" t="s">
        <v>700</v>
      </c>
    </row>
    <row r="33" ht="15.0" customHeight="1">
      <c r="A33" s="45" t="s">
        <v>701</v>
      </c>
      <c r="B33" s="46" t="s">
        <v>253</v>
      </c>
      <c r="C33" s="47" t="s">
        <v>669</v>
      </c>
      <c r="D33" s="50" t="s">
        <v>680</v>
      </c>
      <c r="E33" s="47">
        <v>5.0</v>
      </c>
      <c r="F33" s="47">
        <v>172.0</v>
      </c>
      <c r="G33" s="47">
        <v>0.0</v>
      </c>
      <c r="H33" s="49" t="s">
        <v>702</v>
      </c>
    </row>
    <row r="34" ht="24.0" customHeight="1">
      <c r="A34" s="45" t="s">
        <v>280</v>
      </c>
      <c r="B34" s="46" t="s">
        <v>185</v>
      </c>
      <c r="C34" s="47" t="s">
        <v>669</v>
      </c>
      <c r="D34" s="50" t="s">
        <v>680</v>
      </c>
      <c r="E34" s="47">
        <v>25.0</v>
      </c>
      <c r="F34" s="47">
        <v>11.0</v>
      </c>
      <c r="G34" s="47">
        <v>1.0</v>
      </c>
      <c r="H34" s="49" t="s">
        <v>289</v>
      </c>
    </row>
    <row r="35" ht="15.0" customHeight="1">
      <c r="A35" s="45" t="s">
        <v>704</v>
      </c>
      <c r="B35" s="46" t="s">
        <v>185</v>
      </c>
      <c r="C35" s="47" t="s">
        <v>666</v>
      </c>
      <c r="D35" s="50" t="s">
        <v>680</v>
      </c>
      <c r="E35" s="47">
        <v>6.0</v>
      </c>
      <c r="F35" s="47">
        <v>139.0</v>
      </c>
      <c r="G35" s="47">
        <v>1.0</v>
      </c>
      <c r="H35" s="49" t="s">
        <v>706</v>
      </c>
    </row>
    <row r="36" ht="15.0" customHeight="1">
      <c r="A36" s="45" t="s">
        <v>707</v>
      </c>
      <c r="B36" s="46" t="s">
        <v>185</v>
      </c>
      <c r="C36" s="47" t="s">
        <v>669</v>
      </c>
      <c r="D36" s="50" t="s">
        <v>680</v>
      </c>
      <c r="E36" s="47">
        <v>5.0</v>
      </c>
      <c r="F36" s="47">
        <v>173.0</v>
      </c>
      <c r="G36" s="47">
        <v>0.0</v>
      </c>
      <c r="H36" s="49" t="s">
        <v>708</v>
      </c>
    </row>
    <row r="37" ht="15.0" customHeight="1">
      <c r="A37" s="45" t="s">
        <v>347</v>
      </c>
      <c r="B37" s="46" t="s">
        <v>143</v>
      </c>
      <c r="C37" s="47" t="s">
        <v>666</v>
      </c>
      <c r="D37" s="51" t="s">
        <v>709</v>
      </c>
      <c r="E37" s="47">
        <v>8.0</v>
      </c>
      <c r="F37" s="47">
        <v>27.0</v>
      </c>
      <c r="G37" s="47">
        <v>0.0</v>
      </c>
      <c r="H37" s="49" t="s">
        <v>351</v>
      </c>
    </row>
    <row r="38" ht="15.0" customHeight="1">
      <c r="A38" s="45" t="s">
        <v>307</v>
      </c>
      <c r="B38" s="46" t="s">
        <v>239</v>
      </c>
      <c r="C38" s="47" t="s">
        <v>666</v>
      </c>
      <c r="D38" s="51" t="s">
        <v>709</v>
      </c>
      <c r="E38" s="47">
        <v>8.0</v>
      </c>
      <c r="F38" s="47">
        <v>21.0</v>
      </c>
      <c r="G38" s="47">
        <v>0.0</v>
      </c>
      <c r="H38" s="49" t="s">
        <v>312</v>
      </c>
    </row>
    <row r="39" ht="15.0" customHeight="1">
      <c r="A39" s="45" t="s">
        <v>357</v>
      </c>
      <c r="B39" s="46" t="s">
        <v>93</v>
      </c>
      <c r="C39" s="47" t="s">
        <v>669</v>
      </c>
      <c r="D39" s="51" t="s">
        <v>709</v>
      </c>
      <c r="E39" s="47">
        <v>23.0</v>
      </c>
      <c r="F39" s="47">
        <v>17.0</v>
      </c>
      <c r="G39" s="47">
        <v>1.0</v>
      </c>
      <c r="H39" s="49" t="s">
        <v>365</v>
      </c>
    </row>
    <row r="40" ht="15.0" customHeight="1">
      <c r="A40" s="45" t="s">
        <v>584</v>
      </c>
      <c r="B40" s="46" t="s">
        <v>93</v>
      </c>
      <c r="C40" s="47" t="s">
        <v>669</v>
      </c>
      <c r="D40" s="51" t="s">
        <v>709</v>
      </c>
      <c r="E40" s="47">
        <v>12.0</v>
      </c>
      <c r="F40" s="47">
        <v>46.0</v>
      </c>
      <c r="G40" s="47">
        <v>0.0</v>
      </c>
      <c r="H40" s="49" t="s">
        <v>591</v>
      </c>
    </row>
    <row r="41" ht="15.0" customHeight="1">
      <c r="A41" s="45" t="s">
        <v>713</v>
      </c>
      <c r="B41" s="46" t="s">
        <v>272</v>
      </c>
      <c r="C41" s="47" t="s">
        <v>669</v>
      </c>
      <c r="D41" s="51" t="s">
        <v>709</v>
      </c>
      <c r="E41" s="47">
        <v>5.0</v>
      </c>
      <c r="F41" s="47">
        <v>174.0</v>
      </c>
      <c r="G41" s="47">
        <v>0.0</v>
      </c>
      <c r="H41" s="49" t="s">
        <v>714</v>
      </c>
    </row>
    <row r="42" ht="15.0" customHeight="1">
      <c r="A42" s="45" t="s">
        <v>240</v>
      </c>
      <c r="B42" s="46" t="s">
        <v>60</v>
      </c>
      <c r="C42" s="47" t="s">
        <v>666</v>
      </c>
      <c r="D42" s="51" t="s">
        <v>709</v>
      </c>
      <c r="E42" s="47">
        <v>13.0</v>
      </c>
      <c r="F42" s="47">
        <v>13.0</v>
      </c>
      <c r="G42" s="47">
        <v>1.0</v>
      </c>
      <c r="H42" s="49" t="s">
        <v>247</v>
      </c>
    </row>
    <row r="43" ht="15.0" customHeight="1">
      <c r="A43" s="45" t="s">
        <v>381</v>
      </c>
      <c r="B43" s="46" t="s">
        <v>60</v>
      </c>
      <c r="C43" s="47" t="s">
        <v>666</v>
      </c>
      <c r="D43" s="51" t="s">
        <v>709</v>
      </c>
      <c r="E43" s="47">
        <v>7.0</v>
      </c>
      <c r="F43" s="47">
        <v>33.0</v>
      </c>
      <c r="G43" s="47">
        <v>0.0</v>
      </c>
      <c r="H43" s="49" t="s">
        <v>382</v>
      </c>
    </row>
    <row r="44" ht="15.0" customHeight="1">
      <c r="A44" s="45" t="s">
        <v>566</v>
      </c>
      <c r="B44" s="46" t="s">
        <v>212</v>
      </c>
      <c r="C44" s="47" t="s">
        <v>669</v>
      </c>
      <c r="D44" s="51" t="s">
        <v>709</v>
      </c>
      <c r="E44" s="47">
        <v>13.0</v>
      </c>
      <c r="F44" s="47">
        <v>44.0</v>
      </c>
      <c r="G44" s="47">
        <v>1.0</v>
      </c>
      <c r="H44" s="49" t="s">
        <v>570</v>
      </c>
    </row>
    <row r="45" ht="15.0" customHeight="1">
      <c r="A45" s="45" t="s">
        <v>715</v>
      </c>
      <c r="B45" s="46" t="s">
        <v>264</v>
      </c>
      <c r="C45" s="47" t="s">
        <v>666</v>
      </c>
      <c r="D45" s="51" t="s">
        <v>709</v>
      </c>
      <c r="E45" s="47">
        <v>4.0</v>
      </c>
      <c r="F45" s="47">
        <v>163.0</v>
      </c>
      <c r="G45" s="47">
        <v>2.0</v>
      </c>
      <c r="H45" s="49" t="s">
        <v>716</v>
      </c>
    </row>
    <row r="46" ht="15.0" customHeight="1">
      <c r="A46" s="45" t="s">
        <v>717</v>
      </c>
      <c r="B46" s="46" t="s">
        <v>264</v>
      </c>
      <c r="C46" s="47" t="s">
        <v>666</v>
      </c>
      <c r="D46" s="51" t="s">
        <v>709</v>
      </c>
      <c r="E46" s="47">
        <v>4.0</v>
      </c>
      <c r="F46" s="47">
        <v>168.0</v>
      </c>
      <c r="G46" s="47">
        <v>0.0</v>
      </c>
      <c r="H46" s="49" t="s">
        <v>718</v>
      </c>
    </row>
    <row r="47" ht="15.75" customHeight="1"/>
    <row r="48" ht="15.75" customHeight="1">
      <c r="A48" s="39" t="s">
        <v>719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46"/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.0"/>
    <col customWidth="1" min="2" max="2" width="15.0"/>
    <col customWidth="1" min="3" max="3" width="26.0"/>
    <col customWidth="1" min="4" max="4" width="13.0"/>
    <col customWidth="1" min="5" max="6" width="7.0"/>
    <col customWidth="1" min="7" max="9" width="12.0"/>
    <col customWidth="1" min="10" max="11" width="11.0"/>
    <col customWidth="1" min="12" max="12" width="14.0"/>
    <col customWidth="1" min="13" max="13" width="36.0"/>
    <col customWidth="1" min="14" max="16" width="10.0"/>
    <col customWidth="1" min="17" max="17" width="12.0"/>
    <col customWidth="1" min="18" max="18" width="28.0"/>
    <col customWidth="1" min="19" max="26" width="8.71"/>
  </cols>
  <sheetData>
    <row r="1">
      <c r="A1" s="2" t="s">
        <v>741</v>
      </c>
    </row>
    <row r="2">
      <c r="A2" s="4" t="s">
        <v>742</v>
      </c>
    </row>
    <row r="4">
      <c r="A4" s="40" t="s">
        <v>743</v>
      </c>
      <c r="E4" s="40" t="s">
        <v>744</v>
      </c>
    </row>
    <row r="5">
      <c r="A5" s="52" t="s">
        <v>745</v>
      </c>
      <c r="B5" s="53">
        <f>Guida!$B$5</f>
        <v>500</v>
      </c>
      <c r="E5" s="6" t="s">
        <v>52</v>
      </c>
      <c r="F5" s="6" t="s">
        <v>748</v>
      </c>
      <c r="G5" s="6" t="s">
        <v>749</v>
      </c>
      <c r="H5" s="6" t="s">
        <v>750</v>
      </c>
    </row>
    <row r="6">
      <c r="A6" s="52" t="s">
        <v>751</v>
      </c>
      <c r="B6" s="53">
        <f>SUM(H11:H35)</f>
        <v>0</v>
      </c>
      <c r="E6" s="54" t="s">
        <v>58</v>
      </c>
      <c r="F6" s="55">
        <f>Guida!$D$11</f>
        <v>30</v>
      </c>
      <c r="G6" s="55">
        <f>SUM(H11:H13)</f>
        <v>0</v>
      </c>
      <c r="H6" s="55">
        <f t="shared" ref="H6:H9" si="1">G6-F6</f>
        <v>-30</v>
      </c>
    </row>
    <row r="7">
      <c r="A7" s="52" t="s">
        <v>753</v>
      </c>
      <c r="B7" s="53">
        <f>B5-B6</f>
        <v>500</v>
      </c>
      <c r="E7" s="54" t="s">
        <v>62</v>
      </c>
      <c r="F7" s="55">
        <f>Guida!$D$12</f>
        <v>75</v>
      </c>
      <c r="G7" s="55">
        <f>SUM(H14:H21)</f>
        <v>0</v>
      </c>
      <c r="H7" s="55">
        <f t="shared" si="1"/>
        <v>-75</v>
      </c>
    </row>
    <row r="8">
      <c r="A8" s="52" t="s">
        <v>756</v>
      </c>
      <c r="B8" s="53">
        <f>Guida!$B$7-COUNTIF(C11:C35,"?*")</f>
        <v>25</v>
      </c>
      <c r="E8" s="54" t="s">
        <v>67</v>
      </c>
      <c r="F8" s="55">
        <f>Guida!$D$13</f>
        <v>145</v>
      </c>
      <c r="G8" s="55">
        <f>SUM(H22:H29)</f>
        <v>0</v>
      </c>
      <c r="H8" s="55">
        <f t="shared" si="1"/>
        <v>-145</v>
      </c>
    </row>
    <row r="9">
      <c r="A9" s="52" t="s">
        <v>760</v>
      </c>
      <c r="B9" s="56">
        <f>IFERROR(ROUND(B7/B8,1),0)</f>
        <v>20</v>
      </c>
      <c r="E9" s="54" t="s">
        <v>74</v>
      </c>
      <c r="F9" s="55">
        <f>Guida!$D$14</f>
        <v>250</v>
      </c>
      <c r="G9" s="55">
        <f>SUM(H30:H35)</f>
        <v>0</v>
      </c>
      <c r="H9" s="55">
        <f t="shared" si="1"/>
        <v>-250</v>
      </c>
    </row>
    <row r="10" ht="33.75" customHeight="1">
      <c r="A10" s="6" t="s">
        <v>575</v>
      </c>
      <c r="B10" s="57" t="s">
        <v>659</v>
      </c>
      <c r="C10" s="6" t="s">
        <v>763</v>
      </c>
      <c r="D10" s="6" t="s">
        <v>11</v>
      </c>
      <c r="E10" s="6" t="s">
        <v>14</v>
      </c>
      <c r="F10" s="6" t="s">
        <v>16</v>
      </c>
      <c r="G10" s="6" t="s">
        <v>17</v>
      </c>
      <c r="H10" s="6" t="s">
        <v>764</v>
      </c>
      <c r="I10" s="6" t="s">
        <v>753</v>
      </c>
      <c r="J10" s="6" t="s">
        <v>750</v>
      </c>
      <c r="K10" s="6" t="s">
        <v>19</v>
      </c>
      <c r="L10" s="6" t="s">
        <v>766</v>
      </c>
      <c r="M10" s="6" t="s">
        <v>767</v>
      </c>
      <c r="N10" s="6" t="s">
        <v>28</v>
      </c>
      <c r="O10" s="6" t="s">
        <v>768</v>
      </c>
      <c r="P10" s="6" t="s">
        <v>23</v>
      </c>
      <c r="Q10" s="6" t="s">
        <v>661</v>
      </c>
      <c r="R10" s="6" t="s">
        <v>770</v>
      </c>
    </row>
    <row r="11">
      <c r="A11" s="58">
        <v>1.0</v>
      </c>
      <c r="B11" s="58" t="s">
        <v>61</v>
      </c>
      <c r="C11" s="59"/>
      <c r="D11" s="60" t="str">
        <f t="array" ref="D11">IF($C11="","",IFERROR(INDEX(DB!$F$2:$F$536,MATCH($C11,DB!$A$2:$A$536,0)),""))</f>
        <v/>
      </c>
      <c r="E11" s="61" t="str">
        <f t="array" ref="E11">IF($C11="","",IFERROR(INDEX(DB!$H$2:$H$536,MATCH($C11,DB!$A$2:$A$536,0)),""))</f>
        <v/>
      </c>
      <c r="F11" s="61" t="str">
        <f t="array" ref="F11">IF($C11="","",IFERROR(INDEX(DB!$J$2:$J$536,MATCH($C11,DB!$A$2:$A$536,0)),""))</f>
        <v/>
      </c>
      <c r="G11" s="61" t="str">
        <f t="array" ref="G11">IF($C11="","",IFERROR(INDEX(DB!$K$2:$K$536,MATCH($C11,DB!$A$2:$A$536,0)),""))</f>
        <v/>
      </c>
      <c r="H11" s="62"/>
      <c r="I11" s="61">
        <f>$B$5-N(H11)</f>
        <v>500</v>
      </c>
      <c r="J11" s="61" t="str">
        <f t="shared" ref="J11:J35" si="2">IF($C11="","",N(H11)-N(G11))</f>
        <v/>
      </c>
      <c r="K11" s="58" t="str">
        <f t="array" ref="K11">IF($C11="","",IFERROR(INDEX(DB!$T$2:$T$536,MATCH($C11,DB!$A$2:$A$536,0)),""))</f>
        <v/>
      </c>
      <c r="L11" s="58" t="str">
        <f t="array" ref="L11">IF($C11="","",IFERROR(INDEX(DB!$O$2:$O$536,MATCH($C11,DB!$A$2:$A$536,0)),""))</f>
        <v/>
      </c>
      <c r="M11" s="60" t="str">
        <f t="array" ref="M11">IF($C11="","",IFERROR(INDEX(DB!$U$2:$U$536,MATCH($C11,DB!$A$2:$A$536,0)),""))</f>
        <v/>
      </c>
      <c r="N11" s="63" t="str">
        <f t="array" ref="N11">IF($C11="","",IFERROR(IF(INDEX(DB!$Q$2:$Q$536,MATCH($C11,DB!$A$2:$A$536,0))=0,"-",INDEX(DB!$Q$2:$Q$536,MATCH($C11,DB!$A$2:$A$536,0))),""))</f>
        <v/>
      </c>
      <c r="O11" s="61" t="str">
        <f t="array" ref="O11">IF($C11="","",IFERROR(INDEX(DB!$V$2:$V$536,MATCH($C11,DB!$A$2:$A$536,0)),""))</f>
        <v/>
      </c>
      <c r="P11" s="58" t="str">
        <f t="array" ref="P11">IF($C11="","",IFERROR(INDEX(DB!$R$2:$R$536,MATCH($C11,DB!$A$2:$A$536,0)),""))</f>
        <v/>
      </c>
      <c r="Q11" s="61" t="str">
        <f t="array" ref="Q11">IF($C11="","",IFERROR(INDEX(DB!$N$2:$N$536,MATCH($C11,DB!$A$2:$A$536,0)),""))</f>
        <v/>
      </c>
      <c r="R11" s="60" t="str">
        <f t="array" ref="R11">IF($C11="","",IFERROR(INDEX(DB!$S$2:$S$536,MATCH($C11,DB!$A$2:$A$536,0)),""))</f>
        <v/>
      </c>
    </row>
    <row r="12">
      <c r="A12" s="58">
        <v>2.0</v>
      </c>
      <c r="B12" s="58" t="s">
        <v>61</v>
      </c>
      <c r="C12" s="59"/>
      <c r="D12" s="60" t="str">
        <f t="array" ref="D12">IF($C12="","",IFERROR(INDEX(DB!$F$2:$F$536,MATCH($C12,DB!$A$2:$A$536,0)),""))</f>
        <v/>
      </c>
      <c r="E12" s="61" t="str">
        <f t="array" ref="E12">IF($C12="","",IFERROR(INDEX(DB!$H$2:$H$536,MATCH($C12,DB!$A$2:$A$536,0)),""))</f>
        <v/>
      </c>
      <c r="F12" s="61" t="str">
        <f t="array" ref="F12">IF($C12="","",IFERROR(INDEX(DB!$J$2:$J$536,MATCH($C12,DB!$A$2:$A$536,0)),""))</f>
        <v/>
      </c>
      <c r="G12" s="61" t="str">
        <f t="array" ref="G12">IF($C12="","",IFERROR(INDEX(DB!$K$2:$K$536,MATCH($C12,DB!$A$2:$A$536,0)),""))</f>
        <v/>
      </c>
      <c r="H12" s="62"/>
      <c r="I12" s="61">
        <f t="shared" ref="I12:I35" si="3">I11-N(H12)</f>
        <v>500</v>
      </c>
      <c r="J12" s="61" t="str">
        <f t="shared" si="2"/>
        <v/>
      </c>
      <c r="K12" s="58" t="str">
        <f t="array" ref="K12">IF($C12="","",IFERROR(INDEX(DB!$T$2:$T$536,MATCH($C12,DB!$A$2:$A$536,0)),""))</f>
        <v/>
      </c>
      <c r="L12" s="58" t="str">
        <f t="array" ref="L12">IF($C12="","",IFERROR(INDEX(DB!$O$2:$O$536,MATCH($C12,DB!$A$2:$A$536,0)),""))</f>
        <v/>
      </c>
      <c r="M12" s="60" t="str">
        <f t="array" ref="M12">IF($C12="","",IFERROR(INDEX(DB!$U$2:$U$536,MATCH($C12,DB!$A$2:$A$536,0)),""))</f>
        <v/>
      </c>
      <c r="N12" s="63" t="str">
        <f t="array" ref="N12">IF($C12="","",IFERROR(IF(INDEX(DB!$Q$2:$Q$536,MATCH($C12,DB!$A$2:$A$536,0))=0,"-",INDEX(DB!$Q$2:$Q$536,MATCH($C12,DB!$A$2:$A$536,0))),""))</f>
        <v/>
      </c>
      <c r="O12" s="61" t="str">
        <f t="array" ref="O12">IF($C12="","",IFERROR(INDEX(DB!$V$2:$V$536,MATCH($C12,DB!$A$2:$A$536,0)),""))</f>
        <v/>
      </c>
      <c r="P12" s="58" t="str">
        <f t="array" ref="P12">IF($C12="","",IFERROR(INDEX(DB!$R$2:$R$536,MATCH($C12,DB!$A$2:$A$536,0)),""))</f>
        <v/>
      </c>
      <c r="Q12" s="61" t="str">
        <f t="array" ref="Q12">IF($C12="","",IFERROR(INDEX(DB!$N$2:$N$536,MATCH($C12,DB!$A$2:$A$536,0)),""))</f>
        <v/>
      </c>
      <c r="R12" s="60" t="str">
        <f t="array" ref="R12">IF($C12="","",IFERROR(INDEX(DB!$S$2:$S$536,MATCH($C12,DB!$A$2:$A$536,0)),""))</f>
        <v/>
      </c>
    </row>
    <row r="13">
      <c r="A13" s="64">
        <v>3.0</v>
      </c>
      <c r="B13" s="64" t="s">
        <v>61</v>
      </c>
      <c r="C13" s="65"/>
      <c r="D13" s="66" t="str">
        <f t="array" ref="D13">IF($C13="","",IFERROR(INDEX(DB!$F$2:$F$536,MATCH($C13,DB!$A$2:$A$536,0)),""))</f>
        <v/>
      </c>
      <c r="E13" s="67" t="str">
        <f t="array" ref="E13">IF($C13="","",IFERROR(INDEX(DB!$H$2:$H$536,MATCH($C13,DB!$A$2:$A$536,0)),""))</f>
        <v/>
      </c>
      <c r="F13" s="67" t="str">
        <f t="array" ref="F13">IF($C13="","",IFERROR(INDEX(DB!$J$2:$J$536,MATCH($C13,DB!$A$2:$A$536,0)),""))</f>
        <v/>
      </c>
      <c r="G13" s="67" t="str">
        <f t="array" ref="G13">IF($C13="","",IFERROR(INDEX(DB!$K$2:$K$536,MATCH($C13,DB!$A$2:$A$536,0)),""))</f>
        <v/>
      </c>
      <c r="H13" s="68"/>
      <c r="I13" s="67">
        <f t="shared" si="3"/>
        <v>500</v>
      </c>
      <c r="J13" s="67" t="str">
        <f t="shared" si="2"/>
        <v/>
      </c>
      <c r="K13" s="64" t="str">
        <f t="array" ref="K13">IF($C13="","",IFERROR(INDEX(DB!$T$2:$T$536,MATCH($C13,DB!$A$2:$A$536,0)),""))</f>
        <v/>
      </c>
      <c r="L13" s="64" t="str">
        <f t="array" ref="L13">IF($C13="","",IFERROR(INDEX(DB!$O$2:$O$536,MATCH($C13,DB!$A$2:$A$536,0)),""))</f>
        <v/>
      </c>
      <c r="M13" s="66" t="str">
        <f t="array" ref="M13">IF($C13="","",IFERROR(INDEX(DB!$U$2:$U$536,MATCH($C13,DB!$A$2:$A$536,0)),""))</f>
        <v/>
      </c>
      <c r="N13" s="69" t="str">
        <f t="array" ref="N13">IF($C13="","",IFERROR(IF(INDEX(DB!$Q$2:$Q$536,MATCH($C13,DB!$A$2:$A$536,0))=0,"-",INDEX(DB!$Q$2:$Q$536,MATCH($C13,DB!$A$2:$A$536,0))),""))</f>
        <v/>
      </c>
      <c r="O13" s="67" t="str">
        <f t="array" ref="O13">IF($C13="","",IFERROR(INDEX(DB!$V$2:$V$536,MATCH($C13,DB!$A$2:$A$536,0)),""))</f>
        <v/>
      </c>
      <c r="P13" s="64" t="str">
        <f t="array" ref="P13">IF($C13="","",IFERROR(INDEX(DB!$R$2:$R$536,MATCH($C13,DB!$A$2:$A$536,0)),""))</f>
        <v/>
      </c>
      <c r="Q13" s="67" t="str">
        <f t="array" ref="Q13">IF($C13="","",IFERROR(INDEX(DB!$N$2:$N$536,MATCH($C13,DB!$A$2:$A$536,0)),""))</f>
        <v/>
      </c>
      <c r="R13" s="66" t="str">
        <f t="array" ref="R13">IF($C13="","",IFERROR(INDEX(DB!$S$2:$S$536,MATCH($C13,DB!$A$2:$A$536,0)),""))</f>
        <v/>
      </c>
    </row>
    <row r="14">
      <c r="A14" s="58">
        <v>1.0</v>
      </c>
      <c r="B14" s="58" t="s">
        <v>666</v>
      </c>
      <c r="C14" s="59"/>
      <c r="D14" s="60" t="str">
        <f t="array" ref="D14">IF($C14="","",IFERROR(INDEX(DB!$F$2:$F$536,MATCH($C14,DB!$A$2:$A$536,0)),""))</f>
        <v/>
      </c>
      <c r="E14" s="61" t="str">
        <f t="array" ref="E14">IF($C14="","",IFERROR(INDEX(DB!$H$2:$H$536,MATCH($C14,DB!$A$2:$A$536,0)),""))</f>
        <v/>
      </c>
      <c r="F14" s="61" t="str">
        <f t="array" ref="F14">IF($C14="","",IFERROR(INDEX(DB!$J$2:$J$536,MATCH($C14,DB!$A$2:$A$536,0)),""))</f>
        <v/>
      </c>
      <c r="G14" s="61" t="str">
        <f t="array" ref="G14">IF($C14="","",IFERROR(INDEX(DB!$K$2:$K$536,MATCH($C14,DB!$A$2:$A$536,0)),""))</f>
        <v/>
      </c>
      <c r="H14" s="62"/>
      <c r="I14" s="61">
        <f t="shared" si="3"/>
        <v>500</v>
      </c>
      <c r="J14" s="61" t="str">
        <f t="shared" si="2"/>
        <v/>
      </c>
      <c r="K14" s="58" t="str">
        <f t="array" ref="K14">IF($C14="","",IFERROR(INDEX(DB!$T$2:$T$536,MATCH($C14,DB!$A$2:$A$536,0)),""))</f>
        <v/>
      </c>
      <c r="L14" s="58" t="str">
        <f t="array" ref="L14">IF($C14="","",IFERROR(INDEX(DB!$O$2:$O$536,MATCH($C14,DB!$A$2:$A$536,0)),""))</f>
        <v/>
      </c>
      <c r="M14" s="60" t="str">
        <f t="array" ref="M14">IF($C14="","",IFERROR(INDEX(DB!$U$2:$U$536,MATCH($C14,DB!$A$2:$A$536,0)),""))</f>
        <v/>
      </c>
      <c r="N14" s="63" t="str">
        <f t="array" ref="N14">IF($C14="","",IFERROR(IF(INDEX(DB!$Q$2:$Q$536,MATCH($C14,DB!$A$2:$A$536,0))=0,"-",INDEX(DB!$Q$2:$Q$536,MATCH($C14,DB!$A$2:$A$536,0))),""))</f>
        <v/>
      </c>
      <c r="O14" s="61" t="str">
        <f t="array" ref="O14">IF($C14="","",IFERROR(INDEX(DB!$V$2:$V$536,MATCH($C14,DB!$A$2:$A$536,0)),""))</f>
        <v/>
      </c>
      <c r="P14" s="58" t="str">
        <f t="array" ref="P14">IF($C14="","",IFERROR(INDEX(DB!$R$2:$R$536,MATCH($C14,DB!$A$2:$A$536,0)),""))</f>
        <v/>
      </c>
      <c r="Q14" s="61" t="str">
        <f t="array" ref="Q14">IF($C14="","",IFERROR(INDEX(DB!$N$2:$N$536,MATCH($C14,DB!$A$2:$A$536,0)),""))</f>
        <v/>
      </c>
      <c r="R14" s="60" t="str">
        <f t="array" ref="R14">IF($C14="","",IFERROR(INDEX(DB!$S$2:$S$536,MATCH($C14,DB!$A$2:$A$536,0)),""))</f>
        <v/>
      </c>
    </row>
    <row r="15">
      <c r="A15" s="58">
        <v>2.0</v>
      </c>
      <c r="B15" s="58" t="s">
        <v>666</v>
      </c>
      <c r="C15" s="59"/>
      <c r="D15" s="60" t="str">
        <f t="array" ref="D15">IF($C15="","",IFERROR(INDEX(DB!$F$2:$F$536,MATCH($C15,DB!$A$2:$A$536,0)),""))</f>
        <v/>
      </c>
      <c r="E15" s="61" t="str">
        <f t="array" ref="E15">IF($C15="","",IFERROR(INDEX(DB!$H$2:$H$536,MATCH($C15,DB!$A$2:$A$536,0)),""))</f>
        <v/>
      </c>
      <c r="F15" s="61" t="str">
        <f t="array" ref="F15">IF($C15="","",IFERROR(INDEX(DB!$J$2:$J$536,MATCH($C15,DB!$A$2:$A$536,0)),""))</f>
        <v/>
      </c>
      <c r="G15" s="61" t="str">
        <f t="array" ref="G15">IF($C15="","",IFERROR(INDEX(DB!$K$2:$K$536,MATCH($C15,DB!$A$2:$A$536,0)),""))</f>
        <v/>
      </c>
      <c r="H15" s="62"/>
      <c r="I15" s="61">
        <f t="shared" si="3"/>
        <v>500</v>
      </c>
      <c r="J15" s="61" t="str">
        <f t="shared" si="2"/>
        <v/>
      </c>
      <c r="K15" s="58" t="str">
        <f t="array" ref="K15">IF($C15="","",IFERROR(INDEX(DB!$T$2:$T$536,MATCH($C15,DB!$A$2:$A$536,0)),""))</f>
        <v/>
      </c>
      <c r="L15" s="58" t="str">
        <f t="array" ref="L15">IF($C15="","",IFERROR(INDEX(DB!$O$2:$O$536,MATCH($C15,DB!$A$2:$A$536,0)),""))</f>
        <v/>
      </c>
      <c r="M15" s="60" t="str">
        <f t="array" ref="M15">IF($C15="","",IFERROR(INDEX(DB!$U$2:$U$536,MATCH($C15,DB!$A$2:$A$536,0)),""))</f>
        <v/>
      </c>
      <c r="N15" s="63" t="str">
        <f t="array" ref="N15">IF($C15="","",IFERROR(IF(INDEX(DB!$Q$2:$Q$536,MATCH($C15,DB!$A$2:$A$536,0))=0,"-",INDEX(DB!$Q$2:$Q$536,MATCH($C15,DB!$A$2:$A$536,0))),""))</f>
        <v/>
      </c>
      <c r="O15" s="61" t="str">
        <f t="array" ref="O15">IF($C15="","",IFERROR(INDEX(DB!$V$2:$V$536,MATCH($C15,DB!$A$2:$A$536,0)),""))</f>
        <v/>
      </c>
      <c r="P15" s="58" t="str">
        <f t="array" ref="P15">IF($C15="","",IFERROR(INDEX(DB!$R$2:$R$536,MATCH($C15,DB!$A$2:$A$536,0)),""))</f>
        <v/>
      </c>
      <c r="Q15" s="61" t="str">
        <f t="array" ref="Q15">IF($C15="","",IFERROR(INDEX(DB!$N$2:$N$536,MATCH($C15,DB!$A$2:$A$536,0)),""))</f>
        <v/>
      </c>
      <c r="R15" s="60" t="str">
        <f t="array" ref="R15">IF($C15="","",IFERROR(INDEX(DB!$S$2:$S$536,MATCH($C15,DB!$A$2:$A$536,0)),""))</f>
        <v/>
      </c>
    </row>
    <row r="16">
      <c r="A16" s="58">
        <v>3.0</v>
      </c>
      <c r="B16" s="58" t="s">
        <v>666</v>
      </c>
      <c r="C16" s="59"/>
      <c r="D16" s="60" t="str">
        <f t="array" ref="D16">IF($C16="","",IFERROR(INDEX(DB!$F$2:$F$536,MATCH($C16,DB!$A$2:$A$536,0)),""))</f>
        <v/>
      </c>
      <c r="E16" s="61" t="str">
        <f t="array" ref="E16">IF($C16="","",IFERROR(INDEX(DB!$H$2:$H$536,MATCH($C16,DB!$A$2:$A$536,0)),""))</f>
        <v/>
      </c>
      <c r="F16" s="61" t="str">
        <f t="array" ref="F16">IF($C16="","",IFERROR(INDEX(DB!$J$2:$J$536,MATCH($C16,DB!$A$2:$A$536,0)),""))</f>
        <v/>
      </c>
      <c r="G16" s="61" t="str">
        <f t="array" ref="G16">IF($C16="","",IFERROR(INDEX(DB!$K$2:$K$536,MATCH($C16,DB!$A$2:$A$536,0)),""))</f>
        <v/>
      </c>
      <c r="H16" s="62"/>
      <c r="I16" s="61">
        <f t="shared" si="3"/>
        <v>500</v>
      </c>
      <c r="J16" s="61" t="str">
        <f t="shared" si="2"/>
        <v/>
      </c>
      <c r="K16" s="58" t="str">
        <f t="array" ref="K16">IF($C16="","",IFERROR(INDEX(DB!$T$2:$T$536,MATCH($C16,DB!$A$2:$A$536,0)),""))</f>
        <v/>
      </c>
      <c r="L16" s="58" t="str">
        <f t="array" ref="L16">IF($C16="","",IFERROR(INDEX(DB!$O$2:$O$536,MATCH($C16,DB!$A$2:$A$536,0)),""))</f>
        <v/>
      </c>
      <c r="M16" s="60" t="str">
        <f t="array" ref="M16">IF($C16="","",IFERROR(INDEX(DB!$U$2:$U$536,MATCH($C16,DB!$A$2:$A$536,0)),""))</f>
        <v/>
      </c>
      <c r="N16" s="63" t="str">
        <f t="array" ref="N16">IF($C16="","",IFERROR(IF(INDEX(DB!$Q$2:$Q$536,MATCH($C16,DB!$A$2:$A$536,0))=0,"-",INDEX(DB!$Q$2:$Q$536,MATCH($C16,DB!$A$2:$A$536,0))),""))</f>
        <v/>
      </c>
      <c r="O16" s="61" t="str">
        <f t="array" ref="O16">IF($C16="","",IFERROR(INDEX(DB!$V$2:$V$536,MATCH($C16,DB!$A$2:$A$536,0)),""))</f>
        <v/>
      </c>
      <c r="P16" s="58" t="str">
        <f t="array" ref="P16">IF($C16="","",IFERROR(INDEX(DB!$R$2:$R$536,MATCH($C16,DB!$A$2:$A$536,0)),""))</f>
        <v/>
      </c>
      <c r="Q16" s="61" t="str">
        <f t="array" ref="Q16">IF($C16="","",IFERROR(INDEX(DB!$N$2:$N$536,MATCH($C16,DB!$A$2:$A$536,0)),""))</f>
        <v/>
      </c>
      <c r="R16" s="60" t="str">
        <f t="array" ref="R16">IF($C16="","",IFERROR(INDEX(DB!$S$2:$S$536,MATCH($C16,DB!$A$2:$A$536,0)),""))</f>
        <v/>
      </c>
    </row>
    <row r="17">
      <c r="A17" s="58">
        <v>4.0</v>
      </c>
      <c r="B17" s="58" t="s">
        <v>666</v>
      </c>
      <c r="C17" s="59"/>
      <c r="D17" s="60" t="str">
        <f t="array" ref="D17">IF($C17="","",IFERROR(INDEX(DB!$F$2:$F$536,MATCH($C17,DB!$A$2:$A$536,0)),""))</f>
        <v/>
      </c>
      <c r="E17" s="61" t="str">
        <f t="array" ref="E17">IF($C17="","",IFERROR(INDEX(DB!$H$2:$H$536,MATCH($C17,DB!$A$2:$A$536,0)),""))</f>
        <v/>
      </c>
      <c r="F17" s="61" t="str">
        <f t="array" ref="F17">IF($C17="","",IFERROR(INDEX(DB!$J$2:$J$536,MATCH($C17,DB!$A$2:$A$536,0)),""))</f>
        <v/>
      </c>
      <c r="G17" s="61" t="str">
        <f t="array" ref="G17">IF($C17="","",IFERROR(INDEX(DB!$K$2:$K$536,MATCH($C17,DB!$A$2:$A$536,0)),""))</f>
        <v/>
      </c>
      <c r="H17" s="62"/>
      <c r="I17" s="61">
        <f t="shared" si="3"/>
        <v>500</v>
      </c>
      <c r="J17" s="61" t="str">
        <f t="shared" si="2"/>
        <v/>
      </c>
      <c r="K17" s="58" t="str">
        <f t="array" ref="K17">IF($C17="","",IFERROR(INDEX(DB!$T$2:$T$536,MATCH($C17,DB!$A$2:$A$536,0)),""))</f>
        <v/>
      </c>
      <c r="L17" s="58" t="str">
        <f t="array" ref="L17">IF($C17="","",IFERROR(INDEX(DB!$O$2:$O$536,MATCH($C17,DB!$A$2:$A$536,0)),""))</f>
        <v/>
      </c>
      <c r="M17" s="60" t="str">
        <f t="array" ref="M17">IF($C17="","",IFERROR(INDEX(DB!$U$2:$U$536,MATCH($C17,DB!$A$2:$A$536,0)),""))</f>
        <v/>
      </c>
      <c r="N17" s="63" t="str">
        <f t="array" ref="N17">IF($C17="","",IFERROR(IF(INDEX(DB!$Q$2:$Q$536,MATCH($C17,DB!$A$2:$A$536,0))=0,"-",INDEX(DB!$Q$2:$Q$536,MATCH($C17,DB!$A$2:$A$536,0))),""))</f>
        <v/>
      </c>
      <c r="O17" s="61" t="str">
        <f t="array" ref="O17">IF($C17="","",IFERROR(INDEX(DB!$V$2:$V$536,MATCH($C17,DB!$A$2:$A$536,0)),""))</f>
        <v/>
      </c>
      <c r="P17" s="58" t="str">
        <f t="array" ref="P17">IF($C17="","",IFERROR(INDEX(DB!$R$2:$R$536,MATCH($C17,DB!$A$2:$A$536,0)),""))</f>
        <v/>
      </c>
      <c r="Q17" s="61" t="str">
        <f t="array" ref="Q17">IF($C17="","",IFERROR(INDEX(DB!$N$2:$N$536,MATCH($C17,DB!$A$2:$A$536,0)),""))</f>
        <v/>
      </c>
      <c r="R17" s="60" t="str">
        <f t="array" ref="R17">IF($C17="","",IFERROR(INDEX(DB!$S$2:$S$536,MATCH($C17,DB!$A$2:$A$536,0)),""))</f>
        <v/>
      </c>
    </row>
    <row r="18">
      <c r="A18" s="58">
        <v>5.0</v>
      </c>
      <c r="B18" s="58" t="s">
        <v>666</v>
      </c>
      <c r="C18" s="59"/>
      <c r="D18" s="60" t="str">
        <f t="array" ref="D18">IF($C18="","",IFERROR(INDEX(DB!$F$2:$F$536,MATCH($C18,DB!$A$2:$A$536,0)),""))</f>
        <v/>
      </c>
      <c r="E18" s="61" t="str">
        <f t="array" ref="E18">IF($C18="","",IFERROR(INDEX(DB!$H$2:$H$536,MATCH($C18,DB!$A$2:$A$536,0)),""))</f>
        <v/>
      </c>
      <c r="F18" s="61" t="str">
        <f t="array" ref="F18">IF($C18="","",IFERROR(INDEX(DB!$J$2:$J$536,MATCH($C18,DB!$A$2:$A$536,0)),""))</f>
        <v/>
      </c>
      <c r="G18" s="61" t="str">
        <f t="array" ref="G18">IF($C18="","",IFERROR(INDEX(DB!$K$2:$K$536,MATCH($C18,DB!$A$2:$A$536,0)),""))</f>
        <v/>
      </c>
      <c r="H18" s="62"/>
      <c r="I18" s="61">
        <f t="shared" si="3"/>
        <v>500</v>
      </c>
      <c r="J18" s="61" t="str">
        <f t="shared" si="2"/>
        <v/>
      </c>
      <c r="K18" s="58" t="str">
        <f t="array" ref="K18">IF($C18="","",IFERROR(INDEX(DB!$T$2:$T$536,MATCH($C18,DB!$A$2:$A$536,0)),""))</f>
        <v/>
      </c>
      <c r="L18" s="58" t="str">
        <f t="array" ref="L18">IF($C18="","",IFERROR(INDEX(DB!$O$2:$O$536,MATCH($C18,DB!$A$2:$A$536,0)),""))</f>
        <v/>
      </c>
      <c r="M18" s="60" t="str">
        <f t="array" ref="M18">IF($C18="","",IFERROR(INDEX(DB!$U$2:$U$536,MATCH($C18,DB!$A$2:$A$536,0)),""))</f>
        <v/>
      </c>
      <c r="N18" s="63" t="str">
        <f t="array" ref="N18">IF($C18="","",IFERROR(IF(INDEX(DB!$Q$2:$Q$536,MATCH($C18,DB!$A$2:$A$536,0))=0,"-",INDEX(DB!$Q$2:$Q$536,MATCH($C18,DB!$A$2:$A$536,0))),""))</f>
        <v/>
      </c>
      <c r="O18" s="61" t="str">
        <f t="array" ref="O18">IF($C18="","",IFERROR(INDEX(DB!$V$2:$V$536,MATCH($C18,DB!$A$2:$A$536,0)),""))</f>
        <v/>
      </c>
      <c r="P18" s="58" t="str">
        <f t="array" ref="P18">IF($C18="","",IFERROR(INDEX(DB!$R$2:$R$536,MATCH($C18,DB!$A$2:$A$536,0)),""))</f>
        <v/>
      </c>
      <c r="Q18" s="61" t="str">
        <f t="array" ref="Q18">IF($C18="","",IFERROR(INDEX(DB!$N$2:$N$536,MATCH($C18,DB!$A$2:$A$536,0)),""))</f>
        <v/>
      </c>
      <c r="R18" s="60" t="str">
        <f t="array" ref="R18">IF($C18="","",IFERROR(INDEX(DB!$S$2:$S$536,MATCH($C18,DB!$A$2:$A$536,0)),""))</f>
        <v/>
      </c>
    </row>
    <row r="19">
      <c r="A19" s="58">
        <v>6.0</v>
      </c>
      <c r="B19" s="58" t="s">
        <v>666</v>
      </c>
      <c r="C19" s="59"/>
      <c r="D19" s="60" t="str">
        <f t="array" ref="D19">IF($C19="","",IFERROR(INDEX(DB!$F$2:$F$536,MATCH($C19,DB!$A$2:$A$536,0)),""))</f>
        <v/>
      </c>
      <c r="E19" s="61" t="str">
        <f t="array" ref="E19">IF($C19="","",IFERROR(INDEX(DB!$H$2:$H$536,MATCH($C19,DB!$A$2:$A$536,0)),""))</f>
        <v/>
      </c>
      <c r="F19" s="61" t="str">
        <f t="array" ref="F19">IF($C19="","",IFERROR(INDEX(DB!$J$2:$J$536,MATCH($C19,DB!$A$2:$A$536,0)),""))</f>
        <v/>
      </c>
      <c r="G19" s="61" t="str">
        <f t="array" ref="G19">IF($C19="","",IFERROR(INDEX(DB!$K$2:$K$536,MATCH($C19,DB!$A$2:$A$536,0)),""))</f>
        <v/>
      </c>
      <c r="H19" s="62"/>
      <c r="I19" s="61">
        <f t="shared" si="3"/>
        <v>500</v>
      </c>
      <c r="J19" s="61" t="str">
        <f t="shared" si="2"/>
        <v/>
      </c>
      <c r="K19" s="58" t="str">
        <f t="array" ref="K19">IF($C19="","",IFERROR(INDEX(DB!$T$2:$T$536,MATCH($C19,DB!$A$2:$A$536,0)),""))</f>
        <v/>
      </c>
      <c r="L19" s="58" t="str">
        <f t="array" ref="L19">IF($C19="","",IFERROR(INDEX(DB!$O$2:$O$536,MATCH($C19,DB!$A$2:$A$536,0)),""))</f>
        <v/>
      </c>
      <c r="M19" s="60" t="str">
        <f t="array" ref="M19">IF($C19="","",IFERROR(INDEX(DB!$U$2:$U$536,MATCH($C19,DB!$A$2:$A$536,0)),""))</f>
        <v/>
      </c>
      <c r="N19" s="63" t="str">
        <f t="array" ref="N19">IF($C19="","",IFERROR(IF(INDEX(DB!$Q$2:$Q$536,MATCH($C19,DB!$A$2:$A$536,0))=0,"-",INDEX(DB!$Q$2:$Q$536,MATCH($C19,DB!$A$2:$A$536,0))),""))</f>
        <v/>
      </c>
      <c r="O19" s="61" t="str">
        <f t="array" ref="O19">IF($C19="","",IFERROR(INDEX(DB!$V$2:$V$536,MATCH($C19,DB!$A$2:$A$536,0)),""))</f>
        <v/>
      </c>
      <c r="P19" s="58" t="str">
        <f t="array" ref="P19">IF($C19="","",IFERROR(INDEX(DB!$R$2:$R$536,MATCH($C19,DB!$A$2:$A$536,0)),""))</f>
        <v/>
      </c>
      <c r="Q19" s="61" t="str">
        <f t="array" ref="Q19">IF($C19="","",IFERROR(INDEX(DB!$N$2:$N$536,MATCH($C19,DB!$A$2:$A$536,0)),""))</f>
        <v/>
      </c>
      <c r="R19" s="60" t="str">
        <f t="array" ref="R19">IF($C19="","",IFERROR(INDEX(DB!$S$2:$S$536,MATCH($C19,DB!$A$2:$A$536,0)),""))</f>
        <v/>
      </c>
    </row>
    <row r="20">
      <c r="A20" s="58">
        <v>7.0</v>
      </c>
      <c r="B20" s="58" t="s">
        <v>666</v>
      </c>
      <c r="C20" s="59"/>
      <c r="D20" s="60" t="str">
        <f t="array" ref="D20">IF($C20="","",IFERROR(INDEX(DB!$F$2:$F$536,MATCH($C20,DB!$A$2:$A$536,0)),""))</f>
        <v/>
      </c>
      <c r="E20" s="61" t="str">
        <f t="array" ref="E20">IF($C20="","",IFERROR(INDEX(DB!$H$2:$H$536,MATCH($C20,DB!$A$2:$A$536,0)),""))</f>
        <v/>
      </c>
      <c r="F20" s="61" t="str">
        <f t="array" ref="F20">IF($C20="","",IFERROR(INDEX(DB!$J$2:$J$536,MATCH($C20,DB!$A$2:$A$536,0)),""))</f>
        <v/>
      </c>
      <c r="G20" s="61" t="str">
        <f t="array" ref="G20">IF($C20="","",IFERROR(INDEX(DB!$K$2:$K$536,MATCH($C20,DB!$A$2:$A$536,0)),""))</f>
        <v/>
      </c>
      <c r="H20" s="62"/>
      <c r="I20" s="61">
        <f t="shared" si="3"/>
        <v>500</v>
      </c>
      <c r="J20" s="61" t="str">
        <f t="shared" si="2"/>
        <v/>
      </c>
      <c r="K20" s="58" t="str">
        <f t="array" ref="K20">IF($C20="","",IFERROR(INDEX(DB!$T$2:$T$536,MATCH($C20,DB!$A$2:$A$536,0)),""))</f>
        <v/>
      </c>
      <c r="L20" s="58" t="str">
        <f t="array" ref="L20">IF($C20="","",IFERROR(INDEX(DB!$O$2:$O$536,MATCH($C20,DB!$A$2:$A$536,0)),""))</f>
        <v/>
      </c>
      <c r="M20" s="60" t="str">
        <f t="array" ref="M20">IF($C20="","",IFERROR(INDEX(DB!$U$2:$U$536,MATCH($C20,DB!$A$2:$A$536,0)),""))</f>
        <v/>
      </c>
      <c r="N20" s="63" t="str">
        <f t="array" ref="N20">IF($C20="","",IFERROR(IF(INDEX(DB!$Q$2:$Q$536,MATCH($C20,DB!$A$2:$A$536,0))=0,"-",INDEX(DB!$Q$2:$Q$536,MATCH($C20,DB!$A$2:$A$536,0))),""))</f>
        <v/>
      </c>
      <c r="O20" s="61" t="str">
        <f t="array" ref="O20">IF($C20="","",IFERROR(INDEX(DB!$V$2:$V$536,MATCH($C20,DB!$A$2:$A$536,0)),""))</f>
        <v/>
      </c>
      <c r="P20" s="58" t="str">
        <f t="array" ref="P20">IF($C20="","",IFERROR(INDEX(DB!$R$2:$R$536,MATCH($C20,DB!$A$2:$A$536,0)),""))</f>
        <v/>
      </c>
      <c r="Q20" s="61" t="str">
        <f t="array" ref="Q20">IF($C20="","",IFERROR(INDEX(DB!$N$2:$N$536,MATCH($C20,DB!$A$2:$A$536,0)),""))</f>
        <v/>
      </c>
      <c r="R20" s="60" t="str">
        <f t="array" ref="R20">IF($C20="","",IFERROR(INDEX(DB!$S$2:$S$536,MATCH($C20,DB!$A$2:$A$536,0)),""))</f>
        <v/>
      </c>
    </row>
    <row r="21" ht="15.75" customHeight="1">
      <c r="A21" s="64">
        <v>8.0</v>
      </c>
      <c r="B21" s="64" t="s">
        <v>666</v>
      </c>
      <c r="C21" s="65"/>
      <c r="D21" s="66" t="str">
        <f t="array" ref="D21">IF($C21="","",IFERROR(INDEX(DB!$F$2:$F$536,MATCH($C21,DB!$A$2:$A$536,0)),""))</f>
        <v/>
      </c>
      <c r="E21" s="67" t="str">
        <f t="array" ref="E21">IF($C21="","",IFERROR(INDEX(DB!$H$2:$H$536,MATCH($C21,DB!$A$2:$A$536,0)),""))</f>
        <v/>
      </c>
      <c r="F21" s="67" t="str">
        <f t="array" ref="F21">IF($C21="","",IFERROR(INDEX(DB!$J$2:$J$536,MATCH($C21,DB!$A$2:$A$536,0)),""))</f>
        <v/>
      </c>
      <c r="G21" s="67" t="str">
        <f t="array" ref="G21">IF($C21="","",IFERROR(INDEX(DB!$K$2:$K$536,MATCH($C21,DB!$A$2:$A$536,0)),""))</f>
        <v/>
      </c>
      <c r="H21" s="68"/>
      <c r="I21" s="67">
        <f t="shared" si="3"/>
        <v>500</v>
      </c>
      <c r="J21" s="67" t="str">
        <f t="shared" si="2"/>
        <v/>
      </c>
      <c r="K21" s="64" t="str">
        <f t="array" ref="K21">IF($C21="","",IFERROR(INDEX(DB!$T$2:$T$536,MATCH($C21,DB!$A$2:$A$536,0)),""))</f>
        <v/>
      </c>
      <c r="L21" s="64" t="str">
        <f t="array" ref="L21">IF($C21="","",IFERROR(INDEX(DB!$O$2:$O$536,MATCH($C21,DB!$A$2:$A$536,0)),""))</f>
        <v/>
      </c>
      <c r="M21" s="66" t="str">
        <f t="array" ref="M21">IF($C21="","",IFERROR(INDEX(DB!$U$2:$U$536,MATCH($C21,DB!$A$2:$A$536,0)),""))</f>
        <v/>
      </c>
      <c r="N21" s="69" t="str">
        <f t="array" ref="N21">IF($C21="","",IFERROR(IF(INDEX(DB!$Q$2:$Q$536,MATCH($C21,DB!$A$2:$A$536,0))=0,"-",INDEX(DB!$Q$2:$Q$536,MATCH($C21,DB!$A$2:$A$536,0))),""))</f>
        <v/>
      </c>
      <c r="O21" s="67" t="str">
        <f t="array" ref="O21">IF($C21="","",IFERROR(INDEX(DB!$V$2:$V$536,MATCH($C21,DB!$A$2:$A$536,0)),""))</f>
        <v/>
      </c>
      <c r="P21" s="64" t="str">
        <f t="array" ref="P21">IF($C21="","",IFERROR(INDEX(DB!$R$2:$R$536,MATCH($C21,DB!$A$2:$A$536,0)),""))</f>
        <v/>
      </c>
      <c r="Q21" s="67" t="str">
        <f t="array" ref="Q21">IF($C21="","",IFERROR(INDEX(DB!$N$2:$N$536,MATCH($C21,DB!$A$2:$A$536,0)),""))</f>
        <v/>
      </c>
      <c r="R21" s="66" t="str">
        <f t="array" ref="R21">IF($C21="","",IFERROR(INDEX(DB!$S$2:$S$536,MATCH($C21,DB!$A$2:$A$536,0)),""))</f>
        <v/>
      </c>
    </row>
    <row r="22" ht="15.75" customHeight="1">
      <c r="A22" s="58">
        <v>1.0</v>
      </c>
      <c r="B22" s="58" t="s">
        <v>669</v>
      </c>
      <c r="C22" s="59"/>
      <c r="D22" s="60" t="str">
        <f t="array" ref="D22">IF($C22="","",IFERROR(INDEX(DB!$F$2:$F$536,MATCH($C22,DB!$A$2:$A$536,0)),""))</f>
        <v/>
      </c>
      <c r="E22" s="61" t="str">
        <f t="array" ref="E22">IF($C22="","",IFERROR(INDEX(DB!$H$2:$H$536,MATCH($C22,DB!$A$2:$A$536,0)),""))</f>
        <v/>
      </c>
      <c r="F22" s="61" t="str">
        <f t="array" ref="F22">IF($C22="","",IFERROR(INDEX(DB!$J$2:$J$536,MATCH($C22,DB!$A$2:$A$536,0)),""))</f>
        <v/>
      </c>
      <c r="G22" s="61" t="str">
        <f t="array" ref="G22">IF($C22="","",IFERROR(INDEX(DB!$K$2:$K$536,MATCH($C22,DB!$A$2:$A$536,0)),""))</f>
        <v/>
      </c>
      <c r="H22" s="62"/>
      <c r="I22" s="61">
        <f t="shared" si="3"/>
        <v>500</v>
      </c>
      <c r="J22" s="61" t="str">
        <f t="shared" si="2"/>
        <v/>
      </c>
      <c r="K22" s="58" t="str">
        <f t="array" ref="K22">IF($C22="","",IFERROR(INDEX(DB!$T$2:$T$536,MATCH($C22,DB!$A$2:$A$536,0)),""))</f>
        <v/>
      </c>
      <c r="L22" s="58" t="str">
        <f t="array" ref="L22">IF($C22="","",IFERROR(INDEX(DB!$O$2:$O$536,MATCH($C22,DB!$A$2:$A$536,0)),""))</f>
        <v/>
      </c>
      <c r="M22" s="60" t="str">
        <f t="array" ref="M22">IF($C22="","",IFERROR(INDEX(DB!$U$2:$U$536,MATCH($C22,DB!$A$2:$A$536,0)),""))</f>
        <v/>
      </c>
      <c r="N22" s="63" t="str">
        <f t="array" ref="N22">IF($C22="","",IFERROR(IF(INDEX(DB!$Q$2:$Q$536,MATCH($C22,DB!$A$2:$A$536,0))=0,"-",INDEX(DB!$Q$2:$Q$536,MATCH($C22,DB!$A$2:$A$536,0))),""))</f>
        <v/>
      </c>
      <c r="O22" s="61" t="str">
        <f t="array" ref="O22">IF($C22="","",IFERROR(INDEX(DB!$V$2:$V$536,MATCH($C22,DB!$A$2:$A$536,0)),""))</f>
        <v/>
      </c>
      <c r="P22" s="58" t="str">
        <f t="array" ref="P22">IF($C22="","",IFERROR(INDEX(DB!$R$2:$R$536,MATCH($C22,DB!$A$2:$A$536,0)),""))</f>
        <v/>
      </c>
      <c r="Q22" s="61" t="str">
        <f t="array" ref="Q22">IF($C22="","",IFERROR(INDEX(DB!$N$2:$N$536,MATCH($C22,DB!$A$2:$A$536,0)),""))</f>
        <v/>
      </c>
      <c r="R22" s="60" t="str">
        <f t="array" ref="R22">IF($C22="","",IFERROR(INDEX(DB!$S$2:$S$536,MATCH($C22,DB!$A$2:$A$536,0)),""))</f>
        <v/>
      </c>
    </row>
    <row r="23" ht="15.75" customHeight="1">
      <c r="A23" s="58">
        <v>2.0</v>
      </c>
      <c r="B23" s="58" t="s">
        <v>669</v>
      </c>
      <c r="C23" s="59"/>
      <c r="D23" s="60" t="str">
        <f t="array" ref="D23">IF($C23="","",IFERROR(INDEX(DB!$F$2:$F$536,MATCH($C23,DB!$A$2:$A$536,0)),""))</f>
        <v/>
      </c>
      <c r="E23" s="61" t="str">
        <f t="array" ref="E23">IF($C23="","",IFERROR(INDEX(DB!$H$2:$H$536,MATCH($C23,DB!$A$2:$A$536,0)),""))</f>
        <v/>
      </c>
      <c r="F23" s="61" t="str">
        <f t="array" ref="F23">IF($C23="","",IFERROR(INDEX(DB!$J$2:$J$536,MATCH($C23,DB!$A$2:$A$536,0)),""))</f>
        <v/>
      </c>
      <c r="G23" s="61" t="str">
        <f t="array" ref="G23">IF($C23="","",IFERROR(INDEX(DB!$K$2:$K$536,MATCH($C23,DB!$A$2:$A$536,0)),""))</f>
        <v/>
      </c>
      <c r="H23" s="62"/>
      <c r="I23" s="61">
        <f t="shared" si="3"/>
        <v>500</v>
      </c>
      <c r="J23" s="61" t="str">
        <f t="shared" si="2"/>
        <v/>
      </c>
      <c r="K23" s="58" t="str">
        <f t="array" ref="K23">IF($C23="","",IFERROR(INDEX(DB!$T$2:$T$536,MATCH($C23,DB!$A$2:$A$536,0)),""))</f>
        <v/>
      </c>
      <c r="L23" s="58" t="str">
        <f t="array" ref="L23">IF($C23="","",IFERROR(INDEX(DB!$O$2:$O$536,MATCH($C23,DB!$A$2:$A$536,0)),""))</f>
        <v/>
      </c>
      <c r="M23" s="60" t="str">
        <f t="array" ref="M23">IF($C23="","",IFERROR(INDEX(DB!$U$2:$U$536,MATCH($C23,DB!$A$2:$A$536,0)),""))</f>
        <v/>
      </c>
      <c r="N23" s="63" t="str">
        <f t="array" ref="N23">IF($C23="","",IFERROR(IF(INDEX(DB!$Q$2:$Q$536,MATCH($C23,DB!$A$2:$A$536,0))=0,"-",INDEX(DB!$Q$2:$Q$536,MATCH($C23,DB!$A$2:$A$536,0))),""))</f>
        <v/>
      </c>
      <c r="O23" s="61" t="str">
        <f t="array" ref="O23">IF($C23="","",IFERROR(INDEX(DB!$V$2:$V$536,MATCH($C23,DB!$A$2:$A$536,0)),""))</f>
        <v/>
      </c>
      <c r="P23" s="58" t="str">
        <f t="array" ref="P23">IF($C23="","",IFERROR(INDEX(DB!$R$2:$R$536,MATCH($C23,DB!$A$2:$A$536,0)),""))</f>
        <v/>
      </c>
      <c r="Q23" s="61" t="str">
        <f t="array" ref="Q23">IF($C23="","",IFERROR(INDEX(DB!$N$2:$N$536,MATCH($C23,DB!$A$2:$A$536,0)),""))</f>
        <v/>
      </c>
      <c r="R23" s="60" t="str">
        <f t="array" ref="R23">IF($C23="","",IFERROR(INDEX(DB!$S$2:$S$536,MATCH($C23,DB!$A$2:$A$536,0)),""))</f>
        <v/>
      </c>
    </row>
    <row r="24" ht="15.75" customHeight="1">
      <c r="A24" s="58">
        <v>3.0</v>
      </c>
      <c r="B24" s="58" t="s">
        <v>669</v>
      </c>
      <c r="C24" s="59"/>
      <c r="D24" s="60" t="str">
        <f t="array" ref="D24">IF($C24="","",IFERROR(INDEX(DB!$F$2:$F$536,MATCH($C24,DB!$A$2:$A$536,0)),""))</f>
        <v/>
      </c>
      <c r="E24" s="61" t="str">
        <f t="array" ref="E24">IF($C24="","",IFERROR(INDEX(DB!$H$2:$H$536,MATCH($C24,DB!$A$2:$A$536,0)),""))</f>
        <v/>
      </c>
      <c r="F24" s="61" t="str">
        <f t="array" ref="F24">IF($C24="","",IFERROR(INDEX(DB!$J$2:$J$536,MATCH($C24,DB!$A$2:$A$536,0)),""))</f>
        <v/>
      </c>
      <c r="G24" s="61" t="str">
        <f t="array" ref="G24">IF($C24="","",IFERROR(INDEX(DB!$K$2:$K$536,MATCH($C24,DB!$A$2:$A$536,0)),""))</f>
        <v/>
      </c>
      <c r="H24" s="62"/>
      <c r="I24" s="61">
        <f t="shared" si="3"/>
        <v>500</v>
      </c>
      <c r="J24" s="61" t="str">
        <f t="shared" si="2"/>
        <v/>
      </c>
      <c r="K24" s="58" t="str">
        <f t="array" ref="K24">IF($C24="","",IFERROR(INDEX(DB!$T$2:$T$536,MATCH($C24,DB!$A$2:$A$536,0)),""))</f>
        <v/>
      </c>
      <c r="L24" s="58" t="str">
        <f t="array" ref="L24">IF($C24="","",IFERROR(INDEX(DB!$O$2:$O$536,MATCH($C24,DB!$A$2:$A$536,0)),""))</f>
        <v/>
      </c>
      <c r="M24" s="60" t="str">
        <f t="array" ref="M24">IF($C24="","",IFERROR(INDEX(DB!$U$2:$U$536,MATCH($C24,DB!$A$2:$A$536,0)),""))</f>
        <v/>
      </c>
      <c r="N24" s="63" t="str">
        <f t="array" ref="N24">IF($C24="","",IFERROR(IF(INDEX(DB!$Q$2:$Q$536,MATCH($C24,DB!$A$2:$A$536,0))=0,"-",INDEX(DB!$Q$2:$Q$536,MATCH($C24,DB!$A$2:$A$536,0))),""))</f>
        <v/>
      </c>
      <c r="O24" s="61" t="str">
        <f t="array" ref="O24">IF($C24="","",IFERROR(INDEX(DB!$V$2:$V$536,MATCH($C24,DB!$A$2:$A$536,0)),""))</f>
        <v/>
      </c>
      <c r="P24" s="58" t="str">
        <f t="array" ref="P24">IF($C24="","",IFERROR(INDEX(DB!$R$2:$R$536,MATCH($C24,DB!$A$2:$A$536,0)),""))</f>
        <v/>
      </c>
      <c r="Q24" s="61" t="str">
        <f t="array" ref="Q24">IF($C24="","",IFERROR(INDEX(DB!$N$2:$N$536,MATCH($C24,DB!$A$2:$A$536,0)),""))</f>
        <v/>
      </c>
      <c r="R24" s="60" t="str">
        <f t="array" ref="R24">IF($C24="","",IFERROR(INDEX(DB!$S$2:$S$536,MATCH($C24,DB!$A$2:$A$536,0)),""))</f>
        <v/>
      </c>
    </row>
    <row r="25" ht="15.75" customHeight="1">
      <c r="A25" s="58">
        <v>4.0</v>
      </c>
      <c r="B25" s="58" t="s">
        <v>669</v>
      </c>
      <c r="C25" s="59"/>
      <c r="D25" s="60" t="str">
        <f t="array" ref="D25">IF($C25="","",IFERROR(INDEX(DB!$F$2:$F$536,MATCH($C25,DB!$A$2:$A$536,0)),""))</f>
        <v/>
      </c>
      <c r="E25" s="61" t="str">
        <f t="array" ref="E25">IF($C25="","",IFERROR(INDEX(DB!$H$2:$H$536,MATCH($C25,DB!$A$2:$A$536,0)),""))</f>
        <v/>
      </c>
      <c r="F25" s="61" t="str">
        <f t="array" ref="F25">IF($C25="","",IFERROR(INDEX(DB!$J$2:$J$536,MATCH($C25,DB!$A$2:$A$536,0)),""))</f>
        <v/>
      </c>
      <c r="G25" s="61" t="str">
        <f t="array" ref="G25">IF($C25="","",IFERROR(INDEX(DB!$K$2:$K$536,MATCH($C25,DB!$A$2:$A$536,0)),""))</f>
        <v/>
      </c>
      <c r="H25" s="62"/>
      <c r="I25" s="61">
        <f t="shared" si="3"/>
        <v>500</v>
      </c>
      <c r="J25" s="61" t="str">
        <f t="shared" si="2"/>
        <v/>
      </c>
      <c r="K25" s="58" t="str">
        <f t="array" ref="K25">IF($C25="","",IFERROR(INDEX(DB!$T$2:$T$536,MATCH($C25,DB!$A$2:$A$536,0)),""))</f>
        <v/>
      </c>
      <c r="L25" s="58" t="str">
        <f t="array" ref="L25">IF($C25="","",IFERROR(INDEX(DB!$O$2:$O$536,MATCH($C25,DB!$A$2:$A$536,0)),""))</f>
        <v/>
      </c>
      <c r="M25" s="60" t="str">
        <f t="array" ref="M25">IF($C25="","",IFERROR(INDEX(DB!$U$2:$U$536,MATCH($C25,DB!$A$2:$A$536,0)),""))</f>
        <v/>
      </c>
      <c r="N25" s="63" t="str">
        <f t="array" ref="N25">IF($C25="","",IFERROR(IF(INDEX(DB!$Q$2:$Q$536,MATCH($C25,DB!$A$2:$A$536,0))=0,"-",INDEX(DB!$Q$2:$Q$536,MATCH($C25,DB!$A$2:$A$536,0))),""))</f>
        <v/>
      </c>
      <c r="O25" s="61" t="str">
        <f t="array" ref="O25">IF($C25="","",IFERROR(INDEX(DB!$V$2:$V$536,MATCH($C25,DB!$A$2:$A$536,0)),""))</f>
        <v/>
      </c>
      <c r="P25" s="58" t="str">
        <f t="array" ref="P25">IF($C25="","",IFERROR(INDEX(DB!$R$2:$R$536,MATCH($C25,DB!$A$2:$A$536,0)),""))</f>
        <v/>
      </c>
      <c r="Q25" s="61" t="str">
        <f t="array" ref="Q25">IF($C25="","",IFERROR(INDEX(DB!$N$2:$N$536,MATCH($C25,DB!$A$2:$A$536,0)),""))</f>
        <v/>
      </c>
      <c r="R25" s="60" t="str">
        <f t="array" ref="R25">IF($C25="","",IFERROR(INDEX(DB!$S$2:$S$536,MATCH($C25,DB!$A$2:$A$536,0)),""))</f>
        <v/>
      </c>
    </row>
    <row r="26" ht="15.75" customHeight="1">
      <c r="A26" s="58">
        <v>5.0</v>
      </c>
      <c r="B26" s="58" t="s">
        <v>669</v>
      </c>
      <c r="C26" s="59"/>
      <c r="D26" s="60" t="str">
        <f t="array" ref="D26">IF($C26="","",IFERROR(INDEX(DB!$F$2:$F$536,MATCH($C26,DB!$A$2:$A$536,0)),""))</f>
        <v/>
      </c>
      <c r="E26" s="61" t="str">
        <f t="array" ref="E26">IF($C26="","",IFERROR(INDEX(DB!$H$2:$H$536,MATCH($C26,DB!$A$2:$A$536,0)),""))</f>
        <v/>
      </c>
      <c r="F26" s="61" t="str">
        <f t="array" ref="F26">IF($C26="","",IFERROR(INDEX(DB!$J$2:$J$536,MATCH($C26,DB!$A$2:$A$536,0)),""))</f>
        <v/>
      </c>
      <c r="G26" s="61" t="str">
        <f t="array" ref="G26">IF($C26="","",IFERROR(INDEX(DB!$K$2:$K$536,MATCH($C26,DB!$A$2:$A$536,0)),""))</f>
        <v/>
      </c>
      <c r="H26" s="62"/>
      <c r="I26" s="61">
        <f t="shared" si="3"/>
        <v>500</v>
      </c>
      <c r="J26" s="61" t="str">
        <f t="shared" si="2"/>
        <v/>
      </c>
      <c r="K26" s="58" t="str">
        <f t="array" ref="K26">IF($C26="","",IFERROR(INDEX(DB!$T$2:$T$536,MATCH($C26,DB!$A$2:$A$536,0)),""))</f>
        <v/>
      </c>
      <c r="L26" s="58" t="str">
        <f t="array" ref="L26">IF($C26="","",IFERROR(INDEX(DB!$O$2:$O$536,MATCH($C26,DB!$A$2:$A$536,0)),""))</f>
        <v/>
      </c>
      <c r="M26" s="60" t="str">
        <f t="array" ref="M26">IF($C26="","",IFERROR(INDEX(DB!$U$2:$U$536,MATCH($C26,DB!$A$2:$A$536,0)),""))</f>
        <v/>
      </c>
      <c r="N26" s="63" t="str">
        <f t="array" ref="N26">IF($C26="","",IFERROR(IF(INDEX(DB!$Q$2:$Q$536,MATCH($C26,DB!$A$2:$A$536,0))=0,"-",INDEX(DB!$Q$2:$Q$536,MATCH($C26,DB!$A$2:$A$536,0))),""))</f>
        <v/>
      </c>
      <c r="O26" s="61" t="str">
        <f t="array" ref="O26">IF($C26="","",IFERROR(INDEX(DB!$V$2:$V$536,MATCH($C26,DB!$A$2:$A$536,0)),""))</f>
        <v/>
      </c>
      <c r="P26" s="58" t="str">
        <f t="array" ref="P26">IF($C26="","",IFERROR(INDEX(DB!$R$2:$R$536,MATCH($C26,DB!$A$2:$A$536,0)),""))</f>
        <v/>
      </c>
      <c r="Q26" s="61" t="str">
        <f t="array" ref="Q26">IF($C26="","",IFERROR(INDEX(DB!$N$2:$N$536,MATCH($C26,DB!$A$2:$A$536,0)),""))</f>
        <v/>
      </c>
      <c r="R26" s="60" t="str">
        <f t="array" ref="R26">IF($C26="","",IFERROR(INDEX(DB!$S$2:$S$536,MATCH($C26,DB!$A$2:$A$536,0)),""))</f>
        <v/>
      </c>
    </row>
    <row r="27" ht="15.75" customHeight="1">
      <c r="A27" s="58">
        <v>6.0</v>
      </c>
      <c r="B27" s="58" t="s">
        <v>669</v>
      </c>
      <c r="C27" s="59"/>
      <c r="D27" s="60" t="str">
        <f t="array" ref="D27">IF($C27="","",IFERROR(INDEX(DB!$F$2:$F$536,MATCH($C27,DB!$A$2:$A$536,0)),""))</f>
        <v/>
      </c>
      <c r="E27" s="61" t="str">
        <f t="array" ref="E27">IF($C27="","",IFERROR(INDEX(DB!$H$2:$H$536,MATCH($C27,DB!$A$2:$A$536,0)),""))</f>
        <v/>
      </c>
      <c r="F27" s="61" t="str">
        <f t="array" ref="F27">IF($C27="","",IFERROR(INDEX(DB!$J$2:$J$536,MATCH($C27,DB!$A$2:$A$536,0)),""))</f>
        <v/>
      </c>
      <c r="G27" s="61" t="str">
        <f t="array" ref="G27">IF($C27="","",IFERROR(INDEX(DB!$K$2:$K$536,MATCH($C27,DB!$A$2:$A$536,0)),""))</f>
        <v/>
      </c>
      <c r="H27" s="62"/>
      <c r="I27" s="61">
        <f t="shared" si="3"/>
        <v>500</v>
      </c>
      <c r="J27" s="61" t="str">
        <f t="shared" si="2"/>
        <v/>
      </c>
      <c r="K27" s="58" t="str">
        <f t="array" ref="K27">IF($C27="","",IFERROR(INDEX(DB!$T$2:$T$536,MATCH($C27,DB!$A$2:$A$536,0)),""))</f>
        <v/>
      </c>
      <c r="L27" s="58" t="str">
        <f t="array" ref="L27">IF($C27="","",IFERROR(INDEX(DB!$O$2:$O$536,MATCH($C27,DB!$A$2:$A$536,0)),""))</f>
        <v/>
      </c>
      <c r="M27" s="60" t="str">
        <f t="array" ref="M27">IF($C27="","",IFERROR(INDEX(DB!$U$2:$U$536,MATCH($C27,DB!$A$2:$A$536,0)),""))</f>
        <v/>
      </c>
      <c r="N27" s="63" t="str">
        <f t="array" ref="N27">IF($C27="","",IFERROR(IF(INDEX(DB!$Q$2:$Q$536,MATCH($C27,DB!$A$2:$A$536,0))=0,"-",INDEX(DB!$Q$2:$Q$536,MATCH($C27,DB!$A$2:$A$536,0))),""))</f>
        <v/>
      </c>
      <c r="O27" s="61" t="str">
        <f t="array" ref="O27">IF($C27="","",IFERROR(INDEX(DB!$V$2:$V$536,MATCH($C27,DB!$A$2:$A$536,0)),""))</f>
        <v/>
      </c>
      <c r="P27" s="58" t="str">
        <f t="array" ref="P27">IF($C27="","",IFERROR(INDEX(DB!$R$2:$R$536,MATCH($C27,DB!$A$2:$A$536,0)),""))</f>
        <v/>
      </c>
      <c r="Q27" s="61" t="str">
        <f t="array" ref="Q27">IF($C27="","",IFERROR(INDEX(DB!$N$2:$N$536,MATCH($C27,DB!$A$2:$A$536,0)),""))</f>
        <v/>
      </c>
      <c r="R27" s="60" t="str">
        <f t="array" ref="R27">IF($C27="","",IFERROR(INDEX(DB!$S$2:$S$536,MATCH($C27,DB!$A$2:$A$536,0)),""))</f>
        <v/>
      </c>
    </row>
    <row r="28" ht="15.75" customHeight="1">
      <c r="A28" s="58">
        <v>7.0</v>
      </c>
      <c r="B28" s="58" t="s">
        <v>669</v>
      </c>
      <c r="C28" s="59"/>
      <c r="D28" s="60" t="str">
        <f t="array" ref="D28">IF($C28="","",IFERROR(INDEX(DB!$F$2:$F$536,MATCH($C28,DB!$A$2:$A$536,0)),""))</f>
        <v/>
      </c>
      <c r="E28" s="61" t="str">
        <f t="array" ref="E28">IF($C28="","",IFERROR(INDEX(DB!$H$2:$H$536,MATCH($C28,DB!$A$2:$A$536,0)),""))</f>
        <v/>
      </c>
      <c r="F28" s="61" t="str">
        <f t="array" ref="F28">IF($C28="","",IFERROR(INDEX(DB!$J$2:$J$536,MATCH($C28,DB!$A$2:$A$536,0)),""))</f>
        <v/>
      </c>
      <c r="G28" s="61" t="str">
        <f t="array" ref="G28">IF($C28="","",IFERROR(INDEX(DB!$K$2:$K$536,MATCH($C28,DB!$A$2:$A$536,0)),""))</f>
        <v/>
      </c>
      <c r="H28" s="62"/>
      <c r="I28" s="61">
        <f t="shared" si="3"/>
        <v>500</v>
      </c>
      <c r="J28" s="61" t="str">
        <f t="shared" si="2"/>
        <v/>
      </c>
      <c r="K28" s="58" t="str">
        <f t="array" ref="K28">IF($C28="","",IFERROR(INDEX(DB!$T$2:$T$536,MATCH($C28,DB!$A$2:$A$536,0)),""))</f>
        <v/>
      </c>
      <c r="L28" s="58" t="str">
        <f t="array" ref="L28">IF($C28="","",IFERROR(INDEX(DB!$O$2:$O$536,MATCH($C28,DB!$A$2:$A$536,0)),""))</f>
        <v/>
      </c>
      <c r="M28" s="60" t="str">
        <f t="array" ref="M28">IF($C28="","",IFERROR(INDEX(DB!$U$2:$U$536,MATCH($C28,DB!$A$2:$A$536,0)),""))</f>
        <v/>
      </c>
      <c r="N28" s="63" t="str">
        <f t="array" ref="N28">IF($C28="","",IFERROR(IF(INDEX(DB!$Q$2:$Q$536,MATCH($C28,DB!$A$2:$A$536,0))=0,"-",INDEX(DB!$Q$2:$Q$536,MATCH($C28,DB!$A$2:$A$536,0))),""))</f>
        <v/>
      </c>
      <c r="O28" s="61" t="str">
        <f t="array" ref="O28">IF($C28="","",IFERROR(INDEX(DB!$V$2:$V$536,MATCH($C28,DB!$A$2:$A$536,0)),""))</f>
        <v/>
      </c>
      <c r="P28" s="58" t="str">
        <f t="array" ref="P28">IF($C28="","",IFERROR(INDEX(DB!$R$2:$R$536,MATCH($C28,DB!$A$2:$A$536,0)),""))</f>
        <v/>
      </c>
      <c r="Q28" s="61" t="str">
        <f t="array" ref="Q28">IF($C28="","",IFERROR(INDEX(DB!$N$2:$N$536,MATCH($C28,DB!$A$2:$A$536,0)),""))</f>
        <v/>
      </c>
      <c r="R28" s="60" t="str">
        <f t="array" ref="R28">IF($C28="","",IFERROR(INDEX(DB!$S$2:$S$536,MATCH($C28,DB!$A$2:$A$536,0)),""))</f>
        <v/>
      </c>
    </row>
    <row r="29" ht="15.75" customHeight="1">
      <c r="A29" s="64">
        <v>8.0</v>
      </c>
      <c r="B29" s="64" t="s">
        <v>669</v>
      </c>
      <c r="C29" s="65"/>
      <c r="D29" s="66" t="str">
        <f t="array" ref="D29">IF($C29="","",IFERROR(INDEX(DB!$F$2:$F$536,MATCH($C29,DB!$A$2:$A$536,0)),""))</f>
        <v/>
      </c>
      <c r="E29" s="67" t="str">
        <f t="array" ref="E29">IF($C29="","",IFERROR(INDEX(DB!$H$2:$H$536,MATCH($C29,DB!$A$2:$A$536,0)),""))</f>
        <v/>
      </c>
      <c r="F29" s="67" t="str">
        <f t="array" ref="F29">IF($C29="","",IFERROR(INDEX(DB!$J$2:$J$536,MATCH($C29,DB!$A$2:$A$536,0)),""))</f>
        <v/>
      </c>
      <c r="G29" s="67" t="str">
        <f t="array" ref="G29">IF($C29="","",IFERROR(INDEX(DB!$K$2:$K$536,MATCH($C29,DB!$A$2:$A$536,0)),""))</f>
        <v/>
      </c>
      <c r="H29" s="68"/>
      <c r="I29" s="67">
        <f t="shared" si="3"/>
        <v>500</v>
      </c>
      <c r="J29" s="67" t="str">
        <f t="shared" si="2"/>
        <v/>
      </c>
      <c r="K29" s="64" t="str">
        <f t="array" ref="K29">IF($C29="","",IFERROR(INDEX(DB!$T$2:$T$536,MATCH($C29,DB!$A$2:$A$536,0)),""))</f>
        <v/>
      </c>
      <c r="L29" s="64" t="str">
        <f t="array" ref="L29">IF($C29="","",IFERROR(INDEX(DB!$O$2:$O$536,MATCH($C29,DB!$A$2:$A$536,0)),""))</f>
        <v/>
      </c>
      <c r="M29" s="66" t="str">
        <f t="array" ref="M29">IF($C29="","",IFERROR(INDEX(DB!$U$2:$U$536,MATCH($C29,DB!$A$2:$A$536,0)),""))</f>
        <v/>
      </c>
      <c r="N29" s="69" t="str">
        <f t="array" ref="N29">IF($C29="","",IFERROR(IF(INDEX(DB!$Q$2:$Q$536,MATCH($C29,DB!$A$2:$A$536,0))=0,"-",INDEX(DB!$Q$2:$Q$536,MATCH($C29,DB!$A$2:$A$536,0))),""))</f>
        <v/>
      </c>
      <c r="O29" s="67" t="str">
        <f t="array" ref="O29">IF($C29="","",IFERROR(INDEX(DB!$V$2:$V$536,MATCH($C29,DB!$A$2:$A$536,0)),""))</f>
        <v/>
      </c>
      <c r="P29" s="64" t="str">
        <f t="array" ref="P29">IF($C29="","",IFERROR(INDEX(DB!$R$2:$R$536,MATCH($C29,DB!$A$2:$A$536,0)),""))</f>
        <v/>
      </c>
      <c r="Q29" s="67" t="str">
        <f t="array" ref="Q29">IF($C29="","",IFERROR(INDEX(DB!$N$2:$N$536,MATCH($C29,DB!$A$2:$A$536,0)),""))</f>
        <v/>
      </c>
      <c r="R29" s="66" t="str">
        <f t="array" ref="R29">IF($C29="","",IFERROR(INDEX(DB!$S$2:$S$536,MATCH($C29,DB!$A$2:$A$536,0)),""))</f>
        <v/>
      </c>
    </row>
    <row r="30" ht="15.75" customHeight="1">
      <c r="A30" s="58">
        <v>1.0</v>
      </c>
      <c r="B30" s="58" t="s">
        <v>287</v>
      </c>
      <c r="C30" s="59"/>
      <c r="D30" s="60" t="str">
        <f t="array" ref="D30">IF($C30="","",IFERROR(INDEX(DB!$F$2:$F$536,MATCH($C30,DB!$A$2:$A$536,0)),""))</f>
        <v/>
      </c>
      <c r="E30" s="61" t="str">
        <f t="array" ref="E30">IF($C30="","",IFERROR(INDEX(DB!$H$2:$H$536,MATCH($C30,DB!$A$2:$A$536,0)),""))</f>
        <v/>
      </c>
      <c r="F30" s="61" t="str">
        <f t="array" ref="F30">IF($C30="","",IFERROR(INDEX(DB!$J$2:$J$536,MATCH($C30,DB!$A$2:$A$536,0)),""))</f>
        <v/>
      </c>
      <c r="G30" s="61" t="str">
        <f t="array" ref="G30">IF($C30="","",IFERROR(INDEX(DB!$K$2:$K$536,MATCH($C30,DB!$A$2:$A$536,0)),""))</f>
        <v/>
      </c>
      <c r="H30" s="62"/>
      <c r="I30" s="61">
        <f t="shared" si="3"/>
        <v>500</v>
      </c>
      <c r="J30" s="61" t="str">
        <f t="shared" si="2"/>
        <v/>
      </c>
      <c r="K30" s="58" t="str">
        <f t="array" ref="K30">IF($C30="","",IFERROR(INDEX(DB!$T$2:$T$536,MATCH($C30,DB!$A$2:$A$536,0)),""))</f>
        <v/>
      </c>
      <c r="L30" s="58" t="str">
        <f t="array" ref="L30">IF($C30="","",IFERROR(INDEX(DB!$O$2:$O$536,MATCH($C30,DB!$A$2:$A$536,0)),""))</f>
        <v/>
      </c>
      <c r="M30" s="60" t="str">
        <f t="array" ref="M30">IF($C30="","",IFERROR(INDEX(DB!$U$2:$U$536,MATCH($C30,DB!$A$2:$A$536,0)),""))</f>
        <v/>
      </c>
      <c r="N30" s="63" t="str">
        <f t="array" ref="N30">IF($C30="","",IFERROR(IF(INDEX(DB!$Q$2:$Q$536,MATCH($C30,DB!$A$2:$A$536,0))=0,"-",INDEX(DB!$Q$2:$Q$536,MATCH($C30,DB!$A$2:$A$536,0))),""))</f>
        <v/>
      </c>
      <c r="O30" s="61" t="str">
        <f t="array" ref="O30">IF($C30="","",IFERROR(INDEX(DB!$V$2:$V$536,MATCH($C30,DB!$A$2:$A$536,0)),""))</f>
        <v/>
      </c>
      <c r="P30" s="58" t="str">
        <f t="array" ref="P30">IF($C30="","",IFERROR(INDEX(DB!$R$2:$R$536,MATCH($C30,DB!$A$2:$A$536,0)),""))</f>
        <v/>
      </c>
      <c r="Q30" s="61" t="str">
        <f t="array" ref="Q30">IF($C30="","",IFERROR(INDEX(DB!$N$2:$N$536,MATCH($C30,DB!$A$2:$A$536,0)),""))</f>
        <v/>
      </c>
      <c r="R30" s="60" t="str">
        <f t="array" ref="R30">IF($C30="","",IFERROR(INDEX(DB!$S$2:$S$536,MATCH($C30,DB!$A$2:$A$536,0)),""))</f>
        <v/>
      </c>
    </row>
    <row r="31" ht="15.75" customHeight="1">
      <c r="A31" s="58">
        <v>2.0</v>
      </c>
      <c r="B31" s="58" t="s">
        <v>287</v>
      </c>
      <c r="C31" s="59"/>
      <c r="D31" s="60" t="str">
        <f t="array" ref="D31">IF($C31="","",IFERROR(INDEX(DB!$F$2:$F$536,MATCH($C31,DB!$A$2:$A$536,0)),""))</f>
        <v/>
      </c>
      <c r="E31" s="61" t="str">
        <f t="array" ref="E31">IF($C31="","",IFERROR(INDEX(DB!$H$2:$H$536,MATCH($C31,DB!$A$2:$A$536,0)),""))</f>
        <v/>
      </c>
      <c r="F31" s="61" t="str">
        <f t="array" ref="F31">IF($C31="","",IFERROR(INDEX(DB!$J$2:$J$536,MATCH($C31,DB!$A$2:$A$536,0)),""))</f>
        <v/>
      </c>
      <c r="G31" s="61" t="str">
        <f t="array" ref="G31">IF($C31="","",IFERROR(INDEX(DB!$K$2:$K$536,MATCH($C31,DB!$A$2:$A$536,0)),""))</f>
        <v/>
      </c>
      <c r="H31" s="62"/>
      <c r="I31" s="61">
        <f t="shared" si="3"/>
        <v>500</v>
      </c>
      <c r="J31" s="61" t="str">
        <f t="shared" si="2"/>
        <v/>
      </c>
      <c r="K31" s="58" t="str">
        <f t="array" ref="K31">IF($C31="","",IFERROR(INDEX(DB!$T$2:$T$536,MATCH($C31,DB!$A$2:$A$536,0)),""))</f>
        <v/>
      </c>
      <c r="L31" s="58" t="str">
        <f t="array" ref="L31">IF($C31="","",IFERROR(INDEX(DB!$O$2:$O$536,MATCH($C31,DB!$A$2:$A$536,0)),""))</f>
        <v/>
      </c>
      <c r="M31" s="60" t="str">
        <f t="array" ref="M31">IF($C31="","",IFERROR(INDEX(DB!$U$2:$U$536,MATCH($C31,DB!$A$2:$A$536,0)),""))</f>
        <v/>
      </c>
      <c r="N31" s="63" t="str">
        <f t="array" ref="N31">IF($C31="","",IFERROR(IF(INDEX(DB!$Q$2:$Q$536,MATCH($C31,DB!$A$2:$A$536,0))=0,"-",INDEX(DB!$Q$2:$Q$536,MATCH($C31,DB!$A$2:$A$536,0))),""))</f>
        <v/>
      </c>
      <c r="O31" s="61" t="str">
        <f t="array" ref="O31">IF($C31="","",IFERROR(INDEX(DB!$V$2:$V$536,MATCH($C31,DB!$A$2:$A$536,0)),""))</f>
        <v/>
      </c>
      <c r="P31" s="58" t="str">
        <f t="array" ref="P31">IF($C31="","",IFERROR(INDEX(DB!$R$2:$R$536,MATCH($C31,DB!$A$2:$A$536,0)),""))</f>
        <v/>
      </c>
      <c r="Q31" s="61" t="str">
        <f t="array" ref="Q31">IF($C31="","",IFERROR(INDEX(DB!$N$2:$N$536,MATCH($C31,DB!$A$2:$A$536,0)),""))</f>
        <v/>
      </c>
      <c r="R31" s="60" t="str">
        <f t="array" ref="R31">IF($C31="","",IFERROR(INDEX(DB!$S$2:$S$536,MATCH($C31,DB!$A$2:$A$536,0)),""))</f>
        <v/>
      </c>
    </row>
    <row r="32" ht="15.75" customHeight="1">
      <c r="A32" s="58">
        <v>3.0</v>
      </c>
      <c r="B32" s="58" t="s">
        <v>287</v>
      </c>
      <c r="C32" s="59"/>
      <c r="D32" s="60" t="str">
        <f t="array" ref="D32">IF($C32="","",IFERROR(INDEX(DB!$F$2:$F$536,MATCH($C32,DB!$A$2:$A$536,0)),""))</f>
        <v/>
      </c>
      <c r="E32" s="61" t="str">
        <f t="array" ref="E32">IF($C32="","",IFERROR(INDEX(DB!$H$2:$H$536,MATCH($C32,DB!$A$2:$A$536,0)),""))</f>
        <v/>
      </c>
      <c r="F32" s="61" t="str">
        <f t="array" ref="F32">IF($C32="","",IFERROR(INDEX(DB!$J$2:$J$536,MATCH($C32,DB!$A$2:$A$536,0)),""))</f>
        <v/>
      </c>
      <c r="G32" s="61" t="str">
        <f t="array" ref="G32">IF($C32="","",IFERROR(INDEX(DB!$K$2:$K$536,MATCH($C32,DB!$A$2:$A$536,0)),""))</f>
        <v/>
      </c>
      <c r="H32" s="62"/>
      <c r="I32" s="61">
        <f t="shared" si="3"/>
        <v>500</v>
      </c>
      <c r="J32" s="61" t="str">
        <f t="shared" si="2"/>
        <v/>
      </c>
      <c r="K32" s="58" t="str">
        <f t="array" ref="K32">IF($C32="","",IFERROR(INDEX(DB!$T$2:$T$536,MATCH($C32,DB!$A$2:$A$536,0)),""))</f>
        <v/>
      </c>
      <c r="L32" s="58" t="str">
        <f t="array" ref="L32">IF($C32="","",IFERROR(INDEX(DB!$O$2:$O$536,MATCH($C32,DB!$A$2:$A$536,0)),""))</f>
        <v/>
      </c>
      <c r="M32" s="60" t="str">
        <f t="array" ref="M32">IF($C32="","",IFERROR(INDEX(DB!$U$2:$U$536,MATCH($C32,DB!$A$2:$A$536,0)),""))</f>
        <v/>
      </c>
      <c r="N32" s="63" t="str">
        <f t="array" ref="N32">IF($C32="","",IFERROR(IF(INDEX(DB!$Q$2:$Q$536,MATCH($C32,DB!$A$2:$A$536,0))=0,"-",INDEX(DB!$Q$2:$Q$536,MATCH($C32,DB!$A$2:$A$536,0))),""))</f>
        <v/>
      </c>
      <c r="O32" s="61" t="str">
        <f t="array" ref="O32">IF($C32="","",IFERROR(INDEX(DB!$V$2:$V$536,MATCH($C32,DB!$A$2:$A$536,0)),""))</f>
        <v/>
      </c>
      <c r="P32" s="58" t="str">
        <f t="array" ref="P32">IF($C32="","",IFERROR(INDEX(DB!$R$2:$R$536,MATCH($C32,DB!$A$2:$A$536,0)),""))</f>
        <v/>
      </c>
      <c r="Q32" s="61" t="str">
        <f t="array" ref="Q32">IF($C32="","",IFERROR(INDEX(DB!$N$2:$N$536,MATCH($C32,DB!$A$2:$A$536,0)),""))</f>
        <v/>
      </c>
      <c r="R32" s="60" t="str">
        <f t="array" ref="R32">IF($C32="","",IFERROR(INDEX(DB!$S$2:$S$536,MATCH($C32,DB!$A$2:$A$536,0)),""))</f>
        <v/>
      </c>
    </row>
    <row r="33" ht="15.75" customHeight="1">
      <c r="A33" s="58">
        <v>4.0</v>
      </c>
      <c r="B33" s="58" t="s">
        <v>287</v>
      </c>
      <c r="C33" s="59"/>
      <c r="D33" s="60" t="str">
        <f t="array" ref="D33">IF($C33="","",IFERROR(INDEX(DB!$F$2:$F$536,MATCH($C33,DB!$A$2:$A$536,0)),""))</f>
        <v/>
      </c>
      <c r="E33" s="61" t="str">
        <f t="array" ref="E33">IF($C33="","",IFERROR(INDEX(DB!$H$2:$H$536,MATCH($C33,DB!$A$2:$A$536,0)),""))</f>
        <v/>
      </c>
      <c r="F33" s="61" t="str">
        <f t="array" ref="F33">IF($C33="","",IFERROR(INDEX(DB!$J$2:$J$536,MATCH($C33,DB!$A$2:$A$536,0)),""))</f>
        <v/>
      </c>
      <c r="G33" s="61" t="str">
        <f t="array" ref="G33">IF($C33="","",IFERROR(INDEX(DB!$K$2:$K$536,MATCH($C33,DB!$A$2:$A$536,0)),""))</f>
        <v/>
      </c>
      <c r="H33" s="62"/>
      <c r="I33" s="61">
        <f t="shared" si="3"/>
        <v>500</v>
      </c>
      <c r="J33" s="61" t="str">
        <f t="shared" si="2"/>
        <v/>
      </c>
      <c r="K33" s="58" t="str">
        <f t="array" ref="K33">IF($C33="","",IFERROR(INDEX(DB!$T$2:$T$536,MATCH($C33,DB!$A$2:$A$536,0)),""))</f>
        <v/>
      </c>
      <c r="L33" s="58" t="str">
        <f t="array" ref="L33">IF($C33="","",IFERROR(INDEX(DB!$O$2:$O$536,MATCH($C33,DB!$A$2:$A$536,0)),""))</f>
        <v/>
      </c>
      <c r="M33" s="60" t="str">
        <f t="array" ref="M33">IF($C33="","",IFERROR(INDEX(DB!$U$2:$U$536,MATCH($C33,DB!$A$2:$A$536,0)),""))</f>
        <v/>
      </c>
      <c r="N33" s="63" t="str">
        <f t="array" ref="N33">IF($C33="","",IFERROR(IF(INDEX(DB!$Q$2:$Q$536,MATCH($C33,DB!$A$2:$A$536,0))=0,"-",INDEX(DB!$Q$2:$Q$536,MATCH($C33,DB!$A$2:$A$536,0))),""))</f>
        <v/>
      </c>
      <c r="O33" s="61" t="str">
        <f t="array" ref="O33">IF($C33="","",IFERROR(INDEX(DB!$V$2:$V$536,MATCH($C33,DB!$A$2:$A$536,0)),""))</f>
        <v/>
      </c>
      <c r="P33" s="58" t="str">
        <f t="array" ref="P33">IF($C33="","",IFERROR(INDEX(DB!$R$2:$R$536,MATCH($C33,DB!$A$2:$A$536,0)),""))</f>
        <v/>
      </c>
      <c r="Q33" s="61" t="str">
        <f t="array" ref="Q33">IF($C33="","",IFERROR(INDEX(DB!$N$2:$N$536,MATCH($C33,DB!$A$2:$A$536,0)),""))</f>
        <v/>
      </c>
      <c r="R33" s="60" t="str">
        <f t="array" ref="R33">IF($C33="","",IFERROR(INDEX(DB!$S$2:$S$536,MATCH($C33,DB!$A$2:$A$536,0)),""))</f>
        <v/>
      </c>
    </row>
    <row r="34" ht="15.75" customHeight="1">
      <c r="A34" s="58">
        <v>5.0</v>
      </c>
      <c r="B34" s="58" t="s">
        <v>287</v>
      </c>
      <c r="C34" s="59"/>
      <c r="D34" s="60" t="str">
        <f t="array" ref="D34">IF($C34="","",IFERROR(INDEX(DB!$F$2:$F$536,MATCH($C34,DB!$A$2:$A$536,0)),""))</f>
        <v/>
      </c>
      <c r="E34" s="61" t="str">
        <f t="array" ref="E34">IF($C34="","",IFERROR(INDEX(DB!$H$2:$H$536,MATCH($C34,DB!$A$2:$A$536,0)),""))</f>
        <v/>
      </c>
      <c r="F34" s="61" t="str">
        <f t="array" ref="F34">IF($C34="","",IFERROR(INDEX(DB!$J$2:$J$536,MATCH($C34,DB!$A$2:$A$536,0)),""))</f>
        <v/>
      </c>
      <c r="G34" s="61" t="str">
        <f t="array" ref="G34">IF($C34="","",IFERROR(INDEX(DB!$K$2:$K$536,MATCH($C34,DB!$A$2:$A$536,0)),""))</f>
        <v/>
      </c>
      <c r="H34" s="62"/>
      <c r="I34" s="61">
        <f t="shared" si="3"/>
        <v>500</v>
      </c>
      <c r="J34" s="61" t="str">
        <f t="shared" si="2"/>
        <v/>
      </c>
      <c r="K34" s="58" t="str">
        <f t="array" ref="K34">IF($C34="","",IFERROR(INDEX(DB!$T$2:$T$536,MATCH($C34,DB!$A$2:$A$536,0)),""))</f>
        <v/>
      </c>
      <c r="L34" s="58" t="str">
        <f t="array" ref="L34">IF($C34="","",IFERROR(INDEX(DB!$O$2:$O$536,MATCH($C34,DB!$A$2:$A$536,0)),""))</f>
        <v/>
      </c>
      <c r="M34" s="60" t="str">
        <f t="array" ref="M34">IF($C34="","",IFERROR(INDEX(DB!$U$2:$U$536,MATCH($C34,DB!$A$2:$A$536,0)),""))</f>
        <v/>
      </c>
      <c r="N34" s="63" t="str">
        <f t="array" ref="N34">IF($C34="","",IFERROR(IF(INDEX(DB!$Q$2:$Q$536,MATCH($C34,DB!$A$2:$A$536,0))=0,"-",INDEX(DB!$Q$2:$Q$536,MATCH($C34,DB!$A$2:$A$536,0))),""))</f>
        <v/>
      </c>
      <c r="O34" s="61" t="str">
        <f t="array" ref="O34">IF($C34="","",IFERROR(INDEX(DB!$V$2:$V$536,MATCH($C34,DB!$A$2:$A$536,0)),""))</f>
        <v/>
      </c>
      <c r="P34" s="58" t="str">
        <f t="array" ref="P34">IF($C34="","",IFERROR(INDEX(DB!$R$2:$R$536,MATCH($C34,DB!$A$2:$A$536,0)),""))</f>
        <v/>
      </c>
      <c r="Q34" s="61" t="str">
        <f t="array" ref="Q34">IF($C34="","",IFERROR(INDEX(DB!$N$2:$N$536,MATCH($C34,DB!$A$2:$A$536,0)),""))</f>
        <v/>
      </c>
      <c r="R34" s="60" t="str">
        <f t="array" ref="R34">IF($C34="","",IFERROR(INDEX(DB!$S$2:$S$536,MATCH($C34,DB!$A$2:$A$536,0)),""))</f>
        <v/>
      </c>
    </row>
    <row r="35" ht="15.75" customHeight="1">
      <c r="A35" s="58">
        <v>6.0</v>
      </c>
      <c r="B35" s="58" t="s">
        <v>287</v>
      </c>
      <c r="C35" s="59"/>
      <c r="D35" s="60" t="str">
        <f t="array" ref="D35">IF($C35="","",IFERROR(INDEX(DB!$F$2:$F$536,MATCH($C35,DB!$A$2:$A$536,0)),""))</f>
        <v/>
      </c>
      <c r="E35" s="61" t="str">
        <f t="array" ref="E35">IF($C35="","",IFERROR(INDEX(DB!$H$2:$H$536,MATCH($C35,DB!$A$2:$A$536,0)),""))</f>
        <v/>
      </c>
      <c r="F35" s="61" t="str">
        <f t="array" ref="F35">IF($C35="","",IFERROR(INDEX(DB!$J$2:$J$536,MATCH($C35,DB!$A$2:$A$536,0)),""))</f>
        <v/>
      </c>
      <c r="G35" s="61" t="str">
        <f t="array" ref="G35">IF($C35="","",IFERROR(INDEX(DB!$K$2:$K$536,MATCH($C35,DB!$A$2:$A$536,0)),""))</f>
        <v/>
      </c>
      <c r="H35" s="62"/>
      <c r="I35" s="61">
        <f t="shared" si="3"/>
        <v>500</v>
      </c>
      <c r="J35" s="61" t="str">
        <f t="shared" si="2"/>
        <v/>
      </c>
      <c r="K35" s="58" t="str">
        <f t="array" ref="K35">IF($C35="","",IFERROR(INDEX(DB!$T$2:$T$536,MATCH($C35,DB!$A$2:$A$536,0)),""))</f>
        <v/>
      </c>
      <c r="L35" s="58" t="str">
        <f t="array" ref="L35">IF($C35="","",IFERROR(INDEX(DB!$O$2:$O$536,MATCH($C35,DB!$A$2:$A$536,0)),""))</f>
        <v/>
      </c>
      <c r="M35" s="60" t="str">
        <f t="array" ref="M35">IF($C35="","",IFERROR(INDEX(DB!$U$2:$U$536,MATCH($C35,DB!$A$2:$A$536,0)),""))</f>
        <v/>
      </c>
      <c r="N35" s="63" t="str">
        <f t="array" ref="N35">IF($C35="","",IFERROR(IF(INDEX(DB!$Q$2:$Q$536,MATCH($C35,DB!$A$2:$A$536,0))=0,"-",INDEX(DB!$Q$2:$Q$536,MATCH($C35,DB!$A$2:$A$536,0))),""))</f>
        <v/>
      </c>
      <c r="O35" s="61" t="str">
        <f t="array" ref="O35">IF($C35="","",IFERROR(INDEX(DB!$V$2:$V$536,MATCH($C35,DB!$A$2:$A$536,0)),""))</f>
        <v/>
      </c>
      <c r="P35" s="58" t="str">
        <f t="array" ref="P35">IF($C35="","",IFERROR(INDEX(DB!$R$2:$R$536,MATCH($C35,DB!$A$2:$A$536,0)),""))</f>
        <v/>
      </c>
      <c r="Q35" s="61" t="str">
        <f t="array" ref="Q35">IF($C35="","",IFERROR(INDEX(DB!$N$2:$N$536,MATCH($C35,DB!$A$2:$A$536,0)),""))</f>
        <v/>
      </c>
      <c r="R35" s="60" t="str">
        <f t="array" ref="R35">IF($C35="","",IFERROR(INDEX(DB!$S$2:$S$536,MATCH($C35,DB!$A$2:$A$536,0)),""))</f>
        <v/>
      </c>
    </row>
    <row r="36" ht="15.75" customHeight="1"/>
    <row r="37" ht="15.75" customHeight="1">
      <c r="A37" s="40" t="s">
        <v>1119</v>
      </c>
    </row>
    <row r="38" ht="15.75" customHeight="1">
      <c r="A38" s="6" t="s">
        <v>1121</v>
      </c>
      <c r="B38" s="6" t="s">
        <v>46</v>
      </c>
      <c r="C38" s="6" t="s">
        <v>578</v>
      </c>
    </row>
    <row r="39" ht="15.75" customHeight="1">
      <c r="A39" s="60" t="s">
        <v>1122</v>
      </c>
      <c r="B39" s="58" t="str">
        <f t="array" ref="B39">IF(OR($D11="",$D12=""),"",INDEX(Abbinamenti!$B$7:$U$26,MATCH($D11,Abbinamenti!$A$7:$A$26,0),MATCH($D12,Abbinamenti!$B$6:$U$6,0)))</f>
        <v/>
      </c>
      <c r="C39" s="58" t="str">
        <f t="shared" ref="C39:C41" si="4">IF(B39="","",IF(B39&lt;=3,"Perfetto",IF(B39&lt;=6,"Ottimo",IF(B39&lt;=8,"Buono",IF(B39&lt;=11,"Nella media","Da evitare")))))</f>
        <v/>
      </c>
    </row>
    <row r="40" ht="15.75" customHeight="1">
      <c r="A40" s="60" t="s">
        <v>1132</v>
      </c>
      <c r="B40" s="58" t="str">
        <f t="array" ref="B40">IF(OR($D11="",$D13=""),"",INDEX(Abbinamenti!$B$7:$U$26,MATCH($D11,Abbinamenti!$A$7:$A$26,0),MATCH($D13,Abbinamenti!$B$6:$U$6,0)))</f>
        <v/>
      </c>
      <c r="C40" s="58" t="str">
        <f t="shared" si="4"/>
        <v/>
      </c>
    </row>
    <row r="41" ht="15.75" customHeight="1">
      <c r="A41" s="60" t="s">
        <v>1135</v>
      </c>
      <c r="B41" s="58" t="str">
        <f t="array" ref="B41">IF(OR($D12="",$D13=""),"",INDEX(Abbinamenti!$B$7:$U$26,MATCH($D12,Abbinamenti!$A$7:$A$26,0),MATCH($D13,Abbinamenti!$B$6:$U$6,0)))</f>
        <v/>
      </c>
      <c r="C41" s="58" t="str">
        <f t="shared" si="4"/>
        <v/>
      </c>
    </row>
    <row r="42" ht="15.75" customHeight="1"/>
    <row r="43" ht="15.75" customHeight="1">
      <c r="A43" s="39" t="s">
        <v>1137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7">
    <cfRule type="cellIs" dxfId="3" priority="1" operator="lessThan">
      <formula>0</formula>
    </cfRule>
  </conditionalFormatting>
  <conditionalFormatting sqref="B7">
    <cfRule type="cellIs" dxfId="0" priority="2" operator="greaterThanOrEqual">
      <formula>0</formula>
    </cfRule>
  </conditionalFormatting>
  <conditionalFormatting sqref="H6:H9">
    <cfRule type="cellIs" dxfId="1" priority="3" operator="greaterThan">
      <formula>0</formula>
    </cfRule>
  </conditionalFormatting>
  <conditionalFormatting sqref="H6:H9">
    <cfRule type="cellIs" dxfId="0" priority="4" operator="lessThanOrEqual">
      <formula>0</formula>
    </cfRule>
  </conditionalFormatting>
  <conditionalFormatting sqref="J11:J35">
    <cfRule type="cellIs" dxfId="1" priority="5" operator="greaterThan">
      <formula>0</formula>
    </cfRule>
  </conditionalFormatting>
  <conditionalFormatting sqref="J11:J35">
    <cfRule type="cellIs" dxfId="0" priority="6" operator="lessThan">
      <formula>0</formula>
    </cfRule>
  </conditionalFormatting>
  <conditionalFormatting sqref="I11:I35">
    <cfRule type="cellIs" dxfId="1" priority="7" operator="lessThan">
      <formula>0</formula>
    </cfRule>
  </conditionalFormatting>
  <conditionalFormatting sqref="C11:C35">
    <cfRule type="expression" dxfId="4" priority="8">
      <formula>AND($C11&lt;&gt;"",COUNTIF($C$11:$C$35,$C11)&gt;1)</formula>
    </cfRule>
  </conditionalFormatting>
  <conditionalFormatting sqref="M11:M35">
    <cfRule type="expression" dxfId="3" priority="9">
      <formula>ISNUMBER(SEARCH("nfortunat",$M11))</formula>
    </cfRule>
  </conditionalFormatting>
  <conditionalFormatting sqref="M11:M35">
    <cfRule type="expression" dxfId="5" priority="10">
      <formula>ISNUMBER(SEARCH("dubbio",$M11))</formula>
    </cfRule>
  </conditionalFormatting>
  <conditionalFormatting sqref="M11:M35">
    <cfRule type="expression" dxfId="6" priority="11">
      <formula>ISNUMBER(SEARCH("RISCHIA",$M11))</formula>
    </cfRule>
  </conditionalFormatting>
  <conditionalFormatting sqref="M11:M35">
    <cfRule type="expression" dxfId="0" priority="12">
      <formula>ISNUMBER(SEARCH("confermato",$M11))</formula>
    </cfRule>
  </conditionalFormatting>
  <dataValidations>
    <dataValidation type="list" allowBlank="1" sqref="C30:C35">
      <formula1>LISTA_A</formula1>
    </dataValidation>
    <dataValidation type="list" allowBlank="1" sqref="C14:C21">
      <formula1>LISTA_D</formula1>
    </dataValidation>
    <dataValidation type="list" allowBlank="1" sqref="C22:C29">
      <formula1>LISTA_C</formula1>
    </dataValidation>
    <dataValidation type="list" allowBlank="1" sqref="C11:C13">
      <formula1>LISTA_P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5" width="11.0"/>
    <col customWidth="1" min="6" max="6" width="7.0"/>
    <col customWidth="1" min="7" max="7" width="8.0"/>
    <col customWidth="1" min="8" max="8" width="20.0"/>
    <col customWidth="1" min="9" max="9" width="13.0"/>
    <col customWidth="1" min="10" max="10" width="12.0"/>
    <col customWidth="1" min="11" max="11" width="15.0"/>
    <col customWidth="1" min="12" max="12" width="14.0"/>
    <col customWidth="1" min="13" max="26" width="8.71"/>
  </cols>
  <sheetData>
    <row r="1">
      <c r="A1" s="2" t="s">
        <v>807</v>
      </c>
    </row>
    <row r="2">
      <c r="A2" s="4" t="s">
        <v>808</v>
      </c>
    </row>
    <row r="3" ht="30.0" customHeight="1">
      <c r="A3" s="6" t="s">
        <v>10</v>
      </c>
      <c r="B3" s="6" t="s">
        <v>42</v>
      </c>
      <c r="C3" s="6" t="s">
        <v>810</v>
      </c>
      <c r="D3" s="6" t="s">
        <v>811</v>
      </c>
      <c r="E3" s="6" t="s">
        <v>812</v>
      </c>
      <c r="F3" s="6" t="s">
        <v>813</v>
      </c>
      <c r="G3" s="6" t="s">
        <v>814</v>
      </c>
      <c r="H3" s="6" t="s">
        <v>815</v>
      </c>
      <c r="I3" s="6" t="s">
        <v>816</v>
      </c>
      <c r="J3" s="6" t="s">
        <v>817</v>
      </c>
      <c r="K3" s="6" t="s">
        <v>818</v>
      </c>
      <c r="L3" s="6" t="s">
        <v>819</v>
      </c>
    </row>
    <row r="4">
      <c r="A4" s="29" t="s">
        <v>820</v>
      </c>
      <c r="B4" s="29" t="s">
        <v>734</v>
      </c>
      <c r="C4" s="25">
        <v>1.0</v>
      </c>
      <c r="D4" s="32">
        <v>7.0</v>
      </c>
      <c r="E4" s="32">
        <v>10.0</v>
      </c>
      <c r="F4" s="25">
        <v>1.0</v>
      </c>
      <c r="G4" s="25">
        <v>0.0</v>
      </c>
      <c r="H4" s="25" t="s">
        <v>188</v>
      </c>
      <c r="I4" s="25">
        <v>0.0</v>
      </c>
      <c r="J4" s="25">
        <v>0.0</v>
      </c>
      <c r="K4" s="25" t="s">
        <v>73</v>
      </c>
      <c r="L4" s="29" t="s">
        <v>71</v>
      </c>
    </row>
    <row r="5">
      <c r="A5" s="18" t="s">
        <v>821</v>
      </c>
      <c r="B5" s="18" t="s">
        <v>191</v>
      </c>
      <c r="C5" s="11">
        <v>1.0</v>
      </c>
      <c r="D5" s="22">
        <v>7.0</v>
      </c>
      <c r="E5" s="22">
        <v>9.5</v>
      </c>
      <c r="F5" s="11">
        <v>1.0</v>
      </c>
      <c r="G5" s="11">
        <v>0.0</v>
      </c>
      <c r="H5" s="11" t="s">
        <v>72</v>
      </c>
      <c r="I5" s="11">
        <v>1.0</v>
      </c>
      <c r="J5" s="11">
        <v>0.0</v>
      </c>
      <c r="K5" s="11" t="s">
        <v>73</v>
      </c>
      <c r="L5" s="18" t="s">
        <v>71</v>
      </c>
    </row>
    <row r="6">
      <c r="A6" s="29" t="s">
        <v>234</v>
      </c>
      <c r="B6" s="29" t="s">
        <v>60</v>
      </c>
      <c r="C6" s="25">
        <v>18.0</v>
      </c>
      <c r="D6" s="32">
        <v>6.72</v>
      </c>
      <c r="E6" s="32">
        <v>8.97</v>
      </c>
      <c r="F6" s="25">
        <v>14.0</v>
      </c>
      <c r="G6" s="25">
        <v>2.0</v>
      </c>
      <c r="H6" s="25" t="s">
        <v>241</v>
      </c>
      <c r="I6" s="25">
        <v>1.0</v>
      </c>
      <c r="J6" s="25">
        <v>0.0</v>
      </c>
      <c r="K6" s="25" t="s">
        <v>103</v>
      </c>
      <c r="L6" s="29" t="s">
        <v>60</v>
      </c>
    </row>
    <row r="7">
      <c r="A7" s="18" t="s">
        <v>251</v>
      </c>
      <c r="B7" s="18" t="s">
        <v>64</v>
      </c>
      <c r="C7" s="11">
        <v>30.0</v>
      </c>
      <c r="D7" s="22">
        <v>6.42</v>
      </c>
      <c r="E7" s="22">
        <v>8.25</v>
      </c>
      <c r="F7" s="11">
        <v>17.0</v>
      </c>
      <c r="G7" s="11">
        <v>6.0</v>
      </c>
      <c r="H7" s="11" t="s">
        <v>72</v>
      </c>
      <c r="I7" s="11">
        <v>4.0</v>
      </c>
      <c r="J7" s="11">
        <v>0.0</v>
      </c>
      <c r="K7" s="11" t="s">
        <v>103</v>
      </c>
      <c r="L7" s="18" t="s">
        <v>64</v>
      </c>
    </row>
    <row r="8">
      <c r="A8" s="29" t="s">
        <v>269</v>
      </c>
      <c r="B8" s="29" t="s">
        <v>64</v>
      </c>
      <c r="C8" s="25">
        <v>29.0</v>
      </c>
      <c r="D8" s="32">
        <v>6.43</v>
      </c>
      <c r="E8" s="32">
        <v>7.95</v>
      </c>
      <c r="F8" s="25">
        <v>13.0</v>
      </c>
      <c r="G8" s="25">
        <v>6.0</v>
      </c>
      <c r="H8" s="25" t="s">
        <v>72</v>
      </c>
      <c r="I8" s="25">
        <v>2.0</v>
      </c>
      <c r="J8" s="25">
        <v>0.0</v>
      </c>
      <c r="K8" s="25" t="s">
        <v>103</v>
      </c>
      <c r="L8" s="29" t="s">
        <v>64</v>
      </c>
    </row>
    <row r="9">
      <c r="A9" s="18" t="s">
        <v>63</v>
      </c>
      <c r="B9" s="18" t="s">
        <v>64</v>
      </c>
      <c r="C9" s="11">
        <v>35.0</v>
      </c>
      <c r="D9" s="22">
        <v>6.6</v>
      </c>
      <c r="E9" s="22">
        <v>7.64</v>
      </c>
      <c r="F9" s="11">
        <v>7.0</v>
      </c>
      <c r="G9" s="11">
        <v>17.0</v>
      </c>
      <c r="H9" s="11" t="s">
        <v>72</v>
      </c>
      <c r="I9" s="11">
        <v>3.0</v>
      </c>
      <c r="J9" s="11">
        <v>0.0</v>
      </c>
      <c r="K9" s="11" t="s">
        <v>103</v>
      </c>
      <c r="L9" s="18" t="s">
        <v>64</v>
      </c>
    </row>
    <row r="10">
      <c r="A10" s="29" t="s">
        <v>66</v>
      </c>
      <c r="B10" s="29" t="s">
        <v>64</v>
      </c>
      <c r="C10" s="25">
        <v>22.0</v>
      </c>
      <c r="D10" s="32">
        <v>6.52</v>
      </c>
      <c r="E10" s="32">
        <v>7.64</v>
      </c>
      <c r="F10" s="25">
        <v>9.0</v>
      </c>
      <c r="G10" s="25">
        <v>4.0</v>
      </c>
      <c r="H10" s="25" t="s">
        <v>91</v>
      </c>
      <c r="I10" s="25">
        <v>7.0</v>
      </c>
      <c r="J10" s="25">
        <v>0.0</v>
      </c>
      <c r="K10" s="25" t="s">
        <v>103</v>
      </c>
      <c r="L10" s="29" t="s">
        <v>64</v>
      </c>
    </row>
    <row r="11">
      <c r="A11" s="18" t="s">
        <v>824</v>
      </c>
      <c r="B11" s="18" t="s">
        <v>239</v>
      </c>
      <c r="C11" s="11">
        <v>4.0</v>
      </c>
      <c r="D11" s="22">
        <v>6.12</v>
      </c>
      <c r="E11" s="22">
        <v>7.62</v>
      </c>
      <c r="F11" s="11">
        <v>2.0</v>
      </c>
      <c r="G11" s="11">
        <v>0.0</v>
      </c>
      <c r="H11" s="11" t="s">
        <v>188</v>
      </c>
      <c r="I11" s="11">
        <v>0.0</v>
      </c>
      <c r="J11" s="11">
        <v>0.0</v>
      </c>
      <c r="K11" s="11" t="s">
        <v>73</v>
      </c>
      <c r="L11" s="18" t="s">
        <v>71</v>
      </c>
    </row>
    <row r="12">
      <c r="A12" s="29" t="s">
        <v>295</v>
      </c>
      <c r="B12" s="29" t="s">
        <v>143</v>
      </c>
      <c r="C12" s="25">
        <v>22.0</v>
      </c>
      <c r="D12" s="32">
        <v>6.18</v>
      </c>
      <c r="E12" s="32">
        <v>7.55</v>
      </c>
      <c r="F12" s="25">
        <v>10.0</v>
      </c>
      <c r="G12" s="25">
        <v>1.0</v>
      </c>
      <c r="H12" s="25" t="s">
        <v>297</v>
      </c>
      <c r="I12" s="25">
        <v>2.0</v>
      </c>
      <c r="J12" s="25">
        <v>0.0</v>
      </c>
      <c r="K12" s="25" t="s">
        <v>103</v>
      </c>
      <c r="L12" s="29" t="s">
        <v>143</v>
      </c>
    </row>
    <row r="13">
      <c r="A13" s="18" t="s">
        <v>262</v>
      </c>
      <c r="B13" s="18" t="s">
        <v>191</v>
      </c>
      <c r="C13" s="11">
        <v>33.0</v>
      </c>
      <c r="D13" s="22">
        <v>6.21</v>
      </c>
      <c r="E13" s="22">
        <v>7.44</v>
      </c>
      <c r="F13" s="11">
        <v>12.0</v>
      </c>
      <c r="G13" s="11">
        <v>5.0</v>
      </c>
      <c r="H13" s="11" t="s">
        <v>188</v>
      </c>
      <c r="I13" s="11">
        <v>1.0</v>
      </c>
      <c r="J13" s="11">
        <v>0.0</v>
      </c>
      <c r="K13" s="11" t="s">
        <v>103</v>
      </c>
      <c r="L13" s="18" t="s">
        <v>191</v>
      </c>
    </row>
    <row r="14">
      <c r="A14" s="29" t="s">
        <v>278</v>
      </c>
      <c r="B14" s="29" t="s">
        <v>133</v>
      </c>
      <c r="C14" s="25">
        <v>36.0</v>
      </c>
      <c r="D14" s="32">
        <v>6.18</v>
      </c>
      <c r="E14" s="32">
        <v>7.38</v>
      </c>
      <c r="F14" s="25">
        <v>14.0</v>
      </c>
      <c r="G14" s="25">
        <v>1.0</v>
      </c>
      <c r="H14" s="25" t="s">
        <v>188</v>
      </c>
      <c r="I14" s="25">
        <v>0.0</v>
      </c>
      <c r="J14" s="25">
        <v>0.0</v>
      </c>
      <c r="K14" s="25" t="s">
        <v>103</v>
      </c>
      <c r="L14" s="29" t="s">
        <v>133</v>
      </c>
    </row>
    <row r="15">
      <c r="A15" s="18" t="s">
        <v>302</v>
      </c>
      <c r="B15" s="18" t="s">
        <v>185</v>
      </c>
      <c r="C15" s="11">
        <v>30.0</v>
      </c>
      <c r="D15" s="22">
        <v>6.32</v>
      </c>
      <c r="E15" s="22">
        <v>7.37</v>
      </c>
      <c r="F15" s="11">
        <v>10.0</v>
      </c>
      <c r="G15" s="11">
        <v>4.0</v>
      </c>
      <c r="H15" s="11" t="s">
        <v>250</v>
      </c>
      <c r="I15" s="11">
        <v>5.0</v>
      </c>
      <c r="J15" s="11">
        <v>0.0</v>
      </c>
      <c r="K15" s="11" t="s">
        <v>103</v>
      </c>
      <c r="L15" s="18" t="s">
        <v>185</v>
      </c>
    </row>
    <row r="16">
      <c r="A16" s="29" t="s">
        <v>826</v>
      </c>
      <c r="B16" s="29" t="s">
        <v>93</v>
      </c>
      <c r="C16" s="25">
        <v>18.0</v>
      </c>
      <c r="D16" s="32">
        <v>6.14</v>
      </c>
      <c r="E16" s="32">
        <v>7.31</v>
      </c>
      <c r="F16" s="25">
        <v>7.0</v>
      </c>
      <c r="G16" s="25">
        <v>0.0</v>
      </c>
      <c r="H16" s="25" t="s">
        <v>188</v>
      </c>
      <c r="I16" s="25">
        <v>0.0</v>
      </c>
      <c r="J16" s="25">
        <v>0.0</v>
      </c>
      <c r="K16" s="25" t="s">
        <v>73</v>
      </c>
      <c r="L16" s="29" t="s">
        <v>71</v>
      </c>
    </row>
    <row r="17">
      <c r="A17" s="18" t="s">
        <v>130</v>
      </c>
      <c r="B17" s="18" t="s">
        <v>133</v>
      </c>
      <c r="C17" s="11">
        <v>35.0</v>
      </c>
      <c r="D17" s="22">
        <v>6.37</v>
      </c>
      <c r="E17" s="22">
        <v>7.3</v>
      </c>
      <c r="F17" s="11">
        <v>12.0</v>
      </c>
      <c r="G17" s="11">
        <v>5.0</v>
      </c>
      <c r="H17" s="11" t="s">
        <v>166</v>
      </c>
      <c r="I17" s="11">
        <v>5.0</v>
      </c>
      <c r="J17" s="11">
        <v>0.0</v>
      </c>
      <c r="K17" s="11" t="s">
        <v>103</v>
      </c>
      <c r="L17" s="18" t="s">
        <v>133</v>
      </c>
    </row>
    <row r="18">
      <c r="A18" s="29" t="s">
        <v>310</v>
      </c>
      <c r="B18" s="29" t="s">
        <v>93</v>
      </c>
      <c r="C18" s="25">
        <v>35.0</v>
      </c>
      <c r="D18" s="32">
        <v>6.39</v>
      </c>
      <c r="E18" s="32">
        <v>7.3</v>
      </c>
      <c r="F18" s="25">
        <v>10.0</v>
      </c>
      <c r="G18" s="25">
        <v>6.0</v>
      </c>
      <c r="H18" s="25" t="s">
        <v>315</v>
      </c>
      <c r="I18" s="25">
        <v>2.0</v>
      </c>
      <c r="J18" s="25">
        <v>0.0</v>
      </c>
      <c r="K18" s="25" t="s">
        <v>103</v>
      </c>
      <c r="L18" s="29" t="s">
        <v>93</v>
      </c>
    </row>
    <row r="19">
      <c r="A19" s="18" t="s">
        <v>197</v>
      </c>
      <c r="B19" s="18" t="s">
        <v>191</v>
      </c>
      <c r="C19" s="11">
        <v>33.0</v>
      </c>
      <c r="D19" s="22">
        <v>6.39</v>
      </c>
      <c r="E19" s="22">
        <v>7.26</v>
      </c>
      <c r="F19" s="11">
        <v>10.0</v>
      </c>
      <c r="G19" s="11">
        <v>2.0</v>
      </c>
      <c r="H19" s="11" t="s">
        <v>202</v>
      </c>
      <c r="I19" s="11">
        <v>1.0</v>
      </c>
      <c r="J19" s="11">
        <v>0.0</v>
      </c>
      <c r="K19" s="11" t="s">
        <v>103</v>
      </c>
      <c r="L19" s="18" t="s">
        <v>191</v>
      </c>
    </row>
    <row r="20">
      <c r="A20" s="29" t="s">
        <v>221</v>
      </c>
      <c r="B20" s="29" t="s">
        <v>191</v>
      </c>
      <c r="C20" s="25">
        <v>17.0</v>
      </c>
      <c r="D20" s="32">
        <v>6.26</v>
      </c>
      <c r="E20" s="32">
        <v>7.24</v>
      </c>
      <c r="F20" s="25">
        <v>5.0</v>
      </c>
      <c r="G20" s="25">
        <v>2.0</v>
      </c>
      <c r="H20" s="25" t="s">
        <v>225</v>
      </c>
      <c r="I20" s="25">
        <v>1.0</v>
      </c>
      <c r="J20" s="25">
        <v>0.0</v>
      </c>
      <c r="K20" s="25" t="s">
        <v>103</v>
      </c>
      <c r="L20" s="29" t="s">
        <v>191</v>
      </c>
    </row>
    <row r="21" ht="15.75" customHeight="1">
      <c r="A21" s="18" t="s">
        <v>411</v>
      </c>
      <c r="B21" s="18" t="s">
        <v>191</v>
      </c>
      <c r="C21" s="11">
        <v>13.0</v>
      </c>
      <c r="D21" s="22">
        <v>6.35</v>
      </c>
      <c r="E21" s="22">
        <v>7.23</v>
      </c>
      <c r="F21" s="11">
        <v>4.0</v>
      </c>
      <c r="G21" s="11">
        <v>0.0</v>
      </c>
      <c r="H21" s="11" t="s">
        <v>72</v>
      </c>
      <c r="I21" s="11">
        <v>1.0</v>
      </c>
      <c r="J21" s="11">
        <v>0.0</v>
      </c>
      <c r="K21" s="11" t="s">
        <v>103</v>
      </c>
      <c r="L21" s="18" t="s">
        <v>191</v>
      </c>
    </row>
    <row r="22" ht="15.75" customHeight="1">
      <c r="A22" s="29" t="s">
        <v>828</v>
      </c>
      <c r="B22" s="29" t="s">
        <v>93</v>
      </c>
      <c r="C22" s="25">
        <v>10.0</v>
      </c>
      <c r="D22" s="32">
        <v>6.2</v>
      </c>
      <c r="E22" s="32">
        <v>7.2</v>
      </c>
      <c r="F22" s="25">
        <v>3.0</v>
      </c>
      <c r="G22" s="25">
        <v>1.0</v>
      </c>
      <c r="H22" s="25" t="s">
        <v>72</v>
      </c>
      <c r="I22" s="25">
        <v>1.0</v>
      </c>
      <c r="J22" s="25">
        <v>0.0</v>
      </c>
      <c r="K22" s="25" t="s">
        <v>73</v>
      </c>
      <c r="L22" s="29" t="s">
        <v>71</v>
      </c>
    </row>
    <row r="23" ht="15.75" customHeight="1">
      <c r="A23" s="18" t="s">
        <v>328</v>
      </c>
      <c r="B23" s="18" t="s">
        <v>143</v>
      </c>
      <c r="C23" s="11">
        <v>32.0</v>
      </c>
      <c r="D23" s="22">
        <v>6.16</v>
      </c>
      <c r="E23" s="22">
        <v>7.19</v>
      </c>
      <c r="F23" s="11">
        <v>10.0</v>
      </c>
      <c r="G23" s="11">
        <v>5.0</v>
      </c>
      <c r="H23" s="11" t="s">
        <v>72</v>
      </c>
      <c r="I23" s="11">
        <v>4.0</v>
      </c>
      <c r="J23" s="11">
        <v>0.0</v>
      </c>
      <c r="K23" s="11" t="s">
        <v>103</v>
      </c>
      <c r="L23" s="18" t="s">
        <v>143</v>
      </c>
    </row>
    <row r="24" ht="15.75" customHeight="1">
      <c r="A24" s="29" t="s">
        <v>285</v>
      </c>
      <c r="B24" s="29" t="s">
        <v>253</v>
      </c>
      <c r="C24" s="25">
        <v>26.0</v>
      </c>
      <c r="D24" s="32">
        <v>6.31</v>
      </c>
      <c r="E24" s="32">
        <v>7.19</v>
      </c>
      <c r="F24" s="25">
        <v>8.0</v>
      </c>
      <c r="G24" s="25">
        <v>4.0</v>
      </c>
      <c r="H24" s="25" t="s">
        <v>290</v>
      </c>
      <c r="I24" s="25">
        <v>2.0</v>
      </c>
      <c r="J24" s="25">
        <v>1.0</v>
      </c>
      <c r="K24" s="25" t="s">
        <v>103</v>
      </c>
      <c r="L24" s="29" t="s">
        <v>253</v>
      </c>
    </row>
    <row r="25" ht="15.75" customHeight="1">
      <c r="A25" s="18" t="s">
        <v>453</v>
      </c>
      <c r="B25" s="18" t="s">
        <v>93</v>
      </c>
      <c r="C25" s="11">
        <v>13.0</v>
      </c>
      <c r="D25" s="22">
        <v>6.19</v>
      </c>
      <c r="E25" s="22">
        <v>7.15</v>
      </c>
      <c r="F25" s="11">
        <v>4.0</v>
      </c>
      <c r="G25" s="11">
        <v>1.0</v>
      </c>
      <c r="H25" s="11" t="s">
        <v>72</v>
      </c>
      <c r="I25" s="11">
        <v>1.0</v>
      </c>
      <c r="J25" s="11">
        <v>0.0</v>
      </c>
      <c r="K25" s="11" t="s">
        <v>103</v>
      </c>
      <c r="L25" s="18" t="s">
        <v>93</v>
      </c>
    </row>
    <row r="26" ht="15.75" customHeight="1">
      <c r="A26" s="29" t="s">
        <v>257</v>
      </c>
      <c r="B26" s="29" t="s">
        <v>133</v>
      </c>
      <c r="C26" s="25">
        <v>25.0</v>
      </c>
      <c r="D26" s="32">
        <v>6.3</v>
      </c>
      <c r="E26" s="32">
        <v>7.14</v>
      </c>
      <c r="F26" s="25">
        <v>6.0</v>
      </c>
      <c r="G26" s="25">
        <v>3.0</v>
      </c>
      <c r="H26" s="25" t="s">
        <v>72</v>
      </c>
      <c r="I26" s="25">
        <v>0.0</v>
      </c>
      <c r="J26" s="25">
        <v>0.0</v>
      </c>
      <c r="K26" s="25" t="s">
        <v>103</v>
      </c>
      <c r="L26" s="29" t="s">
        <v>133</v>
      </c>
    </row>
    <row r="27" ht="15.75" customHeight="1">
      <c r="A27" s="18" t="s">
        <v>350</v>
      </c>
      <c r="B27" s="18" t="s">
        <v>212</v>
      </c>
      <c r="C27" s="11">
        <v>32.0</v>
      </c>
      <c r="D27" s="22">
        <v>6.08</v>
      </c>
      <c r="E27" s="22">
        <v>7.09</v>
      </c>
      <c r="F27" s="11">
        <v>11.0</v>
      </c>
      <c r="G27" s="11">
        <v>0.0</v>
      </c>
      <c r="H27" s="11" t="s">
        <v>72</v>
      </c>
      <c r="I27" s="11">
        <v>1.0</v>
      </c>
      <c r="J27" s="11">
        <v>0.0</v>
      </c>
      <c r="K27" s="11" t="s">
        <v>103</v>
      </c>
      <c r="L27" s="18" t="s">
        <v>212</v>
      </c>
    </row>
    <row r="28" ht="15.75" customHeight="1">
      <c r="A28" s="29" t="s">
        <v>209</v>
      </c>
      <c r="B28" s="29" t="s">
        <v>175</v>
      </c>
      <c r="C28" s="25">
        <v>27.0</v>
      </c>
      <c r="D28" s="32">
        <v>6.15</v>
      </c>
      <c r="E28" s="32">
        <v>7.07</v>
      </c>
      <c r="F28" s="25">
        <v>8.0</v>
      </c>
      <c r="G28" s="25">
        <v>4.0</v>
      </c>
      <c r="H28" s="25" t="s">
        <v>202</v>
      </c>
      <c r="I28" s="25">
        <v>0.0</v>
      </c>
      <c r="J28" s="25">
        <v>0.0</v>
      </c>
      <c r="K28" s="25" t="s">
        <v>103</v>
      </c>
      <c r="L28" s="29" t="s">
        <v>175</v>
      </c>
    </row>
    <row r="29" ht="15.75" customHeight="1">
      <c r="A29" s="18" t="s">
        <v>355</v>
      </c>
      <c r="B29" s="18" t="s">
        <v>64</v>
      </c>
      <c r="C29" s="11">
        <v>31.0</v>
      </c>
      <c r="D29" s="22">
        <v>6.26</v>
      </c>
      <c r="E29" s="22">
        <v>7.02</v>
      </c>
      <c r="F29" s="11">
        <v>7.0</v>
      </c>
      <c r="G29" s="11">
        <v>3.0</v>
      </c>
      <c r="H29" s="11" t="s">
        <v>72</v>
      </c>
      <c r="I29" s="11">
        <v>1.0</v>
      </c>
      <c r="J29" s="11">
        <v>0.0</v>
      </c>
      <c r="K29" s="11" t="s">
        <v>103</v>
      </c>
      <c r="L29" s="18" t="s">
        <v>64</v>
      </c>
    </row>
    <row r="30" ht="15.75" customHeight="1">
      <c r="A30" s="29" t="s">
        <v>830</v>
      </c>
      <c r="B30" s="29" t="s">
        <v>734</v>
      </c>
      <c r="C30" s="25">
        <v>35.0</v>
      </c>
      <c r="D30" s="32">
        <v>6.16</v>
      </c>
      <c r="E30" s="32">
        <v>7.01</v>
      </c>
      <c r="F30" s="25">
        <v>10.0</v>
      </c>
      <c r="G30" s="25">
        <v>2.0</v>
      </c>
      <c r="H30" s="25" t="s">
        <v>225</v>
      </c>
      <c r="I30" s="25">
        <v>4.0</v>
      </c>
      <c r="J30" s="25">
        <v>0.0</v>
      </c>
      <c r="K30" s="25" t="s">
        <v>73</v>
      </c>
      <c r="L30" s="29" t="s">
        <v>71</v>
      </c>
    </row>
    <row r="31" ht="15.75" customHeight="1">
      <c r="A31" s="18" t="s">
        <v>342</v>
      </c>
      <c r="B31" s="18" t="s">
        <v>253</v>
      </c>
      <c r="C31" s="11">
        <v>37.0</v>
      </c>
      <c r="D31" s="22">
        <v>6.23</v>
      </c>
      <c r="E31" s="22">
        <v>6.99</v>
      </c>
      <c r="F31" s="11">
        <v>7.0</v>
      </c>
      <c r="G31" s="11">
        <v>9.0</v>
      </c>
      <c r="H31" s="11" t="s">
        <v>72</v>
      </c>
      <c r="I31" s="11">
        <v>4.0</v>
      </c>
      <c r="J31" s="11">
        <v>0.0</v>
      </c>
      <c r="K31" s="11" t="s">
        <v>103</v>
      </c>
      <c r="L31" s="18" t="s">
        <v>253</v>
      </c>
    </row>
    <row r="32" ht="15.75" customHeight="1">
      <c r="A32" s="29" t="s">
        <v>233</v>
      </c>
      <c r="B32" s="29" t="s">
        <v>175</v>
      </c>
      <c r="C32" s="25">
        <v>29.0</v>
      </c>
      <c r="D32" s="32">
        <v>6.33</v>
      </c>
      <c r="E32" s="32">
        <v>6.98</v>
      </c>
      <c r="F32" s="25">
        <v>6.0</v>
      </c>
      <c r="G32" s="25">
        <v>4.0</v>
      </c>
      <c r="H32" s="25" t="s">
        <v>72</v>
      </c>
      <c r="I32" s="25">
        <v>4.0</v>
      </c>
      <c r="J32" s="25">
        <v>1.0</v>
      </c>
      <c r="K32" s="25" t="s">
        <v>103</v>
      </c>
      <c r="L32" s="29" t="s">
        <v>175</v>
      </c>
    </row>
    <row r="33" ht="15.75" customHeight="1">
      <c r="A33" s="18" t="s">
        <v>596</v>
      </c>
      <c r="B33" s="18" t="s">
        <v>232</v>
      </c>
      <c r="C33" s="11">
        <v>12.0</v>
      </c>
      <c r="D33" s="22">
        <v>6.17</v>
      </c>
      <c r="E33" s="22">
        <v>6.92</v>
      </c>
      <c r="F33" s="11">
        <v>2.0</v>
      </c>
      <c r="G33" s="11">
        <v>3.0</v>
      </c>
      <c r="H33" s="11" t="s">
        <v>72</v>
      </c>
      <c r="I33" s="11">
        <v>0.0</v>
      </c>
      <c r="J33" s="11">
        <v>0.0</v>
      </c>
      <c r="K33" s="11" t="s">
        <v>103</v>
      </c>
      <c r="L33" s="18" t="s">
        <v>232</v>
      </c>
    </row>
    <row r="34" ht="15.75" customHeight="1">
      <c r="A34" s="29" t="s">
        <v>246</v>
      </c>
      <c r="B34" s="29" t="s">
        <v>133</v>
      </c>
      <c r="C34" s="25">
        <v>35.0</v>
      </c>
      <c r="D34" s="32">
        <v>6.34</v>
      </c>
      <c r="E34" s="32">
        <v>6.91</v>
      </c>
      <c r="F34" s="25">
        <v>6.0</v>
      </c>
      <c r="G34" s="25">
        <v>4.0</v>
      </c>
      <c r="H34" s="25" t="s">
        <v>250</v>
      </c>
      <c r="I34" s="25">
        <v>4.0</v>
      </c>
      <c r="J34" s="25">
        <v>0.0</v>
      </c>
      <c r="K34" s="25" t="s">
        <v>103</v>
      </c>
      <c r="L34" s="29" t="s">
        <v>133</v>
      </c>
    </row>
    <row r="35" ht="15.75" customHeight="1">
      <c r="A35" s="18" t="s">
        <v>379</v>
      </c>
      <c r="B35" s="18" t="s">
        <v>239</v>
      </c>
      <c r="C35" s="11">
        <v>36.0</v>
      </c>
      <c r="D35" s="22">
        <v>6.26</v>
      </c>
      <c r="E35" s="22">
        <v>6.88</v>
      </c>
      <c r="F35" s="11">
        <v>7.0</v>
      </c>
      <c r="G35" s="11">
        <v>4.0</v>
      </c>
      <c r="H35" s="11" t="s">
        <v>188</v>
      </c>
      <c r="I35" s="11">
        <v>6.0</v>
      </c>
      <c r="J35" s="11">
        <v>0.0</v>
      </c>
      <c r="K35" s="11" t="s">
        <v>103</v>
      </c>
      <c r="L35" s="18" t="s">
        <v>253</v>
      </c>
    </row>
    <row r="36" ht="15.75" customHeight="1">
      <c r="A36" s="29" t="s">
        <v>296</v>
      </c>
      <c r="B36" s="29" t="s">
        <v>185</v>
      </c>
      <c r="C36" s="25">
        <v>32.0</v>
      </c>
      <c r="D36" s="32">
        <v>6.36</v>
      </c>
      <c r="E36" s="32">
        <v>6.88</v>
      </c>
      <c r="F36" s="25">
        <v>5.0</v>
      </c>
      <c r="G36" s="25">
        <v>3.0</v>
      </c>
      <c r="H36" s="25" t="s">
        <v>72</v>
      </c>
      <c r="I36" s="25">
        <v>3.0</v>
      </c>
      <c r="J36" s="25">
        <v>0.0</v>
      </c>
      <c r="K36" s="25" t="s">
        <v>103</v>
      </c>
      <c r="L36" s="29" t="s">
        <v>208</v>
      </c>
    </row>
    <row r="37" ht="15.75" customHeight="1">
      <c r="A37" s="18" t="s">
        <v>425</v>
      </c>
      <c r="B37" s="18" t="s">
        <v>143</v>
      </c>
      <c r="C37" s="11">
        <v>13.0</v>
      </c>
      <c r="D37" s="22">
        <v>6.12</v>
      </c>
      <c r="E37" s="22">
        <v>6.88</v>
      </c>
      <c r="F37" s="11">
        <v>3.0</v>
      </c>
      <c r="G37" s="11">
        <v>1.0</v>
      </c>
      <c r="H37" s="11" t="s">
        <v>72</v>
      </c>
      <c r="I37" s="11">
        <v>0.0</v>
      </c>
      <c r="J37" s="11">
        <v>0.0</v>
      </c>
      <c r="K37" s="11" t="s">
        <v>103</v>
      </c>
      <c r="L37" s="18" t="s">
        <v>143</v>
      </c>
    </row>
    <row r="38" ht="15.75" customHeight="1">
      <c r="A38" s="29" t="s">
        <v>543</v>
      </c>
      <c r="B38" s="29" t="s">
        <v>283</v>
      </c>
      <c r="C38" s="25">
        <v>8.0</v>
      </c>
      <c r="D38" s="32">
        <v>6.0</v>
      </c>
      <c r="E38" s="32">
        <v>6.88</v>
      </c>
      <c r="F38" s="25">
        <v>2.0</v>
      </c>
      <c r="G38" s="25">
        <v>1.0</v>
      </c>
      <c r="H38" s="25" t="s">
        <v>72</v>
      </c>
      <c r="I38" s="25">
        <v>0.0</v>
      </c>
      <c r="J38" s="25">
        <v>0.0</v>
      </c>
      <c r="K38" s="25" t="s">
        <v>103</v>
      </c>
      <c r="L38" s="29" t="s">
        <v>283</v>
      </c>
    </row>
    <row r="39" ht="15.75" customHeight="1">
      <c r="A39" s="18" t="s">
        <v>833</v>
      </c>
      <c r="B39" s="18" t="s">
        <v>93</v>
      </c>
      <c r="C39" s="11">
        <v>4.0</v>
      </c>
      <c r="D39" s="22">
        <v>6.12</v>
      </c>
      <c r="E39" s="22">
        <v>6.88</v>
      </c>
      <c r="F39" s="11">
        <v>1.0</v>
      </c>
      <c r="G39" s="11">
        <v>0.0</v>
      </c>
      <c r="H39" s="11" t="s">
        <v>72</v>
      </c>
      <c r="I39" s="11">
        <v>0.0</v>
      </c>
      <c r="J39" s="11">
        <v>0.0</v>
      </c>
      <c r="K39" s="11" t="s">
        <v>103</v>
      </c>
      <c r="L39" s="18" t="s">
        <v>253</v>
      </c>
    </row>
    <row r="40" ht="15.75" customHeight="1">
      <c r="A40" s="29" t="s">
        <v>834</v>
      </c>
      <c r="B40" s="29" t="s">
        <v>175</v>
      </c>
      <c r="C40" s="25">
        <v>26.0</v>
      </c>
      <c r="D40" s="32">
        <v>5.94</v>
      </c>
      <c r="E40" s="32">
        <v>6.87</v>
      </c>
      <c r="F40" s="25">
        <v>7.0</v>
      </c>
      <c r="G40" s="25">
        <v>3.0</v>
      </c>
      <c r="H40" s="25" t="s">
        <v>273</v>
      </c>
      <c r="I40" s="25">
        <v>0.0</v>
      </c>
      <c r="J40" s="25">
        <v>0.0</v>
      </c>
      <c r="K40" s="25" t="s">
        <v>73</v>
      </c>
      <c r="L40" s="29" t="s">
        <v>71</v>
      </c>
    </row>
    <row r="41" ht="15.75" customHeight="1">
      <c r="A41" s="18" t="s">
        <v>836</v>
      </c>
      <c r="B41" s="18" t="s">
        <v>175</v>
      </c>
      <c r="C41" s="11">
        <v>28.0</v>
      </c>
      <c r="D41" s="22">
        <v>5.88</v>
      </c>
      <c r="E41" s="22">
        <v>6.86</v>
      </c>
      <c r="F41" s="11">
        <v>9.0</v>
      </c>
      <c r="G41" s="11">
        <v>3.0</v>
      </c>
      <c r="H41" s="11" t="s">
        <v>297</v>
      </c>
      <c r="I41" s="11">
        <v>5.0</v>
      </c>
      <c r="J41" s="11">
        <v>0.0</v>
      </c>
      <c r="K41" s="11" t="s">
        <v>73</v>
      </c>
      <c r="L41" s="18" t="s">
        <v>71</v>
      </c>
    </row>
    <row r="42" ht="15.75" customHeight="1">
      <c r="A42" s="29" t="s">
        <v>455</v>
      </c>
      <c r="B42" s="29" t="s">
        <v>191</v>
      </c>
      <c r="C42" s="25">
        <v>18.0</v>
      </c>
      <c r="D42" s="32">
        <v>6.17</v>
      </c>
      <c r="E42" s="32">
        <v>6.86</v>
      </c>
      <c r="F42" s="25">
        <v>4.0</v>
      </c>
      <c r="G42" s="25">
        <v>1.0</v>
      </c>
      <c r="H42" s="25" t="s">
        <v>72</v>
      </c>
      <c r="I42" s="25">
        <v>1.0</v>
      </c>
      <c r="J42" s="25">
        <v>0.0</v>
      </c>
      <c r="K42" s="25" t="s">
        <v>103</v>
      </c>
      <c r="L42" s="29" t="s">
        <v>191</v>
      </c>
    </row>
    <row r="43" ht="15.75" customHeight="1">
      <c r="A43" s="18" t="s">
        <v>837</v>
      </c>
      <c r="B43" s="18" t="s">
        <v>60</v>
      </c>
      <c r="C43" s="11">
        <v>14.0</v>
      </c>
      <c r="D43" s="22">
        <v>6.11</v>
      </c>
      <c r="E43" s="22">
        <v>6.86</v>
      </c>
      <c r="F43" s="11">
        <v>3.0</v>
      </c>
      <c r="G43" s="11">
        <v>2.0</v>
      </c>
      <c r="H43" s="11" t="s">
        <v>72</v>
      </c>
      <c r="I43" s="11">
        <v>1.0</v>
      </c>
      <c r="J43" s="11">
        <v>0.0</v>
      </c>
      <c r="K43" s="11" t="s">
        <v>73</v>
      </c>
      <c r="L43" s="18" t="s">
        <v>71</v>
      </c>
    </row>
    <row r="44" ht="15.75" customHeight="1">
      <c r="A44" s="29" t="s">
        <v>446</v>
      </c>
      <c r="B44" s="29" t="s">
        <v>191</v>
      </c>
      <c r="C44" s="25">
        <v>16.0</v>
      </c>
      <c r="D44" s="32">
        <v>6.19</v>
      </c>
      <c r="E44" s="32">
        <v>6.84</v>
      </c>
      <c r="F44" s="25">
        <v>3.0</v>
      </c>
      <c r="G44" s="25">
        <v>3.0</v>
      </c>
      <c r="H44" s="25" t="s">
        <v>72</v>
      </c>
      <c r="I44" s="25">
        <v>3.0</v>
      </c>
      <c r="J44" s="25">
        <v>0.0</v>
      </c>
      <c r="K44" s="25" t="s">
        <v>103</v>
      </c>
      <c r="L44" s="29" t="s">
        <v>191</v>
      </c>
    </row>
    <row r="45" ht="15.75" customHeight="1">
      <c r="A45" s="18" t="s">
        <v>390</v>
      </c>
      <c r="B45" s="18" t="s">
        <v>60</v>
      </c>
      <c r="C45" s="11">
        <v>32.0</v>
      </c>
      <c r="D45" s="22">
        <v>6.12</v>
      </c>
      <c r="E45" s="22">
        <v>6.83</v>
      </c>
      <c r="F45" s="11">
        <v>6.0</v>
      </c>
      <c r="G45" s="11">
        <v>5.0</v>
      </c>
      <c r="H45" s="11" t="s">
        <v>72</v>
      </c>
      <c r="I45" s="11">
        <v>1.0</v>
      </c>
      <c r="J45" s="11">
        <v>0.0</v>
      </c>
      <c r="K45" s="11" t="s">
        <v>103</v>
      </c>
      <c r="L45" s="18" t="s">
        <v>60</v>
      </c>
    </row>
    <row r="46" ht="15.75" customHeight="1">
      <c r="A46" s="29" t="s">
        <v>407</v>
      </c>
      <c r="B46" s="29" t="s">
        <v>64</v>
      </c>
      <c r="C46" s="25">
        <v>27.0</v>
      </c>
      <c r="D46" s="32">
        <v>6.15</v>
      </c>
      <c r="E46" s="32">
        <v>6.83</v>
      </c>
      <c r="F46" s="25">
        <v>5.0</v>
      </c>
      <c r="G46" s="25">
        <v>4.0</v>
      </c>
      <c r="H46" s="25" t="s">
        <v>72</v>
      </c>
      <c r="I46" s="25">
        <v>1.0</v>
      </c>
      <c r="J46" s="25">
        <v>0.0</v>
      </c>
      <c r="K46" s="25" t="s">
        <v>103</v>
      </c>
      <c r="L46" s="29" t="s">
        <v>64</v>
      </c>
    </row>
    <row r="47" ht="15.75" customHeight="1">
      <c r="A47" s="18" t="s">
        <v>839</v>
      </c>
      <c r="B47" s="18" t="s">
        <v>195</v>
      </c>
      <c r="C47" s="11">
        <v>11.0</v>
      </c>
      <c r="D47" s="22">
        <v>6.09</v>
      </c>
      <c r="E47" s="22">
        <v>6.82</v>
      </c>
      <c r="F47" s="11">
        <v>2.0</v>
      </c>
      <c r="G47" s="11">
        <v>3.0</v>
      </c>
      <c r="H47" s="11" t="s">
        <v>72</v>
      </c>
      <c r="I47" s="11">
        <v>2.0</v>
      </c>
      <c r="J47" s="11">
        <v>0.0</v>
      </c>
      <c r="K47" s="11" t="s">
        <v>73</v>
      </c>
      <c r="L47" s="18" t="s">
        <v>71</v>
      </c>
    </row>
    <row r="48" ht="15.75" customHeight="1">
      <c r="A48" s="29" t="s">
        <v>135</v>
      </c>
      <c r="B48" s="29" t="s">
        <v>93</v>
      </c>
      <c r="C48" s="25">
        <v>26.0</v>
      </c>
      <c r="D48" s="32">
        <v>6.33</v>
      </c>
      <c r="E48" s="32">
        <v>6.81</v>
      </c>
      <c r="F48" s="25">
        <v>4.0</v>
      </c>
      <c r="G48" s="25">
        <v>3.0</v>
      </c>
      <c r="H48" s="25" t="s">
        <v>72</v>
      </c>
      <c r="I48" s="25">
        <v>5.0</v>
      </c>
      <c r="J48" s="25">
        <v>0.0</v>
      </c>
      <c r="K48" s="25" t="s">
        <v>103</v>
      </c>
      <c r="L48" s="29" t="s">
        <v>93</v>
      </c>
    </row>
    <row r="49" ht="15.75" customHeight="1">
      <c r="A49" s="18" t="s">
        <v>325</v>
      </c>
      <c r="B49" s="18" t="s">
        <v>64</v>
      </c>
      <c r="C49" s="11">
        <v>30.0</v>
      </c>
      <c r="D49" s="22">
        <v>6.25</v>
      </c>
      <c r="E49" s="22">
        <v>6.8</v>
      </c>
      <c r="F49" s="11">
        <v>6.0</v>
      </c>
      <c r="G49" s="11">
        <v>2.0</v>
      </c>
      <c r="H49" s="11" t="s">
        <v>188</v>
      </c>
      <c r="I49" s="11">
        <v>3.0</v>
      </c>
      <c r="J49" s="11">
        <v>0.0</v>
      </c>
      <c r="K49" s="11" t="s">
        <v>103</v>
      </c>
      <c r="L49" s="18" t="s">
        <v>64</v>
      </c>
    </row>
    <row r="50" ht="15.75" customHeight="1">
      <c r="A50" s="29" t="s">
        <v>470</v>
      </c>
      <c r="B50" s="29" t="s">
        <v>361</v>
      </c>
      <c r="C50" s="25">
        <v>14.0</v>
      </c>
      <c r="D50" s="32">
        <v>5.96</v>
      </c>
      <c r="E50" s="32">
        <v>6.79</v>
      </c>
      <c r="F50" s="25">
        <v>4.0</v>
      </c>
      <c r="G50" s="25">
        <v>0.0</v>
      </c>
      <c r="H50" s="25" t="s">
        <v>72</v>
      </c>
      <c r="I50" s="25">
        <v>1.0</v>
      </c>
      <c r="J50" s="25">
        <v>0.0</v>
      </c>
      <c r="K50" s="25" t="s">
        <v>103</v>
      </c>
      <c r="L50" s="29" t="s">
        <v>253</v>
      </c>
    </row>
    <row r="51" ht="15.75" customHeight="1">
      <c r="A51" s="18" t="s">
        <v>841</v>
      </c>
      <c r="B51" s="18" t="s">
        <v>195</v>
      </c>
      <c r="C51" s="11">
        <v>23.0</v>
      </c>
      <c r="D51" s="22">
        <v>6.13</v>
      </c>
      <c r="E51" s="22">
        <v>6.78</v>
      </c>
      <c r="F51" s="11">
        <v>5.0</v>
      </c>
      <c r="G51" s="11">
        <v>2.0</v>
      </c>
      <c r="H51" s="11" t="s">
        <v>297</v>
      </c>
      <c r="I51" s="11">
        <v>4.0</v>
      </c>
      <c r="J51" s="11">
        <v>0.0</v>
      </c>
      <c r="K51" s="11" t="s">
        <v>73</v>
      </c>
      <c r="L51" s="18" t="s">
        <v>71</v>
      </c>
    </row>
    <row r="52" ht="15.75" customHeight="1">
      <c r="A52" s="29" t="s">
        <v>842</v>
      </c>
      <c r="B52" s="29" t="s">
        <v>239</v>
      </c>
      <c r="C52" s="25">
        <v>16.0</v>
      </c>
      <c r="D52" s="32">
        <v>6.03</v>
      </c>
      <c r="E52" s="32">
        <v>6.78</v>
      </c>
      <c r="F52" s="25">
        <v>4.0</v>
      </c>
      <c r="G52" s="25">
        <v>0.0</v>
      </c>
      <c r="H52" s="25" t="s">
        <v>72</v>
      </c>
      <c r="I52" s="25">
        <v>1.0</v>
      </c>
      <c r="J52" s="25">
        <v>0.0</v>
      </c>
      <c r="K52" s="25" t="s">
        <v>73</v>
      </c>
      <c r="L52" s="29" t="s">
        <v>71</v>
      </c>
    </row>
    <row r="53" ht="15.75" customHeight="1">
      <c r="A53" s="18" t="s">
        <v>280</v>
      </c>
      <c r="B53" s="18" t="s">
        <v>185</v>
      </c>
      <c r="C53" s="11">
        <v>31.0</v>
      </c>
      <c r="D53" s="22">
        <v>6.26</v>
      </c>
      <c r="E53" s="22">
        <v>6.77</v>
      </c>
      <c r="F53" s="11">
        <v>5.0</v>
      </c>
      <c r="G53" s="11">
        <v>5.0</v>
      </c>
      <c r="H53" s="11" t="s">
        <v>72</v>
      </c>
      <c r="I53" s="11">
        <v>8.0</v>
      </c>
      <c r="J53" s="11">
        <v>0.0</v>
      </c>
      <c r="K53" s="11" t="s">
        <v>103</v>
      </c>
      <c r="L53" s="18" t="s">
        <v>185</v>
      </c>
    </row>
    <row r="54" ht="15.75" customHeight="1">
      <c r="A54" s="29" t="s">
        <v>321</v>
      </c>
      <c r="B54" s="29" t="s">
        <v>208</v>
      </c>
      <c r="C54" s="25">
        <v>26.0</v>
      </c>
      <c r="D54" s="32">
        <v>5.88</v>
      </c>
      <c r="E54" s="32">
        <v>6.77</v>
      </c>
      <c r="F54" s="25">
        <v>8.0</v>
      </c>
      <c r="G54" s="25">
        <v>1.0</v>
      </c>
      <c r="H54" s="25" t="s">
        <v>297</v>
      </c>
      <c r="I54" s="25">
        <v>4.0</v>
      </c>
      <c r="J54" s="25">
        <v>0.0</v>
      </c>
      <c r="K54" s="25" t="s">
        <v>103</v>
      </c>
      <c r="L54" s="29" t="s">
        <v>133</v>
      </c>
    </row>
    <row r="55" ht="15.75" customHeight="1">
      <c r="A55" s="18" t="s">
        <v>443</v>
      </c>
      <c r="B55" s="18" t="s">
        <v>60</v>
      </c>
      <c r="C55" s="11">
        <v>13.0</v>
      </c>
      <c r="D55" s="22">
        <v>6.0</v>
      </c>
      <c r="E55" s="22">
        <v>6.77</v>
      </c>
      <c r="F55" s="11">
        <v>3.0</v>
      </c>
      <c r="G55" s="11">
        <v>1.0</v>
      </c>
      <c r="H55" s="11" t="s">
        <v>72</v>
      </c>
      <c r="I55" s="11">
        <v>0.0</v>
      </c>
      <c r="J55" s="11">
        <v>0.0</v>
      </c>
      <c r="K55" s="11" t="s">
        <v>103</v>
      </c>
      <c r="L55" s="18" t="s">
        <v>182</v>
      </c>
    </row>
    <row r="56" ht="15.75" customHeight="1">
      <c r="A56" s="29" t="s">
        <v>180</v>
      </c>
      <c r="B56" s="29" t="s">
        <v>182</v>
      </c>
      <c r="C56" s="25">
        <v>34.0</v>
      </c>
      <c r="D56" s="32">
        <v>6.06</v>
      </c>
      <c r="E56" s="32">
        <v>6.76</v>
      </c>
      <c r="F56" s="25">
        <v>10.0</v>
      </c>
      <c r="G56" s="25">
        <v>1.0</v>
      </c>
      <c r="H56" s="25" t="s">
        <v>190</v>
      </c>
      <c r="I56" s="25">
        <v>2.0</v>
      </c>
      <c r="J56" s="25">
        <v>0.0</v>
      </c>
      <c r="K56" s="25" t="s">
        <v>103</v>
      </c>
      <c r="L56" s="29" t="s">
        <v>182</v>
      </c>
    </row>
    <row r="57" ht="15.75" customHeight="1">
      <c r="A57" s="18" t="s">
        <v>337</v>
      </c>
      <c r="B57" s="18" t="s">
        <v>60</v>
      </c>
      <c r="C57" s="11">
        <v>21.0</v>
      </c>
      <c r="D57" s="22">
        <v>6.26</v>
      </c>
      <c r="E57" s="22">
        <v>6.74</v>
      </c>
      <c r="F57" s="11">
        <v>2.0</v>
      </c>
      <c r="G57" s="11">
        <v>7.0</v>
      </c>
      <c r="H57" s="11" t="s">
        <v>202</v>
      </c>
      <c r="I57" s="11">
        <v>0.0</v>
      </c>
      <c r="J57" s="11">
        <v>0.0</v>
      </c>
      <c r="K57" s="11" t="s">
        <v>103</v>
      </c>
      <c r="L57" s="18" t="s">
        <v>60</v>
      </c>
    </row>
    <row r="58" ht="15.75" customHeight="1">
      <c r="A58" s="29" t="s">
        <v>334</v>
      </c>
      <c r="B58" s="29" t="s">
        <v>64</v>
      </c>
      <c r="C58" s="25">
        <v>34.0</v>
      </c>
      <c r="D58" s="32">
        <v>6.28</v>
      </c>
      <c r="E58" s="32">
        <v>6.71</v>
      </c>
      <c r="F58" s="25">
        <v>3.0</v>
      </c>
      <c r="G58" s="25">
        <v>9.0</v>
      </c>
      <c r="H58" s="25" t="s">
        <v>72</v>
      </c>
      <c r="I58" s="25">
        <v>7.0</v>
      </c>
      <c r="J58" s="25">
        <v>0.0</v>
      </c>
      <c r="K58" s="25" t="s">
        <v>103</v>
      </c>
      <c r="L58" s="29" t="s">
        <v>64</v>
      </c>
    </row>
    <row r="59" ht="15.75" customHeight="1">
      <c r="A59" s="18" t="s">
        <v>370</v>
      </c>
      <c r="B59" s="18" t="s">
        <v>93</v>
      </c>
      <c r="C59" s="11">
        <v>30.0</v>
      </c>
      <c r="D59" s="22">
        <v>6.28</v>
      </c>
      <c r="E59" s="22">
        <v>6.7</v>
      </c>
      <c r="F59" s="11">
        <v>3.0</v>
      </c>
      <c r="G59" s="11">
        <v>5.0</v>
      </c>
      <c r="H59" s="11" t="s">
        <v>72</v>
      </c>
      <c r="I59" s="11">
        <v>3.0</v>
      </c>
      <c r="J59" s="11">
        <v>0.0</v>
      </c>
      <c r="K59" s="11" t="s">
        <v>103</v>
      </c>
      <c r="L59" s="18" t="s">
        <v>93</v>
      </c>
    </row>
    <row r="60" ht="15.75" customHeight="1">
      <c r="A60" s="29" t="s">
        <v>357</v>
      </c>
      <c r="B60" s="29" t="s">
        <v>93</v>
      </c>
      <c r="C60" s="25">
        <v>34.0</v>
      </c>
      <c r="D60" s="32">
        <v>6.13</v>
      </c>
      <c r="E60" s="32">
        <v>6.68</v>
      </c>
      <c r="F60" s="25">
        <v>5.0</v>
      </c>
      <c r="G60" s="25">
        <v>6.0</v>
      </c>
      <c r="H60" s="25" t="s">
        <v>72</v>
      </c>
      <c r="I60" s="25">
        <v>5.0</v>
      </c>
      <c r="J60" s="25">
        <v>0.0</v>
      </c>
      <c r="K60" s="25" t="s">
        <v>103</v>
      </c>
      <c r="L60" s="29" t="s">
        <v>93</v>
      </c>
    </row>
    <row r="61" ht="15.75" customHeight="1">
      <c r="A61" s="18" t="s">
        <v>774</v>
      </c>
      <c r="B61" s="18" t="s">
        <v>177</v>
      </c>
      <c r="C61" s="11">
        <v>19.0</v>
      </c>
      <c r="D61" s="22">
        <v>6.18</v>
      </c>
      <c r="E61" s="22">
        <v>6.68</v>
      </c>
      <c r="F61" s="11">
        <v>3.0</v>
      </c>
      <c r="G61" s="11">
        <v>1.0</v>
      </c>
      <c r="H61" s="11" t="s">
        <v>188</v>
      </c>
      <c r="I61" s="11">
        <v>1.0</v>
      </c>
      <c r="J61" s="11">
        <v>0.0</v>
      </c>
      <c r="K61" s="11" t="s">
        <v>103</v>
      </c>
      <c r="L61" s="18" t="s">
        <v>177</v>
      </c>
    </row>
    <row r="62" ht="15.75" customHeight="1">
      <c r="A62" s="29" t="s">
        <v>845</v>
      </c>
      <c r="B62" s="29" t="s">
        <v>283</v>
      </c>
      <c r="C62" s="25">
        <v>14.0</v>
      </c>
      <c r="D62" s="32">
        <v>6.21</v>
      </c>
      <c r="E62" s="32">
        <v>6.68</v>
      </c>
      <c r="F62" s="25">
        <v>2.0</v>
      </c>
      <c r="G62" s="25">
        <v>2.0</v>
      </c>
      <c r="H62" s="25" t="s">
        <v>72</v>
      </c>
      <c r="I62" s="25">
        <v>3.0</v>
      </c>
      <c r="J62" s="25">
        <v>0.0</v>
      </c>
      <c r="K62" s="25" t="s">
        <v>73</v>
      </c>
      <c r="L62" s="29" t="s">
        <v>71</v>
      </c>
    </row>
    <row r="63" ht="15.75" customHeight="1">
      <c r="A63" s="18" t="s">
        <v>344</v>
      </c>
      <c r="B63" s="18" t="s">
        <v>175</v>
      </c>
      <c r="C63" s="11">
        <v>33.0</v>
      </c>
      <c r="D63" s="22">
        <v>6.45</v>
      </c>
      <c r="E63" s="22">
        <v>6.67</v>
      </c>
      <c r="F63" s="11">
        <v>2.0</v>
      </c>
      <c r="G63" s="11">
        <v>3.0</v>
      </c>
      <c r="H63" s="11" t="s">
        <v>72</v>
      </c>
      <c r="I63" s="11">
        <v>4.0</v>
      </c>
      <c r="J63" s="11">
        <v>0.0</v>
      </c>
      <c r="K63" s="11" t="s">
        <v>103</v>
      </c>
      <c r="L63" s="18" t="s">
        <v>175</v>
      </c>
    </row>
    <row r="64" ht="15.75" customHeight="1">
      <c r="A64" s="29" t="s">
        <v>267</v>
      </c>
      <c r="B64" s="29" t="s">
        <v>212</v>
      </c>
      <c r="C64" s="25">
        <v>37.0</v>
      </c>
      <c r="D64" s="32">
        <v>6.03</v>
      </c>
      <c r="E64" s="32">
        <v>6.66</v>
      </c>
      <c r="F64" s="25">
        <v>8.0</v>
      </c>
      <c r="G64" s="25">
        <v>3.0</v>
      </c>
      <c r="H64" s="25" t="s">
        <v>273</v>
      </c>
      <c r="I64" s="25">
        <v>7.0</v>
      </c>
      <c r="J64" s="25">
        <v>0.0</v>
      </c>
      <c r="K64" s="25" t="s">
        <v>103</v>
      </c>
      <c r="L64" s="29" t="s">
        <v>212</v>
      </c>
    </row>
    <row r="65" ht="15.75" customHeight="1">
      <c r="A65" s="18" t="s">
        <v>448</v>
      </c>
      <c r="B65" s="18" t="s">
        <v>133</v>
      </c>
      <c r="C65" s="11">
        <v>28.0</v>
      </c>
      <c r="D65" s="22">
        <v>6.25</v>
      </c>
      <c r="E65" s="22">
        <v>6.66</v>
      </c>
      <c r="F65" s="11">
        <v>2.0</v>
      </c>
      <c r="G65" s="11">
        <v>8.0</v>
      </c>
      <c r="H65" s="11" t="s">
        <v>72</v>
      </c>
      <c r="I65" s="11">
        <v>3.0</v>
      </c>
      <c r="J65" s="11">
        <v>1.0</v>
      </c>
      <c r="K65" s="11" t="s">
        <v>103</v>
      </c>
      <c r="L65" s="18" t="s">
        <v>133</v>
      </c>
    </row>
    <row r="66" ht="15.75" customHeight="1">
      <c r="A66" s="29" t="s">
        <v>400</v>
      </c>
      <c r="B66" s="29" t="s">
        <v>283</v>
      </c>
      <c r="C66" s="25">
        <v>37.0</v>
      </c>
      <c r="D66" s="32">
        <v>5.99</v>
      </c>
      <c r="E66" s="32">
        <v>6.65</v>
      </c>
      <c r="F66" s="25">
        <v>9.0</v>
      </c>
      <c r="G66" s="25">
        <v>0.0</v>
      </c>
      <c r="H66" s="25" t="s">
        <v>188</v>
      </c>
      <c r="I66" s="25">
        <v>5.0</v>
      </c>
      <c r="J66" s="25">
        <v>0.0</v>
      </c>
      <c r="K66" s="25" t="s">
        <v>103</v>
      </c>
      <c r="L66" s="29" t="s">
        <v>208</v>
      </c>
    </row>
    <row r="67" ht="15.75" customHeight="1">
      <c r="A67" s="18" t="s">
        <v>213</v>
      </c>
      <c r="B67" s="18" t="s">
        <v>64</v>
      </c>
      <c r="C67" s="11">
        <v>23.0</v>
      </c>
      <c r="D67" s="22">
        <v>6.22</v>
      </c>
      <c r="E67" s="22">
        <v>6.65</v>
      </c>
      <c r="F67" s="11">
        <v>3.0</v>
      </c>
      <c r="G67" s="11">
        <v>2.0</v>
      </c>
      <c r="H67" s="11" t="s">
        <v>72</v>
      </c>
      <c r="I67" s="11">
        <v>2.0</v>
      </c>
      <c r="J67" s="11">
        <v>0.0</v>
      </c>
      <c r="K67" s="11" t="s">
        <v>103</v>
      </c>
      <c r="L67" s="18" t="s">
        <v>64</v>
      </c>
    </row>
    <row r="68" ht="15.75" customHeight="1">
      <c r="A68" s="29" t="s">
        <v>416</v>
      </c>
      <c r="B68" s="29" t="s">
        <v>212</v>
      </c>
      <c r="C68" s="25">
        <v>32.0</v>
      </c>
      <c r="D68" s="32">
        <v>5.98</v>
      </c>
      <c r="E68" s="32">
        <v>6.64</v>
      </c>
      <c r="F68" s="25">
        <v>6.0</v>
      </c>
      <c r="G68" s="25">
        <v>3.0</v>
      </c>
      <c r="H68" s="25" t="s">
        <v>72</v>
      </c>
      <c r="I68" s="25">
        <v>0.0</v>
      </c>
      <c r="J68" s="25">
        <v>0.0</v>
      </c>
      <c r="K68" s="25" t="s">
        <v>103</v>
      </c>
      <c r="L68" s="29" t="s">
        <v>212</v>
      </c>
    </row>
    <row r="69" ht="15.75" customHeight="1">
      <c r="A69" s="18" t="s">
        <v>541</v>
      </c>
      <c r="B69" s="18" t="s">
        <v>253</v>
      </c>
      <c r="C69" s="11">
        <v>35.0</v>
      </c>
      <c r="D69" s="22">
        <v>6.19</v>
      </c>
      <c r="E69" s="22">
        <v>6.63</v>
      </c>
      <c r="F69" s="11">
        <v>6.0</v>
      </c>
      <c r="G69" s="11">
        <v>0.0</v>
      </c>
      <c r="H69" s="11" t="s">
        <v>72</v>
      </c>
      <c r="I69" s="11">
        <v>3.0</v>
      </c>
      <c r="J69" s="11">
        <v>1.0</v>
      </c>
      <c r="K69" s="11" t="s">
        <v>103</v>
      </c>
      <c r="L69" s="18" t="s">
        <v>253</v>
      </c>
    </row>
    <row r="70" ht="15.75" customHeight="1">
      <c r="A70" s="29" t="s">
        <v>525</v>
      </c>
      <c r="B70" s="29" t="s">
        <v>195</v>
      </c>
      <c r="C70" s="25">
        <v>27.0</v>
      </c>
      <c r="D70" s="32">
        <v>6.04</v>
      </c>
      <c r="E70" s="32">
        <v>6.63</v>
      </c>
      <c r="F70" s="25">
        <v>5.0</v>
      </c>
      <c r="G70" s="25">
        <v>1.0</v>
      </c>
      <c r="H70" s="25" t="s">
        <v>72</v>
      </c>
      <c r="I70" s="25">
        <v>0.0</v>
      </c>
      <c r="J70" s="25">
        <v>0.0</v>
      </c>
      <c r="K70" s="25" t="s">
        <v>103</v>
      </c>
      <c r="L70" s="29" t="s">
        <v>195</v>
      </c>
    </row>
    <row r="71" ht="15.75" customHeight="1">
      <c r="A71" s="18" t="s">
        <v>517</v>
      </c>
      <c r="B71" s="18" t="s">
        <v>208</v>
      </c>
      <c r="C71" s="11">
        <v>34.0</v>
      </c>
      <c r="D71" s="22">
        <v>6.04</v>
      </c>
      <c r="E71" s="22">
        <v>6.62</v>
      </c>
      <c r="F71" s="11">
        <v>7.0</v>
      </c>
      <c r="G71" s="11">
        <v>2.0</v>
      </c>
      <c r="H71" s="11" t="s">
        <v>188</v>
      </c>
      <c r="I71" s="11">
        <v>7.0</v>
      </c>
      <c r="J71" s="11">
        <v>0.0</v>
      </c>
      <c r="K71" s="11" t="s">
        <v>103</v>
      </c>
      <c r="L71" s="18" t="s">
        <v>212</v>
      </c>
    </row>
    <row r="72" ht="15.75" customHeight="1">
      <c r="A72" s="29" t="s">
        <v>193</v>
      </c>
      <c r="B72" s="29" t="s">
        <v>175</v>
      </c>
      <c r="C72" s="25">
        <v>34.0</v>
      </c>
      <c r="D72" s="32">
        <v>6.24</v>
      </c>
      <c r="E72" s="32">
        <v>6.62</v>
      </c>
      <c r="F72" s="25">
        <v>5.0</v>
      </c>
      <c r="G72" s="25">
        <v>0.0</v>
      </c>
      <c r="H72" s="25" t="s">
        <v>72</v>
      </c>
      <c r="I72" s="25">
        <v>4.0</v>
      </c>
      <c r="J72" s="25">
        <v>0.0</v>
      </c>
      <c r="K72" s="25" t="s">
        <v>103</v>
      </c>
      <c r="L72" s="29" t="s">
        <v>175</v>
      </c>
    </row>
    <row r="73" ht="15.75" customHeight="1">
      <c r="A73" s="18" t="s">
        <v>395</v>
      </c>
      <c r="B73" s="18" t="s">
        <v>253</v>
      </c>
      <c r="C73" s="11">
        <v>34.0</v>
      </c>
      <c r="D73" s="22">
        <v>5.88</v>
      </c>
      <c r="E73" s="22">
        <v>6.62</v>
      </c>
      <c r="F73" s="11">
        <v>9.0</v>
      </c>
      <c r="G73" s="11">
        <v>3.0</v>
      </c>
      <c r="H73" s="11" t="s">
        <v>202</v>
      </c>
      <c r="I73" s="11">
        <v>2.0</v>
      </c>
      <c r="J73" s="11">
        <v>1.0</v>
      </c>
      <c r="K73" s="11" t="s">
        <v>103</v>
      </c>
      <c r="L73" s="18" t="s">
        <v>195</v>
      </c>
    </row>
    <row r="74" ht="15.75" customHeight="1">
      <c r="A74" s="29" t="s">
        <v>848</v>
      </c>
      <c r="B74" s="29" t="s">
        <v>734</v>
      </c>
      <c r="C74" s="25">
        <v>29.0</v>
      </c>
      <c r="D74" s="32">
        <v>5.95</v>
      </c>
      <c r="E74" s="32">
        <v>6.62</v>
      </c>
      <c r="F74" s="25">
        <v>7.0</v>
      </c>
      <c r="G74" s="25">
        <v>1.0</v>
      </c>
      <c r="H74" s="25" t="s">
        <v>72</v>
      </c>
      <c r="I74" s="25">
        <v>5.0</v>
      </c>
      <c r="J74" s="25">
        <v>0.0</v>
      </c>
      <c r="K74" s="25" t="s">
        <v>73</v>
      </c>
      <c r="L74" s="29" t="s">
        <v>71</v>
      </c>
    </row>
    <row r="75" ht="15.75" customHeight="1">
      <c r="A75" s="18" t="s">
        <v>558</v>
      </c>
      <c r="B75" s="18" t="s">
        <v>239</v>
      </c>
      <c r="C75" s="11">
        <v>8.0</v>
      </c>
      <c r="D75" s="22">
        <v>5.94</v>
      </c>
      <c r="E75" s="22">
        <v>6.62</v>
      </c>
      <c r="F75" s="11">
        <v>2.0</v>
      </c>
      <c r="G75" s="11">
        <v>0.0</v>
      </c>
      <c r="H75" s="11" t="s">
        <v>72</v>
      </c>
      <c r="I75" s="11">
        <v>1.0</v>
      </c>
      <c r="J75" s="11">
        <v>0.0</v>
      </c>
      <c r="K75" s="11" t="s">
        <v>103</v>
      </c>
      <c r="L75" s="18" t="s">
        <v>239</v>
      </c>
    </row>
    <row r="76" ht="15.75" customHeight="1">
      <c r="A76" s="29" t="s">
        <v>849</v>
      </c>
      <c r="B76" s="29" t="s">
        <v>185</v>
      </c>
      <c r="C76" s="25">
        <v>4.0</v>
      </c>
      <c r="D76" s="32">
        <v>6.0</v>
      </c>
      <c r="E76" s="32">
        <v>6.62</v>
      </c>
      <c r="F76" s="25">
        <v>1.0</v>
      </c>
      <c r="G76" s="25">
        <v>0.0</v>
      </c>
      <c r="H76" s="25" t="s">
        <v>72</v>
      </c>
      <c r="I76" s="25">
        <v>1.0</v>
      </c>
      <c r="J76" s="25">
        <v>0.0</v>
      </c>
      <c r="K76" s="25" t="s">
        <v>73</v>
      </c>
      <c r="L76" s="29" t="s">
        <v>71</v>
      </c>
    </row>
    <row r="77" ht="15.75" customHeight="1">
      <c r="A77" s="18" t="s">
        <v>851</v>
      </c>
      <c r="B77" s="18" t="s">
        <v>852</v>
      </c>
      <c r="C77" s="11">
        <v>4.0</v>
      </c>
      <c r="D77" s="22">
        <v>5.88</v>
      </c>
      <c r="E77" s="22">
        <v>6.62</v>
      </c>
      <c r="F77" s="11">
        <v>1.0</v>
      </c>
      <c r="G77" s="11">
        <v>0.0</v>
      </c>
      <c r="H77" s="11" t="s">
        <v>72</v>
      </c>
      <c r="I77" s="11">
        <v>0.0</v>
      </c>
      <c r="J77" s="11">
        <v>0.0</v>
      </c>
      <c r="K77" s="11" t="s">
        <v>73</v>
      </c>
      <c r="L77" s="18" t="s">
        <v>71</v>
      </c>
    </row>
    <row r="78" ht="15.75" customHeight="1">
      <c r="A78" s="29" t="s">
        <v>378</v>
      </c>
      <c r="B78" s="29" t="s">
        <v>185</v>
      </c>
      <c r="C78" s="25">
        <v>31.0</v>
      </c>
      <c r="D78" s="32">
        <v>6.05</v>
      </c>
      <c r="E78" s="32">
        <v>6.61</v>
      </c>
      <c r="F78" s="25">
        <v>5.0</v>
      </c>
      <c r="G78" s="25">
        <v>3.0</v>
      </c>
      <c r="H78" s="25" t="s">
        <v>72</v>
      </c>
      <c r="I78" s="25">
        <v>1.0</v>
      </c>
      <c r="J78" s="25">
        <v>0.0</v>
      </c>
      <c r="K78" s="25" t="s">
        <v>103</v>
      </c>
      <c r="L78" s="29" t="s">
        <v>185</v>
      </c>
    </row>
    <row r="79" ht="15.75" customHeight="1">
      <c r="A79" s="18" t="s">
        <v>627</v>
      </c>
      <c r="B79" s="18" t="s">
        <v>182</v>
      </c>
      <c r="C79" s="11">
        <v>22.0</v>
      </c>
      <c r="D79" s="22">
        <v>5.91</v>
      </c>
      <c r="E79" s="22">
        <v>6.61</v>
      </c>
      <c r="F79" s="11">
        <v>5.0</v>
      </c>
      <c r="G79" s="11">
        <v>1.0</v>
      </c>
      <c r="H79" s="11" t="s">
        <v>72</v>
      </c>
      <c r="I79" s="11">
        <v>1.0</v>
      </c>
      <c r="J79" s="11">
        <v>0.0</v>
      </c>
      <c r="K79" s="11" t="s">
        <v>103</v>
      </c>
      <c r="L79" s="18" t="s">
        <v>182</v>
      </c>
    </row>
    <row r="80" ht="15.75" customHeight="1">
      <c r="A80" s="29" t="s">
        <v>362</v>
      </c>
      <c r="B80" s="29" t="s">
        <v>143</v>
      </c>
      <c r="C80" s="25">
        <v>31.0</v>
      </c>
      <c r="D80" s="32">
        <v>6.21</v>
      </c>
      <c r="E80" s="32">
        <v>6.6</v>
      </c>
      <c r="F80" s="25">
        <v>3.0</v>
      </c>
      <c r="G80" s="25">
        <v>5.0</v>
      </c>
      <c r="H80" s="25" t="s">
        <v>72</v>
      </c>
      <c r="I80" s="25">
        <v>4.0</v>
      </c>
      <c r="J80" s="25">
        <v>0.0</v>
      </c>
      <c r="K80" s="25" t="s">
        <v>103</v>
      </c>
      <c r="L80" s="29" t="s">
        <v>143</v>
      </c>
    </row>
    <row r="81" ht="15.75" customHeight="1">
      <c r="A81" s="18" t="s">
        <v>634</v>
      </c>
      <c r="B81" s="18" t="s">
        <v>64</v>
      </c>
      <c r="C81" s="11">
        <v>28.0</v>
      </c>
      <c r="D81" s="22">
        <v>6.21</v>
      </c>
      <c r="E81" s="22">
        <v>6.59</v>
      </c>
      <c r="F81" s="11">
        <v>4.0</v>
      </c>
      <c r="G81" s="11">
        <v>1.0</v>
      </c>
      <c r="H81" s="11" t="s">
        <v>72</v>
      </c>
      <c r="I81" s="11">
        <v>5.0</v>
      </c>
      <c r="J81" s="11">
        <v>0.0</v>
      </c>
      <c r="K81" s="11" t="s">
        <v>103</v>
      </c>
      <c r="L81" s="18" t="s">
        <v>64</v>
      </c>
    </row>
    <row r="82" ht="15.75" customHeight="1">
      <c r="A82" s="29" t="s">
        <v>423</v>
      </c>
      <c r="B82" s="29" t="s">
        <v>182</v>
      </c>
      <c r="C82" s="25">
        <v>28.0</v>
      </c>
      <c r="D82" s="32">
        <v>6.2</v>
      </c>
      <c r="E82" s="32">
        <v>6.59</v>
      </c>
      <c r="F82" s="25">
        <v>3.0</v>
      </c>
      <c r="G82" s="25">
        <v>3.0</v>
      </c>
      <c r="H82" s="25" t="s">
        <v>72</v>
      </c>
      <c r="I82" s="25">
        <v>2.0</v>
      </c>
      <c r="J82" s="25">
        <v>0.0</v>
      </c>
      <c r="K82" s="25" t="s">
        <v>103</v>
      </c>
      <c r="L82" s="29" t="s">
        <v>143</v>
      </c>
    </row>
    <row r="83" ht="15.75" customHeight="1">
      <c r="A83" s="18" t="s">
        <v>537</v>
      </c>
      <c r="B83" s="18" t="s">
        <v>60</v>
      </c>
      <c r="C83" s="11">
        <v>24.0</v>
      </c>
      <c r="D83" s="22">
        <v>6.04</v>
      </c>
      <c r="E83" s="22">
        <v>6.58</v>
      </c>
      <c r="F83" s="11">
        <v>4.0</v>
      </c>
      <c r="G83" s="11">
        <v>2.0</v>
      </c>
      <c r="H83" s="11" t="s">
        <v>297</v>
      </c>
      <c r="I83" s="11">
        <v>2.0</v>
      </c>
      <c r="J83" s="11">
        <v>0.0</v>
      </c>
      <c r="K83" s="11" t="s">
        <v>103</v>
      </c>
      <c r="L83" s="18" t="s">
        <v>60</v>
      </c>
    </row>
    <row r="84" ht="15.75" customHeight="1">
      <c r="A84" s="29" t="s">
        <v>854</v>
      </c>
      <c r="B84" s="29" t="s">
        <v>64</v>
      </c>
      <c r="C84" s="25">
        <v>19.0</v>
      </c>
      <c r="D84" s="32">
        <v>6.11</v>
      </c>
      <c r="E84" s="32">
        <v>6.58</v>
      </c>
      <c r="F84" s="25">
        <v>3.0</v>
      </c>
      <c r="G84" s="25">
        <v>1.0</v>
      </c>
      <c r="H84" s="25" t="s">
        <v>72</v>
      </c>
      <c r="I84" s="25">
        <v>2.0</v>
      </c>
      <c r="J84" s="25">
        <v>0.0</v>
      </c>
      <c r="K84" s="25" t="s">
        <v>73</v>
      </c>
      <c r="L84" s="29" t="s">
        <v>71</v>
      </c>
    </row>
    <row r="85" ht="15.75" customHeight="1">
      <c r="A85" s="18" t="s">
        <v>856</v>
      </c>
      <c r="B85" s="18" t="s">
        <v>239</v>
      </c>
      <c r="C85" s="11">
        <v>14.0</v>
      </c>
      <c r="D85" s="22">
        <v>6.07</v>
      </c>
      <c r="E85" s="22">
        <v>6.57</v>
      </c>
      <c r="F85" s="11">
        <v>2.0</v>
      </c>
      <c r="G85" s="11">
        <v>2.0</v>
      </c>
      <c r="H85" s="11" t="s">
        <v>72</v>
      </c>
      <c r="I85" s="11">
        <v>3.0</v>
      </c>
      <c r="J85" s="11">
        <v>0.0</v>
      </c>
      <c r="K85" s="11" t="s">
        <v>73</v>
      </c>
      <c r="L85" s="18" t="s">
        <v>71</v>
      </c>
    </row>
    <row r="86" ht="15.75" customHeight="1">
      <c r="A86" s="29" t="s">
        <v>857</v>
      </c>
      <c r="B86" s="29" t="s">
        <v>852</v>
      </c>
      <c r="C86" s="25">
        <v>35.0</v>
      </c>
      <c r="D86" s="32">
        <v>5.99</v>
      </c>
      <c r="E86" s="32">
        <v>6.56</v>
      </c>
      <c r="F86" s="25">
        <v>7.0</v>
      </c>
      <c r="G86" s="25">
        <v>0.0</v>
      </c>
      <c r="H86" s="25" t="s">
        <v>297</v>
      </c>
      <c r="I86" s="25">
        <v>2.0</v>
      </c>
      <c r="J86" s="25">
        <v>0.0</v>
      </c>
      <c r="K86" s="25" t="s">
        <v>73</v>
      </c>
      <c r="L86" s="29" t="s">
        <v>71</v>
      </c>
    </row>
    <row r="87" ht="15.75" customHeight="1">
      <c r="A87" s="18" t="s">
        <v>386</v>
      </c>
      <c r="B87" s="18" t="s">
        <v>182</v>
      </c>
      <c r="C87" s="11">
        <v>24.0</v>
      </c>
      <c r="D87" s="22">
        <v>6.04</v>
      </c>
      <c r="E87" s="22">
        <v>6.56</v>
      </c>
      <c r="F87" s="11">
        <v>4.0</v>
      </c>
      <c r="G87" s="11">
        <v>2.0</v>
      </c>
      <c r="H87" s="11" t="s">
        <v>188</v>
      </c>
      <c r="I87" s="11">
        <v>3.0</v>
      </c>
      <c r="J87" s="11">
        <v>0.0</v>
      </c>
      <c r="K87" s="11" t="s">
        <v>103</v>
      </c>
      <c r="L87" s="18" t="s">
        <v>182</v>
      </c>
    </row>
    <row r="88" ht="15.75" customHeight="1">
      <c r="A88" s="29" t="s">
        <v>504</v>
      </c>
      <c r="B88" s="29" t="s">
        <v>195</v>
      </c>
      <c r="C88" s="25">
        <v>17.0</v>
      </c>
      <c r="D88" s="32">
        <v>6.06</v>
      </c>
      <c r="E88" s="32">
        <v>6.56</v>
      </c>
      <c r="F88" s="25">
        <v>3.0</v>
      </c>
      <c r="G88" s="25">
        <v>2.0</v>
      </c>
      <c r="H88" s="25" t="s">
        <v>72</v>
      </c>
      <c r="I88" s="25">
        <v>5.0</v>
      </c>
      <c r="J88" s="25">
        <v>0.0</v>
      </c>
      <c r="K88" s="25" t="s">
        <v>103</v>
      </c>
      <c r="L88" s="29" t="s">
        <v>195</v>
      </c>
    </row>
    <row r="89" ht="15.75" customHeight="1">
      <c r="A89" s="18" t="s">
        <v>632</v>
      </c>
      <c r="B89" s="18" t="s">
        <v>93</v>
      </c>
      <c r="C89" s="11">
        <v>9.0</v>
      </c>
      <c r="D89" s="22">
        <v>5.94</v>
      </c>
      <c r="E89" s="22">
        <v>6.56</v>
      </c>
      <c r="F89" s="11">
        <v>2.0</v>
      </c>
      <c r="G89" s="11">
        <v>0.0</v>
      </c>
      <c r="H89" s="11" t="s">
        <v>72</v>
      </c>
      <c r="I89" s="11">
        <v>1.0</v>
      </c>
      <c r="J89" s="11">
        <v>0.0</v>
      </c>
      <c r="K89" s="11" t="s">
        <v>103</v>
      </c>
      <c r="L89" s="18" t="s">
        <v>93</v>
      </c>
    </row>
    <row r="90" ht="15.75" customHeight="1">
      <c r="A90" s="29" t="s">
        <v>858</v>
      </c>
      <c r="B90" s="29" t="s">
        <v>232</v>
      </c>
      <c r="C90" s="25">
        <v>32.0</v>
      </c>
      <c r="D90" s="32">
        <v>6.08</v>
      </c>
      <c r="E90" s="32">
        <v>6.55</v>
      </c>
      <c r="F90" s="25">
        <v>5.0</v>
      </c>
      <c r="G90" s="25">
        <v>4.0</v>
      </c>
      <c r="H90" s="25" t="s">
        <v>72</v>
      </c>
      <c r="I90" s="25">
        <v>6.0</v>
      </c>
      <c r="J90" s="25">
        <v>1.0</v>
      </c>
      <c r="K90" s="25" t="s">
        <v>73</v>
      </c>
      <c r="L90" s="29" t="s">
        <v>71</v>
      </c>
    </row>
    <row r="91" ht="15.75" customHeight="1">
      <c r="A91" s="18" t="s">
        <v>258</v>
      </c>
      <c r="B91" s="18" t="s">
        <v>191</v>
      </c>
      <c r="C91" s="11">
        <v>30.0</v>
      </c>
      <c r="D91" s="22">
        <v>6.17</v>
      </c>
      <c r="E91" s="22">
        <v>6.55</v>
      </c>
      <c r="F91" s="11">
        <v>3.0</v>
      </c>
      <c r="G91" s="11">
        <v>3.0</v>
      </c>
      <c r="H91" s="11" t="s">
        <v>72</v>
      </c>
      <c r="I91" s="11">
        <v>1.0</v>
      </c>
      <c r="J91" s="11">
        <v>0.0</v>
      </c>
      <c r="K91" s="11" t="s">
        <v>103</v>
      </c>
      <c r="L91" s="18" t="s">
        <v>191</v>
      </c>
    </row>
    <row r="92" ht="15.75" customHeight="1">
      <c r="A92" s="29" t="s">
        <v>859</v>
      </c>
      <c r="B92" s="29" t="s">
        <v>239</v>
      </c>
      <c r="C92" s="25">
        <v>11.0</v>
      </c>
      <c r="D92" s="32">
        <v>6.05</v>
      </c>
      <c r="E92" s="32">
        <v>6.55</v>
      </c>
      <c r="F92" s="25">
        <v>2.0</v>
      </c>
      <c r="G92" s="25">
        <v>1.0</v>
      </c>
      <c r="H92" s="25" t="s">
        <v>72</v>
      </c>
      <c r="I92" s="25">
        <v>3.0</v>
      </c>
      <c r="J92" s="25">
        <v>0.0</v>
      </c>
      <c r="K92" s="25" t="s">
        <v>103</v>
      </c>
      <c r="L92" s="29" t="s">
        <v>239</v>
      </c>
    </row>
    <row r="93" ht="15.75" customHeight="1">
      <c r="A93" s="18" t="s">
        <v>861</v>
      </c>
      <c r="B93" s="18" t="s">
        <v>177</v>
      </c>
      <c r="C93" s="11">
        <v>34.0</v>
      </c>
      <c r="D93" s="22">
        <v>6.07</v>
      </c>
      <c r="E93" s="22">
        <v>6.54</v>
      </c>
      <c r="F93" s="11">
        <v>6.0</v>
      </c>
      <c r="G93" s="11">
        <v>3.0</v>
      </c>
      <c r="H93" s="11" t="s">
        <v>225</v>
      </c>
      <c r="I93" s="11">
        <v>10.0</v>
      </c>
      <c r="J93" s="11">
        <v>0.0</v>
      </c>
      <c r="K93" s="11" t="s">
        <v>73</v>
      </c>
      <c r="L93" s="18" t="s">
        <v>71</v>
      </c>
    </row>
    <row r="94" ht="15.75" customHeight="1">
      <c r="A94" s="29" t="s">
        <v>863</v>
      </c>
      <c r="B94" s="29" t="s">
        <v>361</v>
      </c>
      <c r="C94" s="25">
        <v>28.0</v>
      </c>
      <c r="D94" s="32">
        <v>5.82</v>
      </c>
      <c r="E94" s="32">
        <v>6.54</v>
      </c>
      <c r="F94" s="25">
        <v>7.0</v>
      </c>
      <c r="G94" s="25">
        <v>2.0</v>
      </c>
      <c r="H94" s="25" t="s">
        <v>297</v>
      </c>
      <c r="I94" s="25">
        <v>4.0</v>
      </c>
      <c r="J94" s="25">
        <v>1.0</v>
      </c>
      <c r="K94" s="25" t="s">
        <v>73</v>
      </c>
      <c r="L94" s="29" t="s">
        <v>71</v>
      </c>
    </row>
    <row r="95" ht="15.75" customHeight="1">
      <c r="A95" s="18" t="s">
        <v>864</v>
      </c>
      <c r="B95" s="18" t="s">
        <v>734</v>
      </c>
      <c r="C95" s="11">
        <v>13.0</v>
      </c>
      <c r="D95" s="22">
        <v>6.15</v>
      </c>
      <c r="E95" s="22">
        <v>6.54</v>
      </c>
      <c r="F95" s="11">
        <v>1.0</v>
      </c>
      <c r="G95" s="11">
        <v>2.0</v>
      </c>
      <c r="H95" s="11" t="s">
        <v>72</v>
      </c>
      <c r="I95" s="11">
        <v>1.0</v>
      </c>
      <c r="J95" s="11">
        <v>0.0</v>
      </c>
      <c r="K95" s="11" t="s">
        <v>73</v>
      </c>
      <c r="L95" s="18" t="s">
        <v>71</v>
      </c>
    </row>
    <row r="96" ht="15.75" customHeight="1">
      <c r="A96" s="29" t="s">
        <v>686</v>
      </c>
      <c r="B96" s="29" t="s">
        <v>133</v>
      </c>
      <c r="C96" s="25">
        <v>12.0</v>
      </c>
      <c r="D96" s="32">
        <v>5.96</v>
      </c>
      <c r="E96" s="32">
        <v>6.54</v>
      </c>
      <c r="F96" s="25">
        <v>3.0</v>
      </c>
      <c r="G96" s="25">
        <v>0.0</v>
      </c>
      <c r="H96" s="25" t="s">
        <v>72</v>
      </c>
      <c r="I96" s="25">
        <v>4.0</v>
      </c>
      <c r="J96" s="25">
        <v>0.0</v>
      </c>
      <c r="K96" s="25" t="s">
        <v>103</v>
      </c>
      <c r="L96" s="29" t="s">
        <v>133</v>
      </c>
    </row>
    <row r="97" ht="15.75" customHeight="1">
      <c r="A97" s="18" t="s">
        <v>429</v>
      </c>
      <c r="B97" s="18" t="s">
        <v>60</v>
      </c>
      <c r="C97" s="11">
        <v>29.0</v>
      </c>
      <c r="D97" s="22">
        <v>6.26</v>
      </c>
      <c r="E97" s="22">
        <v>6.53</v>
      </c>
      <c r="F97" s="11">
        <v>2.0</v>
      </c>
      <c r="G97" s="11">
        <v>3.0</v>
      </c>
      <c r="H97" s="11" t="s">
        <v>72</v>
      </c>
      <c r="I97" s="11">
        <v>2.0</v>
      </c>
      <c r="J97" s="11">
        <v>0.0</v>
      </c>
      <c r="K97" s="11" t="s">
        <v>103</v>
      </c>
      <c r="L97" s="18" t="s">
        <v>60</v>
      </c>
    </row>
    <row r="98" ht="15.75" customHeight="1">
      <c r="A98" s="29" t="s">
        <v>174</v>
      </c>
      <c r="B98" s="29" t="s">
        <v>177</v>
      </c>
      <c r="C98" s="25">
        <v>30.0</v>
      </c>
      <c r="D98" s="32">
        <v>6.13</v>
      </c>
      <c r="E98" s="32">
        <v>6.52</v>
      </c>
      <c r="F98" s="25">
        <v>5.0</v>
      </c>
      <c r="G98" s="25">
        <v>0.0</v>
      </c>
      <c r="H98" s="25" t="s">
        <v>72</v>
      </c>
      <c r="I98" s="25">
        <v>7.0</v>
      </c>
      <c r="J98" s="25">
        <v>0.0</v>
      </c>
      <c r="K98" s="25" t="s">
        <v>103</v>
      </c>
      <c r="L98" s="29" t="s">
        <v>177</v>
      </c>
    </row>
    <row r="99" ht="15.75" customHeight="1">
      <c r="A99" s="18" t="s">
        <v>298</v>
      </c>
      <c r="B99" s="18" t="s">
        <v>133</v>
      </c>
      <c r="C99" s="11">
        <v>29.0</v>
      </c>
      <c r="D99" s="22">
        <v>6.12</v>
      </c>
      <c r="E99" s="22">
        <v>6.52</v>
      </c>
      <c r="F99" s="11">
        <v>4.0</v>
      </c>
      <c r="G99" s="11">
        <v>1.0</v>
      </c>
      <c r="H99" s="11" t="s">
        <v>72</v>
      </c>
      <c r="I99" s="11">
        <v>3.0</v>
      </c>
      <c r="J99" s="11">
        <v>0.0</v>
      </c>
      <c r="K99" s="11" t="s">
        <v>103</v>
      </c>
      <c r="L99" s="18" t="s">
        <v>133</v>
      </c>
    </row>
    <row r="100" ht="15.75" customHeight="1">
      <c r="A100" s="29" t="s">
        <v>731</v>
      </c>
      <c r="B100" s="29" t="s">
        <v>175</v>
      </c>
      <c r="C100" s="25">
        <v>21.0</v>
      </c>
      <c r="D100" s="32">
        <v>6.1</v>
      </c>
      <c r="E100" s="32">
        <v>6.52</v>
      </c>
      <c r="F100" s="25">
        <v>3.0</v>
      </c>
      <c r="G100" s="25">
        <v>1.0</v>
      </c>
      <c r="H100" s="25" t="s">
        <v>72</v>
      </c>
      <c r="I100" s="25">
        <v>2.0</v>
      </c>
      <c r="J100" s="25">
        <v>0.0</v>
      </c>
      <c r="K100" s="25" t="s">
        <v>103</v>
      </c>
      <c r="L100" s="29" t="s">
        <v>175</v>
      </c>
    </row>
    <row r="101" ht="15.75" customHeight="1">
      <c r="A101" s="18" t="s">
        <v>619</v>
      </c>
      <c r="B101" s="18" t="s">
        <v>253</v>
      </c>
      <c r="C101" s="11">
        <v>21.0</v>
      </c>
      <c r="D101" s="22">
        <v>6.14</v>
      </c>
      <c r="E101" s="22">
        <v>6.52</v>
      </c>
      <c r="F101" s="11">
        <v>2.0</v>
      </c>
      <c r="G101" s="11">
        <v>4.0</v>
      </c>
      <c r="H101" s="11" t="s">
        <v>72</v>
      </c>
      <c r="I101" s="11">
        <v>4.0</v>
      </c>
      <c r="J101" s="11">
        <v>0.0</v>
      </c>
      <c r="K101" s="11" t="s">
        <v>103</v>
      </c>
      <c r="L101" s="18" t="s">
        <v>253</v>
      </c>
    </row>
    <row r="102" ht="15.75" customHeight="1">
      <c r="A102" s="29" t="s">
        <v>199</v>
      </c>
      <c r="B102" s="29" t="s">
        <v>60</v>
      </c>
      <c r="C102" s="25">
        <v>36.0</v>
      </c>
      <c r="D102" s="32">
        <v>6.25</v>
      </c>
      <c r="E102" s="32">
        <v>6.51</v>
      </c>
      <c r="F102" s="25">
        <v>4.0</v>
      </c>
      <c r="G102" s="25">
        <v>2.0</v>
      </c>
      <c r="H102" s="25" t="s">
        <v>72</v>
      </c>
      <c r="I102" s="25">
        <v>9.0</v>
      </c>
      <c r="J102" s="25">
        <v>0.0</v>
      </c>
      <c r="K102" s="25" t="s">
        <v>103</v>
      </c>
      <c r="L102" s="29" t="s">
        <v>60</v>
      </c>
    </row>
    <row r="103" ht="15.75" customHeight="1">
      <c r="A103" s="18" t="s">
        <v>383</v>
      </c>
      <c r="B103" s="18" t="s">
        <v>182</v>
      </c>
      <c r="C103" s="11">
        <v>35.0</v>
      </c>
      <c r="D103" s="22">
        <v>5.93</v>
      </c>
      <c r="E103" s="22">
        <v>6.51</v>
      </c>
      <c r="F103" s="11">
        <v>7.0</v>
      </c>
      <c r="G103" s="11">
        <v>1.0</v>
      </c>
      <c r="H103" s="11" t="s">
        <v>72</v>
      </c>
      <c r="I103" s="11">
        <v>3.0</v>
      </c>
      <c r="J103" s="11">
        <v>0.0</v>
      </c>
      <c r="K103" s="11" t="s">
        <v>103</v>
      </c>
      <c r="L103" s="18" t="s">
        <v>60</v>
      </c>
    </row>
    <row r="104" ht="15.75" customHeight="1">
      <c r="A104" s="29" t="s">
        <v>487</v>
      </c>
      <c r="B104" s="29" t="s">
        <v>195</v>
      </c>
      <c r="C104" s="25">
        <v>23.0</v>
      </c>
      <c r="D104" s="32">
        <v>6.02</v>
      </c>
      <c r="E104" s="32">
        <v>6.5</v>
      </c>
      <c r="F104" s="25">
        <v>4.0</v>
      </c>
      <c r="G104" s="25">
        <v>2.0</v>
      </c>
      <c r="H104" s="25" t="s">
        <v>72</v>
      </c>
      <c r="I104" s="25">
        <v>4.0</v>
      </c>
      <c r="J104" s="25">
        <v>1.0</v>
      </c>
      <c r="K104" s="25" t="s">
        <v>103</v>
      </c>
      <c r="L104" s="29" t="s">
        <v>195</v>
      </c>
    </row>
    <row r="105" ht="15.75" customHeight="1">
      <c r="A105" s="18" t="s">
        <v>381</v>
      </c>
      <c r="B105" s="18" t="s">
        <v>60</v>
      </c>
      <c r="C105" s="11">
        <v>19.0</v>
      </c>
      <c r="D105" s="22">
        <v>6.16</v>
      </c>
      <c r="E105" s="22">
        <v>6.5</v>
      </c>
      <c r="F105" s="11">
        <v>1.0</v>
      </c>
      <c r="G105" s="11">
        <v>4.0</v>
      </c>
      <c r="H105" s="11" t="s">
        <v>72</v>
      </c>
      <c r="I105" s="11">
        <v>1.0</v>
      </c>
      <c r="J105" s="11">
        <v>0.0</v>
      </c>
      <c r="K105" s="11" t="s">
        <v>103</v>
      </c>
      <c r="L105" s="18" t="s">
        <v>60</v>
      </c>
    </row>
    <row r="106" ht="15.75" customHeight="1">
      <c r="A106" s="29" t="s">
        <v>867</v>
      </c>
      <c r="B106" s="29" t="s">
        <v>734</v>
      </c>
      <c r="C106" s="25">
        <v>10.0</v>
      </c>
      <c r="D106" s="32">
        <v>5.9</v>
      </c>
      <c r="E106" s="32">
        <v>6.5</v>
      </c>
      <c r="F106" s="25">
        <v>2.0</v>
      </c>
      <c r="G106" s="25">
        <v>0.0</v>
      </c>
      <c r="H106" s="25" t="s">
        <v>72</v>
      </c>
      <c r="I106" s="25">
        <v>0.0</v>
      </c>
      <c r="J106" s="25">
        <v>0.0</v>
      </c>
      <c r="K106" s="25" t="s">
        <v>73</v>
      </c>
      <c r="L106" s="29" t="s">
        <v>71</v>
      </c>
    </row>
    <row r="107" ht="15.75" customHeight="1">
      <c r="A107" s="18" t="s">
        <v>797</v>
      </c>
      <c r="B107" s="18" t="s">
        <v>191</v>
      </c>
      <c r="C107" s="11">
        <v>8.0</v>
      </c>
      <c r="D107" s="22">
        <v>6.25</v>
      </c>
      <c r="E107" s="22">
        <v>6.5</v>
      </c>
      <c r="F107" s="11">
        <v>1.0</v>
      </c>
      <c r="G107" s="11">
        <v>0.0</v>
      </c>
      <c r="H107" s="11" t="s">
        <v>72</v>
      </c>
      <c r="I107" s="11">
        <v>2.0</v>
      </c>
      <c r="J107" s="11">
        <v>0.0</v>
      </c>
      <c r="K107" s="11" t="s">
        <v>103</v>
      </c>
      <c r="L107" s="18" t="s">
        <v>191</v>
      </c>
    </row>
    <row r="108" ht="15.75" customHeight="1">
      <c r="A108" s="29" t="s">
        <v>868</v>
      </c>
      <c r="B108" s="29" t="s">
        <v>253</v>
      </c>
      <c r="C108" s="25">
        <v>5.0</v>
      </c>
      <c r="D108" s="32">
        <v>6.0</v>
      </c>
      <c r="E108" s="32">
        <v>6.5</v>
      </c>
      <c r="F108" s="25">
        <v>1.0</v>
      </c>
      <c r="G108" s="25">
        <v>0.0</v>
      </c>
      <c r="H108" s="25" t="s">
        <v>72</v>
      </c>
      <c r="I108" s="25">
        <v>3.0</v>
      </c>
      <c r="J108" s="25">
        <v>0.0</v>
      </c>
      <c r="K108" s="25" t="s">
        <v>73</v>
      </c>
      <c r="L108" s="29" t="s">
        <v>71</v>
      </c>
    </row>
    <row r="109" ht="15.75" customHeight="1">
      <c r="A109" s="18" t="s">
        <v>322</v>
      </c>
      <c r="B109" s="18" t="s">
        <v>208</v>
      </c>
      <c r="C109" s="11">
        <v>1.0</v>
      </c>
      <c r="D109" s="22">
        <v>7.5</v>
      </c>
      <c r="E109" s="22">
        <v>6.5</v>
      </c>
      <c r="F109" s="11">
        <v>0.0</v>
      </c>
      <c r="G109" s="11">
        <v>0.0</v>
      </c>
      <c r="H109" s="11" t="s">
        <v>72</v>
      </c>
      <c r="I109" s="11">
        <v>0.0</v>
      </c>
      <c r="J109" s="11">
        <v>0.0</v>
      </c>
      <c r="K109" s="11" t="s">
        <v>103</v>
      </c>
      <c r="L109" s="18" t="s">
        <v>208</v>
      </c>
    </row>
    <row r="110" ht="15.75" customHeight="1">
      <c r="A110" s="29" t="s">
        <v>801</v>
      </c>
      <c r="B110" s="29" t="s">
        <v>64</v>
      </c>
      <c r="C110" s="25">
        <v>1.0</v>
      </c>
      <c r="D110" s="32">
        <v>6.5</v>
      </c>
      <c r="E110" s="32">
        <v>6.5</v>
      </c>
      <c r="F110" s="25">
        <v>0.0</v>
      </c>
      <c r="G110" s="25">
        <v>0.0</v>
      </c>
      <c r="H110" s="25" t="s">
        <v>72</v>
      </c>
      <c r="I110" s="25">
        <v>0.0</v>
      </c>
      <c r="J110" s="25">
        <v>0.0</v>
      </c>
      <c r="K110" s="25" t="s">
        <v>103</v>
      </c>
      <c r="L110" s="29" t="s">
        <v>64</v>
      </c>
    </row>
    <row r="111" ht="15.75" customHeight="1">
      <c r="A111" s="18" t="s">
        <v>871</v>
      </c>
      <c r="B111" s="18" t="s">
        <v>283</v>
      </c>
      <c r="C111" s="11">
        <v>1.0</v>
      </c>
      <c r="D111" s="22">
        <v>7.0</v>
      </c>
      <c r="E111" s="22">
        <v>6.5</v>
      </c>
      <c r="F111" s="11">
        <v>0.0</v>
      </c>
      <c r="G111" s="11">
        <v>0.0</v>
      </c>
      <c r="H111" s="11" t="s">
        <v>72</v>
      </c>
      <c r="I111" s="11">
        <v>1.0</v>
      </c>
      <c r="J111" s="11">
        <v>0.0</v>
      </c>
      <c r="K111" s="11" t="s">
        <v>73</v>
      </c>
      <c r="L111" s="18" t="s">
        <v>71</v>
      </c>
    </row>
    <row r="112" ht="15.75" customHeight="1">
      <c r="A112" s="29" t="s">
        <v>872</v>
      </c>
      <c r="B112" s="29" t="s">
        <v>361</v>
      </c>
      <c r="C112" s="25">
        <v>1.0</v>
      </c>
      <c r="D112" s="32">
        <v>6.5</v>
      </c>
      <c r="E112" s="32">
        <v>6.5</v>
      </c>
      <c r="F112" s="25">
        <v>0.0</v>
      </c>
      <c r="G112" s="25">
        <v>0.0</v>
      </c>
      <c r="H112" s="25" t="s">
        <v>72</v>
      </c>
      <c r="I112" s="25">
        <v>0.0</v>
      </c>
      <c r="J112" s="25">
        <v>0.0</v>
      </c>
      <c r="K112" s="25" t="s">
        <v>73</v>
      </c>
      <c r="L112" s="29" t="s">
        <v>71</v>
      </c>
    </row>
    <row r="113" ht="15.75" customHeight="1">
      <c r="A113" s="18" t="s">
        <v>393</v>
      </c>
      <c r="B113" s="18" t="s">
        <v>283</v>
      </c>
      <c r="C113" s="11">
        <v>32.0</v>
      </c>
      <c r="D113" s="22">
        <v>6.17</v>
      </c>
      <c r="E113" s="22">
        <v>6.48</v>
      </c>
      <c r="F113" s="11">
        <v>3.0</v>
      </c>
      <c r="G113" s="11">
        <v>1.0</v>
      </c>
      <c r="H113" s="11" t="s">
        <v>72</v>
      </c>
      <c r="I113" s="11">
        <v>0.0</v>
      </c>
      <c r="J113" s="11">
        <v>0.0</v>
      </c>
      <c r="K113" s="11" t="s">
        <v>103</v>
      </c>
      <c r="L113" s="18" t="s">
        <v>283</v>
      </c>
    </row>
    <row r="114" ht="15.75" customHeight="1">
      <c r="A114" s="29" t="s">
        <v>484</v>
      </c>
      <c r="B114" s="29" t="s">
        <v>253</v>
      </c>
      <c r="C114" s="25">
        <v>31.0</v>
      </c>
      <c r="D114" s="32">
        <v>6.15</v>
      </c>
      <c r="E114" s="32">
        <v>6.48</v>
      </c>
      <c r="F114" s="25">
        <v>4.0</v>
      </c>
      <c r="G114" s="25">
        <v>3.0</v>
      </c>
      <c r="H114" s="25" t="s">
        <v>72</v>
      </c>
      <c r="I114" s="25">
        <v>9.0</v>
      </c>
      <c r="J114" s="25">
        <v>0.0</v>
      </c>
      <c r="K114" s="25" t="s">
        <v>103</v>
      </c>
      <c r="L114" s="29" t="s">
        <v>253</v>
      </c>
    </row>
    <row r="115" ht="15.75" customHeight="1">
      <c r="A115" s="18" t="s">
        <v>725</v>
      </c>
      <c r="B115" s="18" t="s">
        <v>60</v>
      </c>
      <c r="C115" s="11">
        <v>22.0</v>
      </c>
      <c r="D115" s="22">
        <v>6.09</v>
      </c>
      <c r="E115" s="22">
        <v>6.48</v>
      </c>
      <c r="F115" s="11">
        <v>2.0</v>
      </c>
      <c r="G115" s="11">
        <v>4.0</v>
      </c>
      <c r="H115" s="11" t="s">
        <v>72</v>
      </c>
      <c r="I115" s="11">
        <v>3.0</v>
      </c>
      <c r="J115" s="11">
        <v>0.0</v>
      </c>
      <c r="K115" s="11" t="s">
        <v>103</v>
      </c>
      <c r="L115" s="18" t="s">
        <v>60</v>
      </c>
    </row>
    <row r="116" ht="15.75" customHeight="1">
      <c r="A116" s="29" t="s">
        <v>873</v>
      </c>
      <c r="B116" s="29" t="s">
        <v>734</v>
      </c>
      <c r="C116" s="25">
        <v>21.0</v>
      </c>
      <c r="D116" s="32">
        <v>6.1</v>
      </c>
      <c r="E116" s="32">
        <v>6.48</v>
      </c>
      <c r="F116" s="25">
        <v>3.0</v>
      </c>
      <c r="G116" s="25">
        <v>1.0</v>
      </c>
      <c r="H116" s="25" t="s">
        <v>72</v>
      </c>
      <c r="I116" s="25">
        <v>4.0</v>
      </c>
      <c r="J116" s="25">
        <v>0.0</v>
      </c>
      <c r="K116" s="25" t="s">
        <v>73</v>
      </c>
      <c r="L116" s="29" t="s">
        <v>71</v>
      </c>
    </row>
    <row r="117" ht="15.75" customHeight="1">
      <c r="A117" s="18" t="s">
        <v>511</v>
      </c>
      <c r="B117" s="18" t="s">
        <v>133</v>
      </c>
      <c r="C117" s="11">
        <v>36.0</v>
      </c>
      <c r="D117" s="22">
        <v>6.22</v>
      </c>
      <c r="E117" s="22">
        <v>6.47</v>
      </c>
      <c r="F117" s="11">
        <v>3.0</v>
      </c>
      <c r="G117" s="11">
        <v>4.0</v>
      </c>
      <c r="H117" s="11" t="s">
        <v>72</v>
      </c>
      <c r="I117" s="11">
        <v>8.0</v>
      </c>
      <c r="J117" s="11">
        <v>0.0</v>
      </c>
      <c r="K117" s="11" t="s">
        <v>103</v>
      </c>
      <c r="L117" s="18" t="s">
        <v>133</v>
      </c>
    </row>
    <row r="118" ht="15.75" customHeight="1">
      <c r="A118" s="29" t="s">
        <v>102</v>
      </c>
      <c r="B118" s="29" t="s">
        <v>60</v>
      </c>
      <c r="C118" s="25">
        <v>30.0</v>
      </c>
      <c r="D118" s="32">
        <v>6.12</v>
      </c>
      <c r="E118" s="32">
        <v>6.47</v>
      </c>
      <c r="F118" s="25">
        <v>5.0</v>
      </c>
      <c r="G118" s="25">
        <v>0.0</v>
      </c>
      <c r="H118" s="25" t="s">
        <v>72</v>
      </c>
      <c r="I118" s="25">
        <v>5.0</v>
      </c>
      <c r="J118" s="25">
        <v>2.0</v>
      </c>
      <c r="K118" s="25" t="s">
        <v>103</v>
      </c>
      <c r="L118" s="29" t="s">
        <v>60</v>
      </c>
    </row>
    <row r="119" ht="15.75" customHeight="1">
      <c r="A119" s="18" t="s">
        <v>460</v>
      </c>
      <c r="B119" s="18" t="s">
        <v>239</v>
      </c>
      <c r="C119" s="11">
        <v>26.0</v>
      </c>
      <c r="D119" s="22">
        <v>5.92</v>
      </c>
      <c r="E119" s="22">
        <v>6.46</v>
      </c>
      <c r="F119" s="11">
        <v>5.0</v>
      </c>
      <c r="G119" s="11">
        <v>1.0</v>
      </c>
      <c r="H119" s="11" t="s">
        <v>72</v>
      </c>
      <c r="I119" s="11">
        <v>4.0</v>
      </c>
      <c r="J119" s="11">
        <v>0.0</v>
      </c>
      <c r="K119" s="11" t="s">
        <v>103</v>
      </c>
      <c r="L119" s="18" t="s">
        <v>239</v>
      </c>
    </row>
    <row r="120" ht="15.75" customHeight="1">
      <c r="A120" s="29" t="s">
        <v>876</v>
      </c>
      <c r="B120" s="29" t="s">
        <v>208</v>
      </c>
      <c r="C120" s="25">
        <v>13.0</v>
      </c>
      <c r="D120" s="32">
        <v>5.96</v>
      </c>
      <c r="E120" s="32">
        <v>6.46</v>
      </c>
      <c r="F120" s="25">
        <v>2.0</v>
      </c>
      <c r="G120" s="25">
        <v>1.0</v>
      </c>
      <c r="H120" s="25" t="s">
        <v>72</v>
      </c>
      <c r="I120" s="25">
        <v>1.0</v>
      </c>
      <c r="J120" s="25">
        <v>0.0</v>
      </c>
      <c r="K120" s="25" t="s">
        <v>73</v>
      </c>
      <c r="L120" s="29" t="s">
        <v>71</v>
      </c>
    </row>
    <row r="121" ht="15.75" customHeight="1">
      <c r="A121" s="18" t="s">
        <v>877</v>
      </c>
      <c r="B121" s="18" t="s">
        <v>253</v>
      </c>
      <c r="C121" s="11">
        <v>12.0</v>
      </c>
      <c r="D121" s="22">
        <v>6.17</v>
      </c>
      <c r="E121" s="22">
        <v>6.46</v>
      </c>
      <c r="F121" s="11">
        <v>1.0</v>
      </c>
      <c r="G121" s="11">
        <v>2.0</v>
      </c>
      <c r="H121" s="11" t="s">
        <v>72</v>
      </c>
      <c r="I121" s="11">
        <v>3.0</v>
      </c>
      <c r="J121" s="11">
        <v>0.0</v>
      </c>
      <c r="K121" s="11" t="s">
        <v>73</v>
      </c>
      <c r="L121" s="18" t="s">
        <v>71</v>
      </c>
    </row>
    <row r="122" ht="15.75" customHeight="1">
      <c r="A122" s="29" t="s">
        <v>566</v>
      </c>
      <c r="B122" s="29" t="s">
        <v>212</v>
      </c>
      <c r="C122" s="25">
        <v>32.0</v>
      </c>
      <c r="D122" s="32">
        <v>5.97</v>
      </c>
      <c r="E122" s="32">
        <v>6.45</v>
      </c>
      <c r="F122" s="25">
        <v>6.0</v>
      </c>
      <c r="G122" s="25">
        <v>0.0</v>
      </c>
      <c r="H122" s="25" t="s">
        <v>72</v>
      </c>
      <c r="I122" s="25">
        <v>5.0</v>
      </c>
      <c r="J122" s="25">
        <v>0.0</v>
      </c>
      <c r="K122" s="25" t="s">
        <v>103</v>
      </c>
      <c r="L122" s="29" t="s">
        <v>212</v>
      </c>
    </row>
    <row r="123" ht="15.75" customHeight="1">
      <c r="A123" s="18" t="s">
        <v>465</v>
      </c>
      <c r="B123" s="18" t="s">
        <v>191</v>
      </c>
      <c r="C123" s="11">
        <v>31.0</v>
      </c>
      <c r="D123" s="22">
        <v>6.0</v>
      </c>
      <c r="E123" s="22">
        <v>6.45</v>
      </c>
      <c r="F123" s="11">
        <v>3.0</v>
      </c>
      <c r="G123" s="11">
        <v>6.0</v>
      </c>
      <c r="H123" s="11" t="s">
        <v>72</v>
      </c>
      <c r="I123" s="11">
        <v>2.0</v>
      </c>
      <c r="J123" s="11">
        <v>0.0</v>
      </c>
      <c r="K123" s="11" t="s">
        <v>103</v>
      </c>
      <c r="L123" s="18" t="s">
        <v>191</v>
      </c>
    </row>
    <row r="124" ht="15.75" customHeight="1">
      <c r="A124" s="29" t="s">
        <v>220</v>
      </c>
      <c r="B124" s="29" t="s">
        <v>191</v>
      </c>
      <c r="C124" s="25">
        <v>21.0</v>
      </c>
      <c r="D124" s="32">
        <v>6.24</v>
      </c>
      <c r="E124" s="32">
        <v>6.45</v>
      </c>
      <c r="F124" s="25">
        <v>2.0</v>
      </c>
      <c r="G124" s="25">
        <v>0.0</v>
      </c>
      <c r="H124" s="25" t="s">
        <v>72</v>
      </c>
      <c r="I124" s="25">
        <v>3.0</v>
      </c>
      <c r="J124" s="25">
        <v>0.0</v>
      </c>
      <c r="K124" s="25" t="s">
        <v>103</v>
      </c>
      <c r="L124" s="29" t="s">
        <v>191</v>
      </c>
    </row>
    <row r="125" ht="15.75" customHeight="1">
      <c r="A125" s="18" t="s">
        <v>757</v>
      </c>
      <c r="B125" s="18" t="s">
        <v>64</v>
      </c>
      <c r="C125" s="11">
        <v>10.0</v>
      </c>
      <c r="D125" s="22">
        <v>6.15</v>
      </c>
      <c r="E125" s="22">
        <v>6.45</v>
      </c>
      <c r="F125" s="11">
        <v>1.0</v>
      </c>
      <c r="G125" s="11">
        <v>0.0</v>
      </c>
      <c r="H125" s="11" t="s">
        <v>72</v>
      </c>
      <c r="I125" s="11">
        <v>1.0</v>
      </c>
      <c r="J125" s="11">
        <v>0.0</v>
      </c>
      <c r="K125" s="11" t="s">
        <v>103</v>
      </c>
      <c r="L125" s="18" t="s">
        <v>64</v>
      </c>
    </row>
    <row r="126" ht="15.75" customHeight="1">
      <c r="A126" s="29" t="s">
        <v>265</v>
      </c>
      <c r="B126" s="29" t="s">
        <v>143</v>
      </c>
      <c r="C126" s="25">
        <v>24.0</v>
      </c>
      <c r="D126" s="32">
        <v>6.06</v>
      </c>
      <c r="E126" s="32">
        <v>6.44</v>
      </c>
      <c r="F126" s="25">
        <v>3.0</v>
      </c>
      <c r="G126" s="25">
        <v>1.0</v>
      </c>
      <c r="H126" s="25" t="s">
        <v>72</v>
      </c>
      <c r="I126" s="25">
        <v>2.0</v>
      </c>
      <c r="J126" s="25">
        <v>0.0</v>
      </c>
      <c r="K126" s="25" t="s">
        <v>103</v>
      </c>
      <c r="L126" s="29" t="s">
        <v>143</v>
      </c>
    </row>
    <row r="127" ht="15.75" customHeight="1">
      <c r="A127" s="18" t="s">
        <v>424</v>
      </c>
      <c r="B127" s="18" t="s">
        <v>93</v>
      </c>
      <c r="C127" s="11">
        <v>16.0</v>
      </c>
      <c r="D127" s="22">
        <v>6.09</v>
      </c>
      <c r="E127" s="22">
        <v>6.44</v>
      </c>
      <c r="F127" s="11">
        <v>1.0</v>
      </c>
      <c r="G127" s="11">
        <v>4.0</v>
      </c>
      <c r="H127" s="11" t="s">
        <v>72</v>
      </c>
      <c r="I127" s="11">
        <v>1.0</v>
      </c>
      <c r="J127" s="11">
        <v>1.0</v>
      </c>
      <c r="K127" s="11" t="s">
        <v>103</v>
      </c>
      <c r="L127" s="18" t="s">
        <v>182</v>
      </c>
    </row>
    <row r="128" ht="15.75" customHeight="1">
      <c r="A128" s="29" t="s">
        <v>441</v>
      </c>
      <c r="B128" s="29" t="s">
        <v>143</v>
      </c>
      <c r="C128" s="25">
        <v>30.0</v>
      </c>
      <c r="D128" s="32">
        <v>6.25</v>
      </c>
      <c r="E128" s="32">
        <v>6.43</v>
      </c>
      <c r="F128" s="25">
        <v>2.0</v>
      </c>
      <c r="G128" s="25">
        <v>1.0</v>
      </c>
      <c r="H128" s="25" t="s">
        <v>188</v>
      </c>
      <c r="I128" s="25">
        <v>3.0</v>
      </c>
      <c r="J128" s="25">
        <v>0.0</v>
      </c>
      <c r="K128" s="25" t="s">
        <v>103</v>
      </c>
      <c r="L128" s="29" t="s">
        <v>143</v>
      </c>
    </row>
    <row r="129" ht="15.75" customHeight="1">
      <c r="A129" s="18" t="s">
        <v>880</v>
      </c>
      <c r="B129" s="18" t="s">
        <v>177</v>
      </c>
      <c r="C129" s="11">
        <v>28.0</v>
      </c>
      <c r="D129" s="22">
        <v>5.96</v>
      </c>
      <c r="E129" s="22">
        <v>6.43</v>
      </c>
      <c r="F129" s="11">
        <v>4.0</v>
      </c>
      <c r="G129" s="11">
        <v>1.0</v>
      </c>
      <c r="H129" s="11" t="s">
        <v>72</v>
      </c>
      <c r="I129" s="11">
        <v>0.0</v>
      </c>
      <c r="J129" s="11">
        <v>0.0</v>
      </c>
      <c r="K129" s="11" t="s">
        <v>73</v>
      </c>
      <c r="L129" s="18" t="s">
        <v>71</v>
      </c>
    </row>
    <row r="130" ht="15.75" customHeight="1">
      <c r="A130" s="29" t="s">
        <v>722</v>
      </c>
      <c r="B130" s="29" t="s">
        <v>195</v>
      </c>
      <c r="C130" s="25">
        <v>23.0</v>
      </c>
      <c r="D130" s="32">
        <v>6.09</v>
      </c>
      <c r="E130" s="32">
        <v>6.43</v>
      </c>
      <c r="F130" s="25">
        <v>2.0</v>
      </c>
      <c r="G130" s="25">
        <v>3.0</v>
      </c>
      <c r="H130" s="25" t="s">
        <v>72</v>
      </c>
      <c r="I130" s="25">
        <v>0.0</v>
      </c>
      <c r="J130" s="25">
        <v>1.0</v>
      </c>
      <c r="K130" s="25" t="s">
        <v>103</v>
      </c>
      <c r="L130" s="29" t="s">
        <v>264</v>
      </c>
    </row>
    <row r="131" ht="15.75" customHeight="1">
      <c r="A131" s="18" t="s">
        <v>881</v>
      </c>
      <c r="B131" s="18" t="s">
        <v>239</v>
      </c>
      <c r="C131" s="11">
        <v>37.0</v>
      </c>
      <c r="D131" s="22">
        <v>6.27</v>
      </c>
      <c r="E131" s="22">
        <v>6.42</v>
      </c>
      <c r="F131" s="11">
        <v>1.0</v>
      </c>
      <c r="G131" s="11">
        <v>4.0</v>
      </c>
      <c r="H131" s="11" t="s">
        <v>72</v>
      </c>
      <c r="I131" s="11">
        <v>3.0</v>
      </c>
      <c r="J131" s="11">
        <v>0.0</v>
      </c>
      <c r="K131" s="11" t="s">
        <v>73</v>
      </c>
      <c r="L131" s="18" t="s">
        <v>71</v>
      </c>
    </row>
    <row r="132" ht="15.75" customHeight="1">
      <c r="A132" s="29" t="s">
        <v>611</v>
      </c>
      <c r="B132" s="29" t="s">
        <v>182</v>
      </c>
      <c r="C132" s="25">
        <v>24.0</v>
      </c>
      <c r="D132" s="32">
        <v>5.98</v>
      </c>
      <c r="E132" s="32">
        <v>6.42</v>
      </c>
      <c r="F132" s="25">
        <v>3.0</v>
      </c>
      <c r="G132" s="25">
        <v>4.0</v>
      </c>
      <c r="H132" s="25" t="s">
        <v>72</v>
      </c>
      <c r="I132" s="25">
        <v>3.0</v>
      </c>
      <c r="J132" s="25">
        <v>1.0</v>
      </c>
      <c r="K132" s="25" t="s">
        <v>103</v>
      </c>
      <c r="L132" s="29" t="s">
        <v>182</v>
      </c>
    </row>
    <row r="133" ht="15.75" customHeight="1">
      <c r="A133" s="18" t="s">
        <v>883</v>
      </c>
      <c r="B133" s="18" t="s">
        <v>239</v>
      </c>
      <c r="C133" s="11">
        <v>6.0</v>
      </c>
      <c r="D133" s="22">
        <v>6.0</v>
      </c>
      <c r="E133" s="22">
        <v>6.42</v>
      </c>
      <c r="F133" s="11">
        <v>1.0</v>
      </c>
      <c r="G133" s="11">
        <v>0.0</v>
      </c>
      <c r="H133" s="11" t="s">
        <v>72</v>
      </c>
      <c r="I133" s="11">
        <v>1.0</v>
      </c>
      <c r="J133" s="11">
        <v>0.0</v>
      </c>
      <c r="K133" s="11" t="s">
        <v>73</v>
      </c>
      <c r="L133" s="18" t="s">
        <v>71</v>
      </c>
    </row>
    <row r="134" ht="15.75" customHeight="1">
      <c r="A134" s="29" t="s">
        <v>374</v>
      </c>
      <c r="B134" s="29" t="s">
        <v>177</v>
      </c>
      <c r="C134" s="25">
        <v>37.0</v>
      </c>
      <c r="D134" s="32">
        <v>5.92</v>
      </c>
      <c r="E134" s="32">
        <v>6.41</v>
      </c>
      <c r="F134" s="25">
        <v>7.0</v>
      </c>
      <c r="G134" s="25">
        <v>1.0</v>
      </c>
      <c r="H134" s="25" t="s">
        <v>315</v>
      </c>
      <c r="I134" s="25">
        <v>2.0</v>
      </c>
      <c r="J134" s="25">
        <v>0.0</v>
      </c>
      <c r="K134" s="25" t="s">
        <v>103</v>
      </c>
      <c r="L134" s="29" t="s">
        <v>177</v>
      </c>
    </row>
    <row r="135" ht="15.75" customHeight="1">
      <c r="A135" s="18" t="s">
        <v>497</v>
      </c>
      <c r="B135" s="18" t="s">
        <v>175</v>
      </c>
      <c r="C135" s="11">
        <v>35.0</v>
      </c>
      <c r="D135" s="22">
        <v>6.14</v>
      </c>
      <c r="E135" s="22">
        <v>6.41</v>
      </c>
      <c r="F135" s="11">
        <v>3.0</v>
      </c>
      <c r="G135" s="11">
        <v>3.0</v>
      </c>
      <c r="H135" s="11" t="s">
        <v>72</v>
      </c>
      <c r="I135" s="11">
        <v>5.0</v>
      </c>
      <c r="J135" s="11">
        <v>0.0</v>
      </c>
      <c r="K135" s="11" t="s">
        <v>103</v>
      </c>
      <c r="L135" s="18" t="s">
        <v>175</v>
      </c>
    </row>
    <row r="136" ht="15.75" customHeight="1">
      <c r="A136" s="29" t="s">
        <v>206</v>
      </c>
      <c r="B136" s="29" t="s">
        <v>64</v>
      </c>
      <c r="C136" s="25">
        <v>32.0</v>
      </c>
      <c r="D136" s="32">
        <v>6.28</v>
      </c>
      <c r="E136" s="32">
        <v>6.41</v>
      </c>
      <c r="F136" s="25">
        <v>2.0</v>
      </c>
      <c r="G136" s="25">
        <v>0.0</v>
      </c>
      <c r="H136" s="25" t="s">
        <v>72</v>
      </c>
      <c r="I136" s="25">
        <v>4.0</v>
      </c>
      <c r="J136" s="25">
        <v>0.0</v>
      </c>
      <c r="K136" s="25" t="s">
        <v>103</v>
      </c>
      <c r="L136" s="29" t="s">
        <v>64</v>
      </c>
    </row>
    <row r="137" ht="15.75" customHeight="1">
      <c r="A137" s="18" t="s">
        <v>712</v>
      </c>
      <c r="B137" s="18" t="s">
        <v>133</v>
      </c>
      <c r="C137" s="11">
        <v>28.0</v>
      </c>
      <c r="D137" s="22">
        <v>6.11</v>
      </c>
      <c r="E137" s="22">
        <v>6.41</v>
      </c>
      <c r="F137" s="11">
        <v>2.0</v>
      </c>
      <c r="G137" s="11">
        <v>4.0</v>
      </c>
      <c r="H137" s="11" t="s">
        <v>72</v>
      </c>
      <c r="I137" s="11">
        <v>3.0</v>
      </c>
      <c r="J137" s="11">
        <v>0.0</v>
      </c>
      <c r="K137" s="11" t="s">
        <v>103</v>
      </c>
      <c r="L137" s="18" t="s">
        <v>133</v>
      </c>
    </row>
    <row r="138" ht="15.75" customHeight="1">
      <c r="A138" s="29" t="s">
        <v>474</v>
      </c>
      <c r="B138" s="29" t="s">
        <v>195</v>
      </c>
      <c r="C138" s="25">
        <v>27.0</v>
      </c>
      <c r="D138" s="32">
        <v>6.07</v>
      </c>
      <c r="E138" s="32">
        <v>6.41</v>
      </c>
      <c r="F138" s="25">
        <v>3.0</v>
      </c>
      <c r="G138" s="25">
        <v>3.0</v>
      </c>
      <c r="H138" s="25" t="s">
        <v>297</v>
      </c>
      <c r="I138" s="25">
        <v>6.0</v>
      </c>
      <c r="J138" s="25">
        <v>0.0</v>
      </c>
      <c r="K138" s="25" t="s">
        <v>103</v>
      </c>
      <c r="L138" s="29" t="s">
        <v>195</v>
      </c>
    </row>
    <row r="139" ht="15.75" customHeight="1">
      <c r="A139" s="18" t="s">
        <v>274</v>
      </c>
      <c r="B139" s="18" t="s">
        <v>60</v>
      </c>
      <c r="C139" s="11">
        <v>27.0</v>
      </c>
      <c r="D139" s="22">
        <v>6.17</v>
      </c>
      <c r="E139" s="22">
        <v>6.41</v>
      </c>
      <c r="F139" s="11">
        <v>3.0</v>
      </c>
      <c r="G139" s="11">
        <v>2.0</v>
      </c>
      <c r="H139" s="11" t="s">
        <v>72</v>
      </c>
      <c r="I139" s="11">
        <v>9.0</v>
      </c>
      <c r="J139" s="11">
        <v>0.0</v>
      </c>
      <c r="K139" s="11" t="s">
        <v>103</v>
      </c>
      <c r="L139" s="18" t="s">
        <v>60</v>
      </c>
    </row>
    <row r="140" ht="15.75" customHeight="1">
      <c r="A140" s="29" t="s">
        <v>803</v>
      </c>
      <c r="B140" s="29" t="s">
        <v>232</v>
      </c>
      <c r="C140" s="25">
        <v>16.0</v>
      </c>
      <c r="D140" s="32">
        <v>5.97</v>
      </c>
      <c r="E140" s="32">
        <v>6.41</v>
      </c>
      <c r="F140" s="25">
        <v>2.0</v>
      </c>
      <c r="G140" s="25">
        <v>1.0</v>
      </c>
      <c r="H140" s="25" t="s">
        <v>72</v>
      </c>
      <c r="I140" s="25">
        <v>0.0</v>
      </c>
      <c r="J140" s="25">
        <v>0.0</v>
      </c>
      <c r="K140" s="25" t="s">
        <v>103</v>
      </c>
      <c r="L140" s="29" t="s">
        <v>232</v>
      </c>
    </row>
    <row r="141" ht="15.75" customHeight="1">
      <c r="A141" s="18" t="s">
        <v>436</v>
      </c>
      <c r="B141" s="18" t="s">
        <v>212</v>
      </c>
      <c r="C141" s="11">
        <v>16.0</v>
      </c>
      <c r="D141" s="22">
        <v>6.06</v>
      </c>
      <c r="E141" s="22">
        <v>6.41</v>
      </c>
      <c r="F141" s="11">
        <v>1.0</v>
      </c>
      <c r="G141" s="11">
        <v>3.0</v>
      </c>
      <c r="H141" s="11" t="s">
        <v>72</v>
      </c>
      <c r="I141" s="11">
        <v>1.0</v>
      </c>
      <c r="J141" s="11">
        <v>0.0</v>
      </c>
      <c r="K141" s="11" t="s">
        <v>103</v>
      </c>
      <c r="L141" s="18" t="s">
        <v>253</v>
      </c>
    </row>
    <row r="142" ht="15.75" customHeight="1">
      <c r="A142" s="29" t="s">
        <v>584</v>
      </c>
      <c r="B142" s="29" t="s">
        <v>93</v>
      </c>
      <c r="C142" s="25">
        <v>34.0</v>
      </c>
      <c r="D142" s="32">
        <v>6.1</v>
      </c>
      <c r="E142" s="32">
        <v>6.4</v>
      </c>
      <c r="F142" s="25">
        <v>3.0</v>
      </c>
      <c r="G142" s="25">
        <v>2.0</v>
      </c>
      <c r="H142" s="25" t="s">
        <v>72</v>
      </c>
      <c r="I142" s="25">
        <v>2.0</v>
      </c>
      <c r="J142" s="25">
        <v>0.0</v>
      </c>
      <c r="K142" s="25" t="s">
        <v>103</v>
      </c>
      <c r="L142" s="29" t="s">
        <v>93</v>
      </c>
    </row>
    <row r="143" ht="15.75" customHeight="1">
      <c r="A143" s="18" t="s">
        <v>184</v>
      </c>
      <c r="B143" s="18" t="s">
        <v>185</v>
      </c>
      <c r="C143" s="11">
        <v>34.0</v>
      </c>
      <c r="D143" s="22">
        <v>6.18</v>
      </c>
      <c r="E143" s="22">
        <v>6.4</v>
      </c>
      <c r="F143" s="11">
        <v>3.0</v>
      </c>
      <c r="G143" s="11">
        <v>1.0</v>
      </c>
      <c r="H143" s="11" t="s">
        <v>188</v>
      </c>
      <c r="I143" s="11">
        <v>1.0</v>
      </c>
      <c r="J143" s="11">
        <v>0.0</v>
      </c>
      <c r="K143" s="11" t="s">
        <v>103</v>
      </c>
      <c r="L143" s="18" t="s">
        <v>185</v>
      </c>
    </row>
    <row r="144" ht="15.75" customHeight="1">
      <c r="A144" s="29" t="s">
        <v>652</v>
      </c>
      <c r="B144" s="29" t="s">
        <v>143</v>
      </c>
      <c r="C144" s="25">
        <v>31.0</v>
      </c>
      <c r="D144" s="32">
        <v>6.1</v>
      </c>
      <c r="E144" s="32">
        <v>6.4</v>
      </c>
      <c r="F144" s="25">
        <v>2.0</v>
      </c>
      <c r="G144" s="25">
        <v>5.0</v>
      </c>
      <c r="H144" s="25" t="s">
        <v>72</v>
      </c>
      <c r="I144" s="25">
        <v>3.0</v>
      </c>
      <c r="J144" s="25">
        <v>0.0</v>
      </c>
      <c r="K144" s="25" t="s">
        <v>103</v>
      </c>
      <c r="L144" s="29" t="s">
        <v>143</v>
      </c>
    </row>
    <row r="145" ht="15.75" customHeight="1">
      <c r="A145" s="18" t="s">
        <v>886</v>
      </c>
      <c r="B145" s="18" t="s">
        <v>143</v>
      </c>
      <c r="C145" s="11">
        <v>10.0</v>
      </c>
      <c r="D145" s="22">
        <v>5.8</v>
      </c>
      <c r="E145" s="22">
        <v>6.4</v>
      </c>
      <c r="F145" s="11">
        <v>2.0</v>
      </c>
      <c r="G145" s="11">
        <v>0.0</v>
      </c>
      <c r="H145" s="11" t="s">
        <v>72</v>
      </c>
      <c r="I145" s="11">
        <v>0.0</v>
      </c>
      <c r="J145" s="11">
        <v>0.0</v>
      </c>
      <c r="K145" s="11" t="s">
        <v>73</v>
      </c>
      <c r="L145" s="18" t="s">
        <v>71</v>
      </c>
    </row>
    <row r="146" ht="15.75" customHeight="1">
      <c r="A146" s="29" t="s">
        <v>431</v>
      </c>
      <c r="B146" s="29" t="s">
        <v>177</v>
      </c>
      <c r="C146" s="25">
        <v>31.0</v>
      </c>
      <c r="D146" s="32">
        <v>5.95</v>
      </c>
      <c r="E146" s="32">
        <v>6.39</v>
      </c>
      <c r="F146" s="25">
        <v>5.0</v>
      </c>
      <c r="G146" s="25">
        <v>1.0</v>
      </c>
      <c r="H146" s="25" t="s">
        <v>72</v>
      </c>
      <c r="I146" s="25">
        <v>5.0</v>
      </c>
      <c r="J146" s="25">
        <v>0.0</v>
      </c>
      <c r="K146" s="25" t="s">
        <v>103</v>
      </c>
      <c r="L146" s="29" t="s">
        <v>177</v>
      </c>
    </row>
    <row r="147" ht="15.75" customHeight="1">
      <c r="A147" s="18" t="s">
        <v>573</v>
      </c>
      <c r="B147" s="18" t="s">
        <v>177</v>
      </c>
      <c r="C147" s="11">
        <v>17.0</v>
      </c>
      <c r="D147" s="22">
        <v>6.15</v>
      </c>
      <c r="E147" s="22">
        <v>6.38</v>
      </c>
      <c r="F147" s="11">
        <v>1.0</v>
      </c>
      <c r="G147" s="11">
        <v>2.0</v>
      </c>
      <c r="H147" s="11" t="s">
        <v>72</v>
      </c>
      <c r="I147" s="11">
        <v>2.0</v>
      </c>
      <c r="J147" s="11">
        <v>0.0</v>
      </c>
      <c r="K147" s="11" t="s">
        <v>103</v>
      </c>
      <c r="L147" s="18" t="s">
        <v>177</v>
      </c>
    </row>
    <row r="148" ht="15.75" customHeight="1">
      <c r="A148" s="29" t="s">
        <v>888</v>
      </c>
      <c r="B148" s="29" t="s">
        <v>133</v>
      </c>
      <c r="C148" s="25">
        <v>16.0</v>
      </c>
      <c r="D148" s="32">
        <v>6.06</v>
      </c>
      <c r="E148" s="32">
        <v>6.38</v>
      </c>
      <c r="F148" s="25">
        <v>2.0</v>
      </c>
      <c r="G148" s="25">
        <v>1.0</v>
      </c>
      <c r="H148" s="25" t="s">
        <v>72</v>
      </c>
      <c r="I148" s="25">
        <v>4.0</v>
      </c>
      <c r="J148" s="25">
        <v>0.0</v>
      </c>
      <c r="K148" s="25" t="s">
        <v>73</v>
      </c>
      <c r="L148" s="29" t="s">
        <v>71</v>
      </c>
    </row>
    <row r="149" ht="15.75" customHeight="1">
      <c r="A149" s="18" t="s">
        <v>476</v>
      </c>
      <c r="B149" s="18" t="s">
        <v>133</v>
      </c>
      <c r="C149" s="11">
        <v>16.0</v>
      </c>
      <c r="D149" s="22">
        <v>6.0</v>
      </c>
      <c r="E149" s="22">
        <v>6.38</v>
      </c>
      <c r="F149" s="11">
        <v>2.0</v>
      </c>
      <c r="G149" s="11">
        <v>1.0</v>
      </c>
      <c r="H149" s="11" t="s">
        <v>72</v>
      </c>
      <c r="I149" s="11">
        <v>2.0</v>
      </c>
      <c r="J149" s="11">
        <v>0.0</v>
      </c>
      <c r="K149" s="11" t="s">
        <v>103</v>
      </c>
      <c r="L149" s="18" t="s">
        <v>133</v>
      </c>
    </row>
    <row r="150" ht="15.75" customHeight="1">
      <c r="A150" s="29" t="s">
        <v>889</v>
      </c>
      <c r="B150" s="29" t="s">
        <v>133</v>
      </c>
      <c r="C150" s="25">
        <v>8.0</v>
      </c>
      <c r="D150" s="32">
        <v>6.06</v>
      </c>
      <c r="E150" s="32">
        <v>6.38</v>
      </c>
      <c r="F150" s="25">
        <v>1.0</v>
      </c>
      <c r="G150" s="25">
        <v>0.0</v>
      </c>
      <c r="H150" s="25" t="s">
        <v>72</v>
      </c>
      <c r="I150" s="25">
        <v>1.0</v>
      </c>
      <c r="J150" s="25">
        <v>0.0</v>
      </c>
      <c r="K150" s="25" t="s">
        <v>73</v>
      </c>
      <c r="L150" s="29" t="s">
        <v>71</v>
      </c>
    </row>
    <row r="151" ht="15.75" customHeight="1">
      <c r="A151" s="18" t="s">
        <v>402</v>
      </c>
      <c r="B151" s="18" t="s">
        <v>191</v>
      </c>
      <c r="C151" s="11">
        <v>33.0</v>
      </c>
      <c r="D151" s="22">
        <v>6.09</v>
      </c>
      <c r="E151" s="22">
        <v>6.36</v>
      </c>
      <c r="F151" s="11">
        <v>2.0</v>
      </c>
      <c r="G151" s="11">
        <v>5.0</v>
      </c>
      <c r="H151" s="11" t="s">
        <v>72</v>
      </c>
      <c r="I151" s="11">
        <v>4.0</v>
      </c>
      <c r="J151" s="11">
        <v>0.0</v>
      </c>
      <c r="K151" s="11" t="s">
        <v>103</v>
      </c>
      <c r="L151" s="18" t="s">
        <v>191</v>
      </c>
    </row>
    <row r="152" ht="15.75" customHeight="1">
      <c r="A152" s="29" t="s">
        <v>620</v>
      </c>
      <c r="B152" s="29" t="s">
        <v>60</v>
      </c>
      <c r="C152" s="25">
        <v>7.0</v>
      </c>
      <c r="D152" s="32">
        <v>5.93</v>
      </c>
      <c r="E152" s="32">
        <v>6.36</v>
      </c>
      <c r="F152" s="25">
        <v>1.0</v>
      </c>
      <c r="G152" s="25">
        <v>0.0</v>
      </c>
      <c r="H152" s="25" t="s">
        <v>72</v>
      </c>
      <c r="I152" s="25">
        <v>0.0</v>
      </c>
      <c r="J152" s="25">
        <v>0.0</v>
      </c>
      <c r="K152" s="25" t="s">
        <v>103</v>
      </c>
      <c r="L152" s="29" t="s">
        <v>60</v>
      </c>
    </row>
    <row r="153" ht="15.75" customHeight="1">
      <c r="A153" s="18" t="s">
        <v>228</v>
      </c>
      <c r="B153" s="18" t="s">
        <v>93</v>
      </c>
      <c r="C153" s="11">
        <v>37.0</v>
      </c>
      <c r="D153" s="22">
        <v>6.14</v>
      </c>
      <c r="E153" s="22">
        <v>6.35</v>
      </c>
      <c r="F153" s="11">
        <v>2.0</v>
      </c>
      <c r="G153" s="11">
        <v>4.0</v>
      </c>
      <c r="H153" s="11" t="s">
        <v>72</v>
      </c>
      <c r="I153" s="11">
        <v>2.0</v>
      </c>
      <c r="J153" s="11">
        <v>1.0</v>
      </c>
      <c r="K153" s="11" t="s">
        <v>103</v>
      </c>
      <c r="L153" s="18" t="s">
        <v>93</v>
      </c>
    </row>
    <row r="154" ht="15.75" customHeight="1">
      <c r="A154" s="29" t="s">
        <v>530</v>
      </c>
      <c r="B154" s="29" t="s">
        <v>208</v>
      </c>
      <c r="C154" s="25">
        <v>32.0</v>
      </c>
      <c r="D154" s="32">
        <v>5.88</v>
      </c>
      <c r="E154" s="32">
        <v>6.34</v>
      </c>
      <c r="F154" s="25">
        <v>5.0</v>
      </c>
      <c r="G154" s="25">
        <v>3.0</v>
      </c>
      <c r="H154" s="25" t="s">
        <v>225</v>
      </c>
      <c r="I154" s="25">
        <v>4.0</v>
      </c>
      <c r="J154" s="25">
        <v>1.0</v>
      </c>
      <c r="K154" s="25" t="s">
        <v>103</v>
      </c>
      <c r="L154" s="29" t="s">
        <v>195</v>
      </c>
    </row>
    <row r="155" ht="15.75" customHeight="1">
      <c r="A155" s="18" t="s">
        <v>236</v>
      </c>
      <c r="B155" s="18" t="s">
        <v>64</v>
      </c>
      <c r="C155" s="11">
        <v>28.0</v>
      </c>
      <c r="D155" s="22">
        <v>6.2</v>
      </c>
      <c r="E155" s="22">
        <v>6.34</v>
      </c>
      <c r="F155" s="11">
        <v>1.0</v>
      </c>
      <c r="G155" s="11">
        <v>4.0</v>
      </c>
      <c r="H155" s="11" t="s">
        <v>72</v>
      </c>
      <c r="I155" s="11">
        <v>6.0</v>
      </c>
      <c r="J155" s="11">
        <v>0.0</v>
      </c>
      <c r="K155" s="11" t="s">
        <v>103</v>
      </c>
      <c r="L155" s="18" t="s">
        <v>64</v>
      </c>
    </row>
    <row r="156" ht="15.75" customHeight="1">
      <c r="A156" s="29" t="s">
        <v>891</v>
      </c>
      <c r="B156" s="29" t="s">
        <v>93</v>
      </c>
      <c r="C156" s="25">
        <v>30.0</v>
      </c>
      <c r="D156" s="32">
        <v>5.77</v>
      </c>
      <c r="E156" s="32">
        <v>6.33</v>
      </c>
      <c r="F156" s="25">
        <v>6.0</v>
      </c>
      <c r="G156" s="25">
        <v>2.0</v>
      </c>
      <c r="H156" s="25" t="s">
        <v>202</v>
      </c>
      <c r="I156" s="25">
        <v>0.0</v>
      </c>
      <c r="J156" s="25">
        <v>0.0</v>
      </c>
      <c r="K156" s="25" t="s">
        <v>73</v>
      </c>
      <c r="L156" s="29" t="s">
        <v>71</v>
      </c>
    </row>
    <row r="157" ht="15.75" customHeight="1">
      <c r="A157" s="18" t="s">
        <v>248</v>
      </c>
      <c r="B157" s="18" t="s">
        <v>191</v>
      </c>
      <c r="C157" s="11">
        <v>26.0</v>
      </c>
      <c r="D157" s="22">
        <v>6.08</v>
      </c>
      <c r="E157" s="22">
        <v>6.33</v>
      </c>
      <c r="F157" s="11">
        <v>2.0</v>
      </c>
      <c r="G157" s="11">
        <v>1.0</v>
      </c>
      <c r="H157" s="11" t="s">
        <v>72</v>
      </c>
      <c r="I157" s="11">
        <v>1.0</v>
      </c>
      <c r="J157" s="11">
        <v>0.0</v>
      </c>
      <c r="K157" s="11" t="s">
        <v>103</v>
      </c>
      <c r="L157" s="18" t="s">
        <v>191</v>
      </c>
    </row>
    <row r="158" ht="15.75" customHeight="1">
      <c r="A158" s="29" t="s">
        <v>893</v>
      </c>
      <c r="B158" s="29" t="s">
        <v>60</v>
      </c>
      <c r="C158" s="25">
        <v>18.0</v>
      </c>
      <c r="D158" s="32">
        <v>6.14</v>
      </c>
      <c r="E158" s="32">
        <v>6.33</v>
      </c>
      <c r="F158" s="25">
        <v>1.0</v>
      </c>
      <c r="G158" s="25">
        <v>2.0</v>
      </c>
      <c r="H158" s="25" t="s">
        <v>72</v>
      </c>
      <c r="I158" s="25">
        <v>4.0</v>
      </c>
      <c r="J158" s="25">
        <v>0.0</v>
      </c>
      <c r="K158" s="25" t="s">
        <v>73</v>
      </c>
      <c r="L158" s="29" t="s">
        <v>71</v>
      </c>
    </row>
    <row r="159" ht="15.75" customHeight="1">
      <c r="A159" s="18" t="s">
        <v>240</v>
      </c>
      <c r="B159" s="18" t="s">
        <v>60</v>
      </c>
      <c r="C159" s="11">
        <v>31.0</v>
      </c>
      <c r="D159" s="22">
        <v>6.08</v>
      </c>
      <c r="E159" s="22">
        <v>6.32</v>
      </c>
      <c r="F159" s="11">
        <v>3.0</v>
      </c>
      <c r="G159" s="11">
        <v>1.0</v>
      </c>
      <c r="H159" s="11" t="s">
        <v>72</v>
      </c>
      <c r="I159" s="11">
        <v>5.0</v>
      </c>
      <c r="J159" s="11">
        <v>0.0</v>
      </c>
      <c r="K159" s="11" t="s">
        <v>103</v>
      </c>
      <c r="L159" s="18" t="s">
        <v>60</v>
      </c>
    </row>
    <row r="160" ht="15.75" customHeight="1">
      <c r="A160" s="29" t="s">
        <v>895</v>
      </c>
      <c r="B160" s="29" t="s">
        <v>175</v>
      </c>
      <c r="C160" s="25">
        <v>17.0</v>
      </c>
      <c r="D160" s="32">
        <v>5.94</v>
      </c>
      <c r="E160" s="32">
        <v>6.32</v>
      </c>
      <c r="F160" s="25">
        <v>2.0</v>
      </c>
      <c r="G160" s="25">
        <v>2.0</v>
      </c>
      <c r="H160" s="25" t="s">
        <v>72</v>
      </c>
      <c r="I160" s="25">
        <v>3.0</v>
      </c>
      <c r="J160" s="25">
        <v>0.0</v>
      </c>
      <c r="K160" s="25" t="s">
        <v>73</v>
      </c>
      <c r="L160" s="29" t="s">
        <v>71</v>
      </c>
    </row>
    <row r="161" ht="15.75" customHeight="1">
      <c r="A161" s="18" t="s">
        <v>531</v>
      </c>
      <c r="B161" s="18" t="s">
        <v>191</v>
      </c>
      <c r="C161" s="11">
        <v>14.0</v>
      </c>
      <c r="D161" s="22">
        <v>6.04</v>
      </c>
      <c r="E161" s="22">
        <v>6.32</v>
      </c>
      <c r="F161" s="11">
        <v>1.0</v>
      </c>
      <c r="G161" s="11">
        <v>2.0</v>
      </c>
      <c r="H161" s="11" t="s">
        <v>72</v>
      </c>
      <c r="I161" s="11">
        <v>2.0</v>
      </c>
      <c r="J161" s="11">
        <v>0.0</v>
      </c>
      <c r="K161" s="11" t="s">
        <v>103</v>
      </c>
      <c r="L161" s="18" t="s">
        <v>191</v>
      </c>
    </row>
    <row r="162" ht="15.75" customHeight="1">
      <c r="A162" s="29" t="s">
        <v>551</v>
      </c>
      <c r="B162" s="29" t="s">
        <v>239</v>
      </c>
      <c r="C162" s="25">
        <v>32.0</v>
      </c>
      <c r="D162" s="32">
        <v>6.06</v>
      </c>
      <c r="E162" s="32">
        <v>6.31</v>
      </c>
      <c r="F162" s="25">
        <v>2.0</v>
      </c>
      <c r="G162" s="25">
        <v>4.0</v>
      </c>
      <c r="H162" s="25" t="s">
        <v>72</v>
      </c>
      <c r="I162" s="25">
        <v>4.0</v>
      </c>
      <c r="J162" s="25">
        <v>0.0</v>
      </c>
      <c r="K162" s="25" t="s">
        <v>103</v>
      </c>
      <c r="L162" s="29" t="s">
        <v>143</v>
      </c>
    </row>
    <row r="163" ht="15.75" customHeight="1">
      <c r="A163" s="18" t="s">
        <v>897</v>
      </c>
      <c r="B163" s="18" t="s">
        <v>232</v>
      </c>
      <c r="C163" s="11">
        <v>24.0</v>
      </c>
      <c r="D163" s="22">
        <v>5.81</v>
      </c>
      <c r="E163" s="22">
        <v>6.31</v>
      </c>
      <c r="F163" s="11">
        <v>4.0</v>
      </c>
      <c r="G163" s="11">
        <v>1.0</v>
      </c>
      <c r="H163" s="11" t="s">
        <v>72</v>
      </c>
      <c r="I163" s="11">
        <v>3.0</v>
      </c>
      <c r="J163" s="11">
        <v>0.0</v>
      </c>
      <c r="K163" s="11" t="s">
        <v>73</v>
      </c>
      <c r="L163" s="18" t="s">
        <v>71</v>
      </c>
    </row>
    <row r="164" ht="15.75" customHeight="1">
      <c r="A164" s="29" t="s">
        <v>882</v>
      </c>
      <c r="B164" s="29" t="s">
        <v>208</v>
      </c>
      <c r="C164" s="25">
        <v>18.0</v>
      </c>
      <c r="D164" s="32">
        <v>5.97</v>
      </c>
      <c r="E164" s="32">
        <v>6.31</v>
      </c>
      <c r="F164" s="25">
        <v>2.0</v>
      </c>
      <c r="G164" s="25">
        <v>1.0</v>
      </c>
      <c r="H164" s="25" t="s">
        <v>72</v>
      </c>
      <c r="I164" s="25">
        <v>2.0</v>
      </c>
      <c r="J164" s="25">
        <v>0.0</v>
      </c>
      <c r="K164" s="25" t="s">
        <v>103</v>
      </c>
      <c r="L164" s="29" t="s">
        <v>208</v>
      </c>
    </row>
    <row r="165" ht="15.75" customHeight="1">
      <c r="A165" s="18" t="s">
        <v>437</v>
      </c>
      <c r="B165" s="18" t="s">
        <v>195</v>
      </c>
      <c r="C165" s="11">
        <v>18.0</v>
      </c>
      <c r="D165" s="22">
        <v>5.94</v>
      </c>
      <c r="E165" s="22">
        <v>6.31</v>
      </c>
      <c r="F165" s="11">
        <v>2.0</v>
      </c>
      <c r="G165" s="11">
        <v>1.0</v>
      </c>
      <c r="H165" s="11" t="s">
        <v>72</v>
      </c>
      <c r="I165" s="11">
        <v>1.0</v>
      </c>
      <c r="J165" s="11">
        <v>0.0</v>
      </c>
      <c r="K165" s="11" t="s">
        <v>103</v>
      </c>
      <c r="L165" s="18" t="s">
        <v>239</v>
      </c>
    </row>
    <row r="166" ht="15.75" customHeight="1">
      <c r="A166" s="29" t="s">
        <v>898</v>
      </c>
      <c r="B166" s="29" t="s">
        <v>195</v>
      </c>
      <c r="C166" s="25">
        <v>16.0</v>
      </c>
      <c r="D166" s="32">
        <v>6.16</v>
      </c>
      <c r="E166" s="32">
        <v>6.31</v>
      </c>
      <c r="F166" s="25">
        <v>2.0</v>
      </c>
      <c r="G166" s="25">
        <v>0.0</v>
      </c>
      <c r="H166" s="25" t="s">
        <v>72</v>
      </c>
      <c r="I166" s="25">
        <v>5.0</v>
      </c>
      <c r="J166" s="25">
        <v>1.0</v>
      </c>
      <c r="K166" s="25" t="s">
        <v>73</v>
      </c>
      <c r="L166" s="29" t="s">
        <v>71</v>
      </c>
    </row>
    <row r="167" ht="15.75" customHeight="1">
      <c r="A167" s="18" t="s">
        <v>329</v>
      </c>
      <c r="B167" s="18" t="s">
        <v>143</v>
      </c>
      <c r="C167" s="11">
        <v>35.0</v>
      </c>
      <c r="D167" s="22">
        <v>6.06</v>
      </c>
      <c r="E167" s="22">
        <v>6.3</v>
      </c>
      <c r="F167" s="11">
        <v>3.0</v>
      </c>
      <c r="G167" s="11">
        <v>1.0</v>
      </c>
      <c r="H167" s="11" t="s">
        <v>72</v>
      </c>
      <c r="I167" s="11">
        <v>3.0</v>
      </c>
      <c r="J167" s="11">
        <v>0.0</v>
      </c>
      <c r="K167" s="11" t="s">
        <v>103</v>
      </c>
      <c r="L167" s="18" t="s">
        <v>143</v>
      </c>
    </row>
    <row r="168" ht="15.75" customHeight="1">
      <c r="A168" s="29" t="s">
        <v>900</v>
      </c>
      <c r="B168" s="29" t="s">
        <v>283</v>
      </c>
      <c r="C168" s="25">
        <v>10.0</v>
      </c>
      <c r="D168" s="32">
        <v>5.95</v>
      </c>
      <c r="E168" s="32">
        <v>6.3</v>
      </c>
      <c r="F168" s="25">
        <v>1.0</v>
      </c>
      <c r="G168" s="25">
        <v>1.0</v>
      </c>
      <c r="H168" s="25" t="s">
        <v>188</v>
      </c>
      <c r="I168" s="25">
        <v>1.0</v>
      </c>
      <c r="J168" s="25">
        <v>0.0</v>
      </c>
      <c r="K168" s="25" t="s">
        <v>73</v>
      </c>
      <c r="L168" s="29" t="s">
        <v>71</v>
      </c>
    </row>
    <row r="169" ht="15.75" customHeight="1">
      <c r="A169" s="18" t="s">
        <v>747</v>
      </c>
      <c r="B169" s="18" t="s">
        <v>232</v>
      </c>
      <c r="C169" s="11">
        <v>33.0</v>
      </c>
      <c r="D169" s="22">
        <v>6.05</v>
      </c>
      <c r="E169" s="22">
        <v>6.29</v>
      </c>
      <c r="F169" s="11">
        <v>3.0</v>
      </c>
      <c r="G169" s="11">
        <v>1.0</v>
      </c>
      <c r="H169" s="11" t="s">
        <v>72</v>
      </c>
      <c r="I169" s="11">
        <v>4.0</v>
      </c>
      <c r="J169" s="11">
        <v>0.0</v>
      </c>
      <c r="K169" s="11" t="s">
        <v>103</v>
      </c>
      <c r="L169" s="18" t="s">
        <v>232</v>
      </c>
    </row>
    <row r="170" ht="15.75" customHeight="1">
      <c r="A170" s="29" t="s">
        <v>648</v>
      </c>
      <c r="B170" s="29" t="s">
        <v>195</v>
      </c>
      <c r="C170" s="25">
        <v>28.0</v>
      </c>
      <c r="D170" s="32">
        <v>5.93</v>
      </c>
      <c r="E170" s="32">
        <v>6.29</v>
      </c>
      <c r="F170" s="25">
        <v>4.0</v>
      </c>
      <c r="G170" s="25">
        <v>1.0</v>
      </c>
      <c r="H170" s="25" t="s">
        <v>72</v>
      </c>
      <c r="I170" s="25">
        <v>6.0</v>
      </c>
      <c r="J170" s="25">
        <v>0.0</v>
      </c>
      <c r="K170" s="25" t="s">
        <v>103</v>
      </c>
      <c r="L170" s="29" t="s">
        <v>195</v>
      </c>
    </row>
    <row r="171" ht="15.75" customHeight="1">
      <c r="A171" s="18" t="s">
        <v>414</v>
      </c>
      <c r="B171" s="18" t="s">
        <v>143</v>
      </c>
      <c r="C171" s="11">
        <v>21.0</v>
      </c>
      <c r="D171" s="22">
        <v>5.93</v>
      </c>
      <c r="E171" s="22">
        <v>6.29</v>
      </c>
      <c r="F171" s="11">
        <v>2.0</v>
      </c>
      <c r="G171" s="11">
        <v>2.0</v>
      </c>
      <c r="H171" s="11" t="s">
        <v>72</v>
      </c>
      <c r="I171" s="11">
        <v>1.0</v>
      </c>
      <c r="J171" s="11">
        <v>0.0</v>
      </c>
      <c r="K171" s="11" t="s">
        <v>103</v>
      </c>
      <c r="L171" s="18" t="s">
        <v>143</v>
      </c>
    </row>
    <row r="172" ht="15.75" customHeight="1">
      <c r="A172" s="29" t="s">
        <v>454</v>
      </c>
      <c r="B172" s="29" t="s">
        <v>185</v>
      </c>
      <c r="C172" s="25">
        <v>19.0</v>
      </c>
      <c r="D172" s="32">
        <v>6.05</v>
      </c>
      <c r="E172" s="32">
        <v>6.29</v>
      </c>
      <c r="F172" s="25">
        <v>1.0</v>
      </c>
      <c r="G172" s="25">
        <v>2.0</v>
      </c>
      <c r="H172" s="25" t="s">
        <v>72</v>
      </c>
      <c r="I172" s="25">
        <v>1.0</v>
      </c>
      <c r="J172" s="25">
        <v>0.0</v>
      </c>
      <c r="K172" s="25" t="s">
        <v>103</v>
      </c>
      <c r="L172" s="29" t="s">
        <v>185</v>
      </c>
    </row>
    <row r="173" ht="15.75" customHeight="1">
      <c r="A173" s="18" t="s">
        <v>902</v>
      </c>
      <c r="B173" s="18" t="s">
        <v>208</v>
      </c>
      <c r="C173" s="11">
        <v>25.0</v>
      </c>
      <c r="D173" s="22">
        <v>5.92</v>
      </c>
      <c r="E173" s="22">
        <v>6.28</v>
      </c>
      <c r="F173" s="11">
        <v>3.0</v>
      </c>
      <c r="G173" s="11">
        <v>1.0</v>
      </c>
      <c r="H173" s="11" t="s">
        <v>72</v>
      </c>
      <c r="I173" s="11">
        <v>2.0</v>
      </c>
      <c r="J173" s="11">
        <v>0.0</v>
      </c>
      <c r="K173" s="11" t="s">
        <v>73</v>
      </c>
      <c r="L173" s="18" t="s">
        <v>71</v>
      </c>
    </row>
    <row r="174" ht="15.75" customHeight="1">
      <c r="A174" s="29" t="s">
        <v>496</v>
      </c>
      <c r="B174" s="29" t="s">
        <v>177</v>
      </c>
      <c r="C174" s="25">
        <v>25.0</v>
      </c>
      <c r="D174" s="32">
        <v>5.96</v>
      </c>
      <c r="E174" s="32">
        <v>6.28</v>
      </c>
      <c r="F174" s="25">
        <v>3.0</v>
      </c>
      <c r="G174" s="25">
        <v>0.0</v>
      </c>
      <c r="H174" s="25" t="s">
        <v>72</v>
      </c>
      <c r="I174" s="25">
        <v>3.0</v>
      </c>
      <c r="J174" s="25">
        <v>0.0</v>
      </c>
      <c r="K174" s="25" t="s">
        <v>103</v>
      </c>
      <c r="L174" s="29" t="s">
        <v>93</v>
      </c>
    </row>
    <row r="175" ht="15.75" customHeight="1">
      <c r="A175" s="18" t="s">
        <v>903</v>
      </c>
      <c r="B175" s="18" t="s">
        <v>734</v>
      </c>
      <c r="C175" s="11">
        <v>9.0</v>
      </c>
      <c r="D175" s="22">
        <v>5.83</v>
      </c>
      <c r="E175" s="22">
        <v>6.28</v>
      </c>
      <c r="F175" s="11">
        <v>1.0</v>
      </c>
      <c r="G175" s="11">
        <v>1.0</v>
      </c>
      <c r="H175" s="11" t="s">
        <v>72</v>
      </c>
      <c r="I175" s="11">
        <v>0.0</v>
      </c>
      <c r="J175" s="11">
        <v>0.0</v>
      </c>
      <c r="K175" s="11" t="s">
        <v>73</v>
      </c>
      <c r="L175" s="18" t="s">
        <v>71</v>
      </c>
    </row>
    <row r="176" ht="15.75" customHeight="1">
      <c r="A176" s="29" t="s">
        <v>366</v>
      </c>
      <c r="B176" s="29" t="s">
        <v>60</v>
      </c>
      <c r="C176" s="25">
        <v>32.0</v>
      </c>
      <c r="D176" s="32">
        <v>6.17</v>
      </c>
      <c r="E176" s="32">
        <v>6.27</v>
      </c>
      <c r="F176" s="25">
        <v>1.0</v>
      </c>
      <c r="G176" s="25">
        <v>2.0</v>
      </c>
      <c r="H176" s="25" t="s">
        <v>72</v>
      </c>
      <c r="I176" s="25">
        <v>2.0</v>
      </c>
      <c r="J176" s="25">
        <v>1.0</v>
      </c>
      <c r="K176" s="25" t="s">
        <v>103</v>
      </c>
      <c r="L176" s="29" t="s">
        <v>93</v>
      </c>
    </row>
    <row r="177" ht="15.75" customHeight="1">
      <c r="A177" s="18" t="s">
        <v>728</v>
      </c>
      <c r="B177" s="18" t="s">
        <v>143</v>
      </c>
      <c r="C177" s="11">
        <v>31.0</v>
      </c>
      <c r="D177" s="22">
        <v>5.94</v>
      </c>
      <c r="E177" s="22">
        <v>6.27</v>
      </c>
      <c r="F177" s="11">
        <v>3.0</v>
      </c>
      <c r="G177" s="11">
        <v>3.0</v>
      </c>
      <c r="H177" s="11" t="s">
        <v>72</v>
      </c>
      <c r="I177" s="11">
        <v>3.0</v>
      </c>
      <c r="J177" s="11">
        <v>0.0</v>
      </c>
      <c r="K177" s="11" t="s">
        <v>103</v>
      </c>
      <c r="L177" s="18" t="s">
        <v>143</v>
      </c>
    </row>
    <row r="178" ht="15.75" customHeight="1">
      <c r="A178" s="29" t="s">
        <v>905</v>
      </c>
      <c r="B178" s="29" t="s">
        <v>734</v>
      </c>
      <c r="C178" s="25">
        <v>31.0</v>
      </c>
      <c r="D178" s="32">
        <v>6.06</v>
      </c>
      <c r="E178" s="32">
        <v>6.27</v>
      </c>
      <c r="F178" s="25">
        <v>1.0</v>
      </c>
      <c r="G178" s="25">
        <v>5.0</v>
      </c>
      <c r="H178" s="25" t="s">
        <v>72</v>
      </c>
      <c r="I178" s="25">
        <v>3.0</v>
      </c>
      <c r="J178" s="25">
        <v>0.0</v>
      </c>
      <c r="K178" s="25" t="s">
        <v>73</v>
      </c>
      <c r="L178" s="29" t="s">
        <v>71</v>
      </c>
    </row>
    <row r="179" ht="15.75" customHeight="1">
      <c r="A179" s="18" t="s">
        <v>738</v>
      </c>
      <c r="B179" s="18" t="s">
        <v>64</v>
      </c>
      <c r="C179" s="11">
        <v>28.0</v>
      </c>
      <c r="D179" s="22">
        <v>6.07</v>
      </c>
      <c r="E179" s="22">
        <v>6.27</v>
      </c>
      <c r="F179" s="11">
        <v>2.0</v>
      </c>
      <c r="G179" s="11">
        <v>2.0</v>
      </c>
      <c r="H179" s="11" t="s">
        <v>72</v>
      </c>
      <c r="I179" s="11">
        <v>5.0</v>
      </c>
      <c r="J179" s="11">
        <v>0.0</v>
      </c>
      <c r="K179" s="11" t="s">
        <v>103</v>
      </c>
      <c r="L179" s="18" t="s">
        <v>64</v>
      </c>
    </row>
    <row r="180" ht="15.75" customHeight="1">
      <c r="A180" s="29" t="s">
        <v>906</v>
      </c>
      <c r="B180" s="29" t="s">
        <v>208</v>
      </c>
      <c r="C180" s="25">
        <v>15.0</v>
      </c>
      <c r="D180" s="32">
        <v>5.9</v>
      </c>
      <c r="E180" s="32">
        <v>6.27</v>
      </c>
      <c r="F180" s="25">
        <v>1.0</v>
      </c>
      <c r="G180" s="25">
        <v>3.0</v>
      </c>
      <c r="H180" s="25" t="s">
        <v>72</v>
      </c>
      <c r="I180" s="25">
        <v>1.0</v>
      </c>
      <c r="J180" s="25">
        <v>0.0</v>
      </c>
      <c r="K180" s="25" t="s">
        <v>73</v>
      </c>
      <c r="L180" s="29" t="s">
        <v>71</v>
      </c>
    </row>
    <row r="181" ht="15.75" customHeight="1">
      <c r="A181" s="18" t="s">
        <v>908</v>
      </c>
      <c r="B181" s="18" t="s">
        <v>191</v>
      </c>
      <c r="C181" s="11">
        <v>13.0</v>
      </c>
      <c r="D181" s="22">
        <v>6.08</v>
      </c>
      <c r="E181" s="22">
        <v>6.27</v>
      </c>
      <c r="F181" s="11">
        <v>1.0</v>
      </c>
      <c r="G181" s="11">
        <v>0.0</v>
      </c>
      <c r="H181" s="11" t="s">
        <v>72</v>
      </c>
      <c r="I181" s="11">
        <v>1.0</v>
      </c>
      <c r="J181" s="11">
        <v>0.0</v>
      </c>
      <c r="K181" s="11" t="s">
        <v>103</v>
      </c>
      <c r="L181" s="18" t="s">
        <v>191</v>
      </c>
    </row>
    <row r="182" ht="15.75" customHeight="1">
      <c r="A182" s="29" t="s">
        <v>502</v>
      </c>
      <c r="B182" s="29" t="s">
        <v>253</v>
      </c>
      <c r="C182" s="25">
        <v>27.0</v>
      </c>
      <c r="D182" s="32">
        <v>5.96</v>
      </c>
      <c r="E182" s="32">
        <v>6.26</v>
      </c>
      <c r="F182" s="25">
        <v>4.0</v>
      </c>
      <c r="G182" s="25">
        <v>1.0</v>
      </c>
      <c r="H182" s="25" t="s">
        <v>290</v>
      </c>
      <c r="I182" s="25">
        <v>2.0</v>
      </c>
      <c r="J182" s="25">
        <v>1.0</v>
      </c>
      <c r="K182" s="25" t="s">
        <v>103</v>
      </c>
      <c r="L182" s="29" t="s">
        <v>239</v>
      </c>
    </row>
    <row r="183" ht="15.75" customHeight="1">
      <c r="A183" s="18" t="s">
        <v>909</v>
      </c>
      <c r="B183" s="18" t="s">
        <v>133</v>
      </c>
      <c r="C183" s="11">
        <v>14.0</v>
      </c>
      <c r="D183" s="22">
        <v>5.96</v>
      </c>
      <c r="E183" s="22">
        <v>6.25</v>
      </c>
      <c r="F183" s="11">
        <v>1.0</v>
      </c>
      <c r="G183" s="11">
        <v>1.0</v>
      </c>
      <c r="H183" s="11" t="s">
        <v>72</v>
      </c>
      <c r="I183" s="11">
        <v>0.0</v>
      </c>
      <c r="J183" s="11">
        <v>0.0</v>
      </c>
      <c r="K183" s="11" t="s">
        <v>73</v>
      </c>
      <c r="L183" s="18" t="s">
        <v>71</v>
      </c>
    </row>
    <row r="184" ht="15.75" customHeight="1">
      <c r="A184" s="29" t="s">
        <v>910</v>
      </c>
      <c r="B184" s="29" t="s">
        <v>185</v>
      </c>
      <c r="C184" s="25">
        <v>2.0</v>
      </c>
      <c r="D184" s="32">
        <v>5.75</v>
      </c>
      <c r="E184" s="32">
        <v>6.25</v>
      </c>
      <c r="F184" s="25">
        <v>0.0</v>
      </c>
      <c r="G184" s="25">
        <v>1.0</v>
      </c>
      <c r="H184" s="25" t="s">
        <v>72</v>
      </c>
      <c r="I184" s="25">
        <v>0.0</v>
      </c>
      <c r="J184" s="25">
        <v>0.0</v>
      </c>
      <c r="K184" s="25" t="s">
        <v>73</v>
      </c>
      <c r="L184" s="29" t="s">
        <v>71</v>
      </c>
    </row>
    <row r="185" ht="15.75" customHeight="1">
      <c r="A185" s="18" t="s">
        <v>912</v>
      </c>
      <c r="B185" s="18" t="s">
        <v>253</v>
      </c>
      <c r="C185" s="11">
        <v>2.0</v>
      </c>
      <c r="D185" s="22">
        <v>5.75</v>
      </c>
      <c r="E185" s="22">
        <v>6.25</v>
      </c>
      <c r="F185" s="11">
        <v>0.0</v>
      </c>
      <c r="G185" s="11">
        <v>1.0</v>
      </c>
      <c r="H185" s="11" t="s">
        <v>72</v>
      </c>
      <c r="I185" s="11">
        <v>0.0</v>
      </c>
      <c r="J185" s="11">
        <v>0.0</v>
      </c>
      <c r="K185" s="11" t="s">
        <v>73</v>
      </c>
      <c r="L185" s="18" t="s">
        <v>71</v>
      </c>
    </row>
    <row r="186" ht="15.75" customHeight="1">
      <c r="A186" s="29" t="s">
        <v>483</v>
      </c>
      <c r="B186" s="29" t="s">
        <v>208</v>
      </c>
      <c r="C186" s="25">
        <v>27.0</v>
      </c>
      <c r="D186" s="32">
        <v>5.78</v>
      </c>
      <c r="E186" s="32">
        <v>6.24</v>
      </c>
      <c r="F186" s="25">
        <v>4.0</v>
      </c>
      <c r="G186" s="25">
        <v>1.0</v>
      </c>
      <c r="H186" s="25" t="s">
        <v>72</v>
      </c>
      <c r="I186" s="25">
        <v>1.0</v>
      </c>
      <c r="J186" s="25">
        <v>0.0</v>
      </c>
      <c r="K186" s="25" t="s">
        <v>103</v>
      </c>
      <c r="L186" s="29" t="s">
        <v>182</v>
      </c>
    </row>
    <row r="187" ht="15.75" customHeight="1">
      <c r="A187" s="18" t="s">
        <v>353</v>
      </c>
      <c r="B187" s="18" t="s">
        <v>133</v>
      </c>
      <c r="C187" s="11">
        <v>27.0</v>
      </c>
      <c r="D187" s="22">
        <v>6.02</v>
      </c>
      <c r="E187" s="22">
        <v>6.24</v>
      </c>
      <c r="F187" s="11">
        <v>2.0</v>
      </c>
      <c r="G187" s="11">
        <v>1.0</v>
      </c>
      <c r="H187" s="11" t="s">
        <v>72</v>
      </c>
      <c r="I187" s="11">
        <v>2.0</v>
      </c>
      <c r="J187" s="11">
        <v>0.0</v>
      </c>
      <c r="K187" s="11" t="s">
        <v>103</v>
      </c>
      <c r="L187" s="18" t="s">
        <v>185</v>
      </c>
    </row>
    <row r="188" ht="15.75" customHeight="1">
      <c r="A188" s="29" t="s">
        <v>519</v>
      </c>
      <c r="B188" s="29" t="s">
        <v>143</v>
      </c>
      <c r="C188" s="25">
        <v>21.0</v>
      </c>
      <c r="D188" s="32">
        <v>6.0</v>
      </c>
      <c r="E188" s="32">
        <v>6.24</v>
      </c>
      <c r="F188" s="25">
        <v>2.0</v>
      </c>
      <c r="G188" s="25">
        <v>1.0</v>
      </c>
      <c r="H188" s="25" t="s">
        <v>72</v>
      </c>
      <c r="I188" s="25">
        <v>4.0</v>
      </c>
      <c r="J188" s="25">
        <v>0.0</v>
      </c>
      <c r="K188" s="25" t="s">
        <v>103</v>
      </c>
      <c r="L188" s="29" t="s">
        <v>143</v>
      </c>
    </row>
    <row r="189" ht="15.75" customHeight="1">
      <c r="A189" s="18" t="s">
        <v>914</v>
      </c>
      <c r="B189" s="18" t="s">
        <v>232</v>
      </c>
      <c r="C189" s="11">
        <v>21.0</v>
      </c>
      <c r="D189" s="22">
        <v>6.02</v>
      </c>
      <c r="E189" s="22">
        <v>6.24</v>
      </c>
      <c r="F189" s="11">
        <v>1.0</v>
      </c>
      <c r="G189" s="11">
        <v>2.0</v>
      </c>
      <c r="H189" s="11" t="s">
        <v>72</v>
      </c>
      <c r="I189" s="11">
        <v>1.0</v>
      </c>
      <c r="J189" s="11">
        <v>0.0</v>
      </c>
      <c r="K189" s="11" t="s">
        <v>73</v>
      </c>
      <c r="L189" s="18" t="s">
        <v>71</v>
      </c>
    </row>
    <row r="190" ht="15.75" customHeight="1">
      <c r="A190" s="29" t="s">
        <v>915</v>
      </c>
      <c r="B190" s="29" t="s">
        <v>185</v>
      </c>
      <c r="C190" s="25">
        <v>21.0</v>
      </c>
      <c r="D190" s="32">
        <v>5.88</v>
      </c>
      <c r="E190" s="32">
        <v>6.24</v>
      </c>
      <c r="F190" s="25">
        <v>3.0</v>
      </c>
      <c r="G190" s="25">
        <v>0.0</v>
      </c>
      <c r="H190" s="25" t="s">
        <v>72</v>
      </c>
      <c r="I190" s="25">
        <v>3.0</v>
      </c>
      <c r="J190" s="25">
        <v>0.0</v>
      </c>
      <c r="K190" s="25" t="s">
        <v>73</v>
      </c>
      <c r="L190" s="29" t="s">
        <v>71</v>
      </c>
    </row>
    <row r="191" ht="15.75" customHeight="1">
      <c r="A191" s="18" t="s">
        <v>769</v>
      </c>
      <c r="B191" s="18" t="s">
        <v>208</v>
      </c>
      <c r="C191" s="11">
        <v>33.0</v>
      </c>
      <c r="D191" s="22">
        <v>6.03</v>
      </c>
      <c r="E191" s="22">
        <v>6.23</v>
      </c>
      <c r="F191" s="11">
        <v>2.0</v>
      </c>
      <c r="G191" s="11">
        <v>3.0</v>
      </c>
      <c r="H191" s="11" t="s">
        <v>72</v>
      </c>
      <c r="I191" s="11">
        <v>5.0</v>
      </c>
      <c r="J191" s="11">
        <v>0.0</v>
      </c>
      <c r="K191" s="11" t="s">
        <v>103</v>
      </c>
      <c r="L191" s="18" t="s">
        <v>208</v>
      </c>
    </row>
    <row r="192" ht="15.75" customHeight="1">
      <c r="A192" s="29" t="s">
        <v>347</v>
      </c>
      <c r="B192" s="29" t="s">
        <v>185</v>
      </c>
      <c r="C192" s="25">
        <v>28.0</v>
      </c>
      <c r="D192" s="32">
        <v>5.98</v>
      </c>
      <c r="E192" s="32">
        <v>6.23</v>
      </c>
      <c r="F192" s="25">
        <v>3.0</v>
      </c>
      <c r="G192" s="25">
        <v>0.0</v>
      </c>
      <c r="H192" s="25" t="s">
        <v>72</v>
      </c>
      <c r="I192" s="25">
        <v>4.0</v>
      </c>
      <c r="J192" s="25">
        <v>0.0</v>
      </c>
      <c r="K192" s="25" t="s">
        <v>103</v>
      </c>
      <c r="L192" s="29" t="s">
        <v>143</v>
      </c>
    </row>
    <row r="193" ht="15.75" customHeight="1">
      <c r="A193" s="18" t="s">
        <v>339</v>
      </c>
      <c r="B193" s="18" t="s">
        <v>133</v>
      </c>
      <c r="C193" s="11">
        <v>26.0</v>
      </c>
      <c r="D193" s="22">
        <v>6.06</v>
      </c>
      <c r="E193" s="22">
        <v>6.23</v>
      </c>
      <c r="F193" s="11">
        <v>1.0</v>
      </c>
      <c r="G193" s="11">
        <v>3.0</v>
      </c>
      <c r="H193" s="11" t="s">
        <v>72</v>
      </c>
      <c r="I193" s="11">
        <v>3.0</v>
      </c>
      <c r="J193" s="11">
        <v>0.0</v>
      </c>
      <c r="K193" s="11" t="s">
        <v>103</v>
      </c>
      <c r="L193" s="18" t="s">
        <v>133</v>
      </c>
    </row>
    <row r="194" ht="15.75" customHeight="1">
      <c r="A194" s="29" t="s">
        <v>690</v>
      </c>
      <c r="B194" s="29" t="s">
        <v>60</v>
      </c>
      <c r="C194" s="25">
        <v>37.0</v>
      </c>
      <c r="D194" s="32">
        <v>6.11</v>
      </c>
      <c r="E194" s="32">
        <v>6.22</v>
      </c>
      <c r="F194" s="25">
        <v>2.0</v>
      </c>
      <c r="G194" s="25">
        <v>1.0</v>
      </c>
      <c r="H194" s="25" t="s">
        <v>72</v>
      </c>
      <c r="I194" s="25">
        <v>6.0</v>
      </c>
      <c r="J194" s="25">
        <v>0.0</v>
      </c>
      <c r="K194" s="25" t="s">
        <v>103</v>
      </c>
      <c r="L194" s="29" t="s">
        <v>60</v>
      </c>
    </row>
    <row r="195" ht="15.75" customHeight="1">
      <c r="A195" s="18" t="s">
        <v>918</v>
      </c>
      <c r="B195" s="18" t="s">
        <v>361</v>
      </c>
      <c r="C195" s="11">
        <v>18.0</v>
      </c>
      <c r="D195" s="22">
        <v>5.97</v>
      </c>
      <c r="E195" s="22">
        <v>6.22</v>
      </c>
      <c r="F195" s="11">
        <v>2.0</v>
      </c>
      <c r="G195" s="11">
        <v>0.0</v>
      </c>
      <c r="H195" s="11" t="s">
        <v>72</v>
      </c>
      <c r="I195" s="11">
        <v>3.0</v>
      </c>
      <c r="J195" s="11">
        <v>0.0</v>
      </c>
      <c r="K195" s="11" t="s">
        <v>73</v>
      </c>
      <c r="L195" s="18" t="s">
        <v>71</v>
      </c>
    </row>
    <row r="196" ht="15.75" customHeight="1">
      <c r="A196" s="29" t="s">
        <v>508</v>
      </c>
      <c r="B196" s="29" t="s">
        <v>93</v>
      </c>
      <c r="C196" s="25">
        <v>16.0</v>
      </c>
      <c r="D196" s="32">
        <v>5.94</v>
      </c>
      <c r="E196" s="32">
        <v>6.22</v>
      </c>
      <c r="F196" s="25">
        <v>2.0</v>
      </c>
      <c r="G196" s="25">
        <v>0.0</v>
      </c>
      <c r="H196" s="25" t="s">
        <v>72</v>
      </c>
      <c r="I196" s="25">
        <v>3.0</v>
      </c>
      <c r="J196" s="25">
        <v>0.0</v>
      </c>
      <c r="K196" s="25" t="s">
        <v>103</v>
      </c>
      <c r="L196" s="29" t="s">
        <v>93</v>
      </c>
    </row>
    <row r="197" ht="15.75" customHeight="1">
      <c r="A197" s="18" t="s">
        <v>780</v>
      </c>
      <c r="B197" s="18" t="s">
        <v>239</v>
      </c>
      <c r="C197" s="11">
        <v>26.0</v>
      </c>
      <c r="D197" s="22">
        <v>6.04</v>
      </c>
      <c r="E197" s="22">
        <v>6.21</v>
      </c>
      <c r="F197" s="11">
        <v>2.0</v>
      </c>
      <c r="G197" s="11">
        <v>0.0</v>
      </c>
      <c r="H197" s="11" t="s">
        <v>72</v>
      </c>
      <c r="I197" s="11">
        <v>3.0</v>
      </c>
      <c r="J197" s="11">
        <v>0.0</v>
      </c>
      <c r="K197" s="11" t="s">
        <v>103</v>
      </c>
      <c r="L197" s="18" t="s">
        <v>272</v>
      </c>
    </row>
    <row r="198" ht="15.75" customHeight="1">
      <c r="A198" s="29" t="s">
        <v>358</v>
      </c>
      <c r="B198" s="29" t="s">
        <v>361</v>
      </c>
      <c r="C198" s="25">
        <v>26.0</v>
      </c>
      <c r="D198" s="32">
        <v>6.1</v>
      </c>
      <c r="E198" s="32">
        <v>6.21</v>
      </c>
      <c r="F198" s="25">
        <v>2.0</v>
      </c>
      <c r="G198" s="25">
        <v>0.0</v>
      </c>
      <c r="H198" s="25" t="s">
        <v>72</v>
      </c>
      <c r="I198" s="25">
        <v>6.0</v>
      </c>
      <c r="J198" s="25">
        <v>0.0</v>
      </c>
      <c r="K198" s="25" t="s">
        <v>103</v>
      </c>
      <c r="L198" s="29" t="s">
        <v>212</v>
      </c>
    </row>
    <row r="199" ht="15.75" customHeight="1">
      <c r="A199" s="18" t="s">
        <v>919</v>
      </c>
      <c r="B199" s="18" t="s">
        <v>93</v>
      </c>
      <c r="C199" s="11">
        <v>15.0</v>
      </c>
      <c r="D199" s="22">
        <v>5.97</v>
      </c>
      <c r="E199" s="22">
        <v>6.2</v>
      </c>
      <c r="F199" s="11">
        <v>1.0</v>
      </c>
      <c r="G199" s="11">
        <v>1.0</v>
      </c>
      <c r="H199" s="11" t="s">
        <v>72</v>
      </c>
      <c r="I199" s="11">
        <v>1.0</v>
      </c>
      <c r="J199" s="11">
        <v>0.0</v>
      </c>
      <c r="K199" s="11" t="s">
        <v>73</v>
      </c>
      <c r="L199" s="18" t="s">
        <v>71</v>
      </c>
    </row>
    <row r="200" ht="15.75" customHeight="1">
      <c r="A200" s="29" t="s">
        <v>464</v>
      </c>
      <c r="B200" s="29" t="s">
        <v>93</v>
      </c>
      <c r="C200" s="25">
        <v>36.0</v>
      </c>
      <c r="D200" s="32">
        <v>6.26</v>
      </c>
      <c r="E200" s="32">
        <v>6.19</v>
      </c>
      <c r="F200" s="25">
        <v>1.0</v>
      </c>
      <c r="G200" s="25">
        <v>2.0</v>
      </c>
      <c r="H200" s="25" t="s">
        <v>202</v>
      </c>
      <c r="I200" s="25">
        <v>9.0</v>
      </c>
      <c r="J200" s="25">
        <v>0.0</v>
      </c>
      <c r="K200" s="25" t="s">
        <v>103</v>
      </c>
      <c r="L200" s="29" t="s">
        <v>93</v>
      </c>
    </row>
    <row r="201" ht="15.75" customHeight="1">
      <c r="A201" s="18" t="s">
        <v>920</v>
      </c>
      <c r="B201" s="18" t="s">
        <v>852</v>
      </c>
      <c r="C201" s="11">
        <v>32.0</v>
      </c>
      <c r="D201" s="22">
        <v>5.94</v>
      </c>
      <c r="E201" s="22">
        <v>6.19</v>
      </c>
      <c r="F201" s="11">
        <v>2.0</v>
      </c>
      <c r="G201" s="11">
        <v>3.0</v>
      </c>
      <c r="H201" s="11" t="s">
        <v>72</v>
      </c>
      <c r="I201" s="11">
        <v>2.0</v>
      </c>
      <c r="J201" s="11">
        <v>0.0</v>
      </c>
      <c r="K201" s="11" t="s">
        <v>73</v>
      </c>
      <c r="L201" s="18" t="s">
        <v>71</v>
      </c>
    </row>
    <row r="202" ht="15.75" customHeight="1">
      <c r="A202" s="29" t="s">
        <v>800</v>
      </c>
      <c r="B202" s="29" t="s">
        <v>175</v>
      </c>
      <c r="C202" s="25">
        <v>28.0</v>
      </c>
      <c r="D202" s="32">
        <v>6.0</v>
      </c>
      <c r="E202" s="32">
        <v>6.18</v>
      </c>
      <c r="F202" s="25">
        <v>1.0</v>
      </c>
      <c r="G202" s="25">
        <v>3.0</v>
      </c>
      <c r="H202" s="25" t="s">
        <v>72</v>
      </c>
      <c r="I202" s="25">
        <v>3.0</v>
      </c>
      <c r="J202" s="25">
        <v>0.0</v>
      </c>
      <c r="K202" s="25" t="s">
        <v>103</v>
      </c>
      <c r="L202" s="29" t="s">
        <v>133</v>
      </c>
    </row>
    <row r="203" ht="15.75" customHeight="1">
      <c r="A203" s="18" t="s">
        <v>394</v>
      </c>
      <c r="B203" s="18" t="s">
        <v>185</v>
      </c>
      <c r="C203" s="11">
        <v>28.0</v>
      </c>
      <c r="D203" s="22">
        <v>5.98</v>
      </c>
      <c r="E203" s="22">
        <v>6.18</v>
      </c>
      <c r="F203" s="11">
        <v>3.0</v>
      </c>
      <c r="G203" s="11">
        <v>0.0</v>
      </c>
      <c r="H203" s="11" t="s">
        <v>72</v>
      </c>
      <c r="I203" s="11">
        <v>5.0</v>
      </c>
      <c r="J203" s="11">
        <v>1.0</v>
      </c>
      <c r="K203" s="11" t="s">
        <v>103</v>
      </c>
      <c r="L203" s="18" t="s">
        <v>185</v>
      </c>
    </row>
    <row r="204" ht="15.75" customHeight="1">
      <c r="A204" s="29" t="s">
        <v>307</v>
      </c>
      <c r="B204" s="29" t="s">
        <v>239</v>
      </c>
      <c r="C204" s="25">
        <v>26.0</v>
      </c>
      <c r="D204" s="32">
        <v>6.0</v>
      </c>
      <c r="E204" s="32">
        <v>6.17</v>
      </c>
      <c r="F204" s="25">
        <v>2.0</v>
      </c>
      <c r="G204" s="25">
        <v>1.0</v>
      </c>
      <c r="H204" s="25" t="s">
        <v>72</v>
      </c>
      <c r="I204" s="25">
        <v>3.0</v>
      </c>
      <c r="J204" s="25">
        <v>1.0</v>
      </c>
      <c r="K204" s="25" t="s">
        <v>103</v>
      </c>
      <c r="L204" s="29" t="s">
        <v>239</v>
      </c>
    </row>
    <row r="205" ht="15.75" customHeight="1">
      <c r="A205" s="18" t="s">
        <v>831</v>
      </c>
      <c r="B205" s="18" t="s">
        <v>182</v>
      </c>
      <c r="C205" s="11">
        <v>23.0</v>
      </c>
      <c r="D205" s="22">
        <v>5.83</v>
      </c>
      <c r="E205" s="22">
        <v>6.17</v>
      </c>
      <c r="F205" s="11">
        <v>3.0</v>
      </c>
      <c r="G205" s="11">
        <v>1.0</v>
      </c>
      <c r="H205" s="11" t="s">
        <v>72</v>
      </c>
      <c r="I205" s="11">
        <v>2.0</v>
      </c>
      <c r="J205" s="11">
        <v>1.0</v>
      </c>
      <c r="K205" s="11" t="s">
        <v>103</v>
      </c>
      <c r="L205" s="18" t="s">
        <v>182</v>
      </c>
    </row>
    <row r="206" ht="15.75" customHeight="1">
      <c r="A206" s="29" t="s">
        <v>923</v>
      </c>
      <c r="B206" s="29" t="s">
        <v>191</v>
      </c>
      <c r="C206" s="25">
        <v>21.0</v>
      </c>
      <c r="D206" s="32">
        <v>5.98</v>
      </c>
      <c r="E206" s="32">
        <v>6.17</v>
      </c>
      <c r="F206" s="25">
        <v>1.0</v>
      </c>
      <c r="G206" s="25">
        <v>1.0</v>
      </c>
      <c r="H206" s="25" t="s">
        <v>72</v>
      </c>
      <c r="I206" s="25">
        <v>0.0</v>
      </c>
      <c r="J206" s="25">
        <v>0.0</v>
      </c>
      <c r="K206" s="25" t="s">
        <v>73</v>
      </c>
      <c r="L206" s="29" t="s">
        <v>71</v>
      </c>
    </row>
    <row r="207" ht="15.75" customHeight="1">
      <c r="A207" s="18" t="s">
        <v>924</v>
      </c>
      <c r="B207" s="18" t="s">
        <v>253</v>
      </c>
      <c r="C207" s="11">
        <v>3.0</v>
      </c>
      <c r="D207" s="22">
        <v>6.17</v>
      </c>
      <c r="E207" s="22">
        <v>6.17</v>
      </c>
      <c r="F207" s="11">
        <v>0.0</v>
      </c>
      <c r="G207" s="11">
        <v>0.0</v>
      </c>
      <c r="H207" s="11" t="s">
        <v>72</v>
      </c>
      <c r="I207" s="11">
        <v>0.0</v>
      </c>
      <c r="J207" s="11">
        <v>0.0</v>
      </c>
      <c r="K207" s="11" t="s">
        <v>103</v>
      </c>
      <c r="L207" s="18" t="s">
        <v>253</v>
      </c>
    </row>
    <row r="208" ht="15.75" customHeight="1">
      <c r="A208" s="29" t="s">
        <v>376</v>
      </c>
      <c r="B208" s="29" t="s">
        <v>64</v>
      </c>
      <c r="C208" s="25">
        <v>28.0</v>
      </c>
      <c r="D208" s="32">
        <v>6.12</v>
      </c>
      <c r="E208" s="32">
        <v>6.16</v>
      </c>
      <c r="F208" s="25">
        <v>1.0</v>
      </c>
      <c r="G208" s="25">
        <v>1.0</v>
      </c>
      <c r="H208" s="25" t="s">
        <v>72</v>
      </c>
      <c r="I208" s="25">
        <v>6.0</v>
      </c>
      <c r="J208" s="25">
        <v>0.0</v>
      </c>
      <c r="K208" s="25" t="s">
        <v>103</v>
      </c>
      <c r="L208" s="29" t="s">
        <v>64</v>
      </c>
    </row>
    <row r="209" ht="15.75" customHeight="1">
      <c r="A209" s="18" t="s">
        <v>445</v>
      </c>
      <c r="B209" s="18" t="s">
        <v>191</v>
      </c>
      <c r="C209" s="11">
        <v>22.0</v>
      </c>
      <c r="D209" s="22">
        <v>5.93</v>
      </c>
      <c r="E209" s="22">
        <v>6.16</v>
      </c>
      <c r="F209" s="11">
        <v>2.0</v>
      </c>
      <c r="G209" s="11">
        <v>0.0</v>
      </c>
      <c r="H209" s="11" t="s">
        <v>72</v>
      </c>
      <c r="I209" s="11">
        <v>2.0</v>
      </c>
      <c r="J209" s="11">
        <v>0.0</v>
      </c>
      <c r="K209" s="11" t="s">
        <v>103</v>
      </c>
      <c r="L209" s="18" t="s">
        <v>191</v>
      </c>
    </row>
    <row r="210" ht="15.75" customHeight="1">
      <c r="A210" s="29" t="s">
        <v>398</v>
      </c>
      <c r="B210" s="29" t="s">
        <v>143</v>
      </c>
      <c r="C210" s="25">
        <v>22.0</v>
      </c>
      <c r="D210" s="32">
        <v>6.09</v>
      </c>
      <c r="E210" s="32">
        <v>6.16</v>
      </c>
      <c r="F210" s="25">
        <v>0.0</v>
      </c>
      <c r="G210" s="25">
        <v>3.0</v>
      </c>
      <c r="H210" s="25" t="s">
        <v>72</v>
      </c>
      <c r="I210" s="25">
        <v>3.0</v>
      </c>
      <c r="J210" s="25">
        <v>0.0</v>
      </c>
      <c r="K210" s="25" t="s">
        <v>103</v>
      </c>
      <c r="L210" s="29" t="s">
        <v>143</v>
      </c>
    </row>
    <row r="211" ht="15.75" customHeight="1">
      <c r="A211" s="18" t="s">
        <v>827</v>
      </c>
      <c r="B211" s="18" t="s">
        <v>253</v>
      </c>
      <c r="C211" s="11">
        <v>24.0</v>
      </c>
      <c r="D211" s="22">
        <v>5.92</v>
      </c>
      <c r="E211" s="22">
        <v>6.15</v>
      </c>
      <c r="F211" s="11">
        <v>2.0</v>
      </c>
      <c r="G211" s="11">
        <v>1.0</v>
      </c>
      <c r="H211" s="11" t="s">
        <v>72</v>
      </c>
      <c r="I211" s="11">
        <v>5.0</v>
      </c>
      <c r="J211" s="11">
        <v>0.0</v>
      </c>
      <c r="K211" s="11" t="s">
        <v>103</v>
      </c>
      <c r="L211" s="18" t="s">
        <v>239</v>
      </c>
    </row>
    <row r="212" ht="15.75" customHeight="1">
      <c r="A212" s="29" t="s">
        <v>922</v>
      </c>
      <c r="B212" s="29" t="s">
        <v>212</v>
      </c>
      <c r="C212" s="25">
        <v>10.0</v>
      </c>
      <c r="D212" s="32">
        <v>5.8</v>
      </c>
      <c r="E212" s="32">
        <v>6.15</v>
      </c>
      <c r="F212" s="25">
        <v>1.0</v>
      </c>
      <c r="G212" s="25">
        <v>1.0</v>
      </c>
      <c r="H212" s="25" t="s">
        <v>72</v>
      </c>
      <c r="I212" s="25">
        <v>2.0</v>
      </c>
      <c r="J212" s="25">
        <v>0.0</v>
      </c>
      <c r="K212" s="25" t="s">
        <v>103</v>
      </c>
      <c r="L212" s="29" t="s">
        <v>208</v>
      </c>
    </row>
    <row r="213" ht="15.75" customHeight="1">
      <c r="A213" s="18" t="s">
        <v>323</v>
      </c>
      <c r="B213" s="18" t="s">
        <v>177</v>
      </c>
      <c r="C213" s="11">
        <v>36.0</v>
      </c>
      <c r="D213" s="22">
        <v>6.08</v>
      </c>
      <c r="E213" s="22">
        <v>6.14</v>
      </c>
      <c r="F213" s="11">
        <v>1.0</v>
      </c>
      <c r="G213" s="11">
        <v>0.0</v>
      </c>
      <c r="H213" s="11" t="s">
        <v>72</v>
      </c>
      <c r="I213" s="11">
        <v>2.0</v>
      </c>
      <c r="J213" s="11">
        <v>0.0</v>
      </c>
      <c r="K213" s="11" t="s">
        <v>103</v>
      </c>
      <c r="L213" s="18" t="s">
        <v>177</v>
      </c>
    </row>
    <row r="214" ht="15.75" customHeight="1">
      <c r="A214" s="29" t="s">
        <v>317</v>
      </c>
      <c r="B214" s="29" t="s">
        <v>133</v>
      </c>
      <c r="C214" s="25">
        <v>32.0</v>
      </c>
      <c r="D214" s="32">
        <v>6.16</v>
      </c>
      <c r="E214" s="32">
        <v>6.14</v>
      </c>
      <c r="F214" s="25">
        <v>2.0</v>
      </c>
      <c r="G214" s="25">
        <v>0.0</v>
      </c>
      <c r="H214" s="25" t="s">
        <v>72</v>
      </c>
      <c r="I214" s="25">
        <v>11.0</v>
      </c>
      <c r="J214" s="25">
        <v>1.0</v>
      </c>
      <c r="K214" s="25" t="s">
        <v>103</v>
      </c>
      <c r="L214" s="29" t="s">
        <v>133</v>
      </c>
    </row>
    <row r="215" ht="15.75" customHeight="1">
      <c r="A215" s="18" t="s">
        <v>527</v>
      </c>
      <c r="B215" s="18" t="s">
        <v>212</v>
      </c>
      <c r="C215" s="11">
        <v>23.0</v>
      </c>
      <c r="D215" s="22">
        <v>5.83</v>
      </c>
      <c r="E215" s="22">
        <v>6.13</v>
      </c>
      <c r="F215" s="11">
        <v>3.0</v>
      </c>
      <c r="G215" s="11">
        <v>1.0</v>
      </c>
      <c r="H215" s="11" t="s">
        <v>202</v>
      </c>
      <c r="I215" s="11">
        <v>0.0</v>
      </c>
      <c r="J215" s="11">
        <v>0.0</v>
      </c>
      <c r="K215" s="11" t="s">
        <v>103</v>
      </c>
      <c r="L215" s="18" t="s">
        <v>212</v>
      </c>
    </row>
    <row r="216" ht="15.75" customHeight="1">
      <c r="A216" s="29" t="s">
        <v>926</v>
      </c>
      <c r="B216" s="29" t="s">
        <v>182</v>
      </c>
      <c r="C216" s="25">
        <v>19.0</v>
      </c>
      <c r="D216" s="32">
        <v>5.82</v>
      </c>
      <c r="E216" s="32">
        <v>6.13</v>
      </c>
      <c r="F216" s="25">
        <v>2.0</v>
      </c>
      <c r="G216" s="25">
        <v>1.0</v>
      </c>
      <c r="H216" s="25" t="s">
        <v>72</v>
      </c>
      <c r="I216" s="25">
        <v>2.0</v>
      </c>
      <c r="J216" s="25">
        <v>0.0</v>
      </c>
      <c r="K216" s="25" t="s">
        <v>73</v>
      </c>
      <c r="L216" s="29" t="s">
        <v>71</v>
      </c>
    </row>
    <row r="217" ht="15.75" customHeight="1">
      <c r="A217" s="18" t="s">
        <v>927</v>
      </c>
      <c r="B217" s="18" t="s">
        <v>852</v>
      </c>
      <c r="C217" s="11">
        <v>15.0</v>
      </c>
      <c r="D217" s="22">
        <v>6.03</v>
      </c>
      <c r="E217" s="22">
        <v>6.13</v>
      </c>
      <c r="F217" s="11">
        <v>1.0</v>
      </c>
      <c r="G217" s="11">
        <v>0.0</v>
      </c>
      <c r="H217" s="11" t="s">
        <v>188</v>
      </c>
      <c r="I217" s="11">
        <v>3.0</v>
      </c>
      <c r="J217" s="11">
        <v>0.0</v>
      </c>
      <c r="K217" s="11" t="s">
        <v>73</v>
      </c>
      <c r="L217" s="18" t="s">
        <v>71</v>
      </c>
    </row>
    <row r="218" ht="15.75" customHeight="1">
      <c r="A218" s="29" t="s">
        <v>450</v>
      </c>
      <c r="B218" s="29" t="s">
        <v>232</v>
      </c>
      <c r="C218" s="25">
        <v>30.0</v>
      </c>
      <c r="D218" s="32">
        <v>5.73</v>
      </c>
      <c r="E218" s="32">
        <v>6.12</v>
      </c>
      <c r="F218" s="25">
        <v>4.0</v>
      </c>
      <c r="G218" s="25">
        <v>0.0</v>
      </c>
      <c r="H218" s="25" t="s">
        <v>188</v>
      </c>
      <c r="I218" s="25">
        <v>1.0</v>
      </c>
      <c r="J218" s="25">
        <v>0.0</v>
      </c>
      <c r="K218" s="25" t="s">
        <v>103</v>
      </c>
      <c r="L218" s="29" t="s">
        <v>232</v>
      </c>
    </row>
    <row r="219" ht="15.75" customHeight="1">
      <c r="A219" s="18" t="s">
        <v>929</v>
      </c>
      <c r="B219" s="18" t="s">
        <v>734</v>
      </c>
      <c r="C219" s="11">
        <v>29.0</v>
      </c>
      <c r="D219" s="22">
        <v>5.95</v>
      </c>
      <c r="E219" s="22">
        <v>6.12</v>
      </c>
      <c r="F219" s="11">
        <v>2.0</v>
      </c>
      <c r="G219" s="11">
        <v>0.0</v>
      </c>
      <c r="H219" s="11" t="s">
        <v>72</v>
      </c>
      <c r="I219" s="11">
        <v>2.0</v>
      </c>
      <c r="J219" s="11">
        <v>0.0</v>
      </c>
      <c r="K219" s="11" t="s">
        <v>73</v>
      </c>
      <c r="L219" s="18" t="s">
        <v>71</v>
      </c>
    </row>
    <row r="220" ht="15.75" customHeight="1">
      <c r="A220" s="29" t="s">
        <v>822</v>
      </c>
      <c r="B220" s="29" t="s">
        <v>182</v>
      </c>
      <c r="C220" s="25">
        <v>28.0</v>
      </c>
      <c r="D220" s="32">
        <v>5.93</v>
      </c>
      <c r="E220" s="32">
        <v>6.12</v>
      </c>
      <c r="F220" s="25">
        <v>2.0</v>
      </c>
      <c r="G220" s="25">
        <v>0.0</v>
      </c>
      <c r="H220" s="25" t="s">
        <v>72</v>
      </c>
      <c r="I220" s="25">
        <v>1.0</v>
      </c>
      <c r="J220" s="25">
        <v>0.0</v>
      </c>
      <c r="K220" s="25" t="s">
        <v>103</v>
      </c>
      <c r="L220" s="29" t="s">
        <v>182</v>
      </c>
    </row>
    <row r="221" ht="15.75" customHeight="1">
      <c r="A221" s="18" t="s">
        <v>335</v>
      </c>
      <c r="B221" s="18" t="s">
        <v>182</v>
      </c>
      <c r="C221" s="11">
        <v>31.0</v>
      </c>
      <c r="D221" s="22">
        <v>6.0</v>
      </c>
      <c r="E221" s="22">
        <v>6.1</v>
      </c>
      <c r="F221" s="11">
        <v>1.0</v>
      </c>
      <c r="G221" s="11">
        <v>3.0</v>
      </c>
      <c r="H221" s="11" t="s">
        <v>72</v>
      </c>
      <c r="I221" s="11">
        <v>6.0</v>
      </c>
      <c r="J221" s="11">
        <v>0.0</v>
      </c>
      <c r="K221" s="11" t="s">
        <v>103</v>
      </c>
      <c r="L221" s="18" t="s">
        <v>182</v>
      </c>
    </row>
    <row r="222" ht="15.75" customHeight="1">
      <c r="A222" s="29" t="s">
        <v>789</v>
      </c>
      <c r="B222" s="29" t="s">
        <v>191</v>
      </c>
      <c r="C222" s="25">
        <v>31.0</v>
      </c>
      <c r="D222" s="32">
        <v>6.05</v>
      </c>
      <c r="E222" s="32">
        <v>6.1</v>
      </c>
      <c r="F222" s="25">
        <v>1.0</v>
      </c>
      <c r="G222" s="25">
        <v>0.0</v>
      </c>
      <c r="H222" s="25" t="s">
        <v>72</v>
      </c>
      <c r="I222" s="25">
        <v>3.0</v>
      </c>
      <c r="J222" s="25">
        <v>0.0</v>
      </c>
      <c r="K222" s="25" t="s">
        <v>103</v>
      </c>
      <c r="L222" s="29" t="s">
        <v>191</v>
      </c>
    </row>
    <row r="223" ht="15.75" customHeight="1">
      <c r="A223" s="18" t="s">
        <v>931</v>
      </c>
      <c r="B223" s="18" t="s">
        <v>177</v>
      </c>
      <c r="C223" s="11">
        <v>29.0</v>
      </c>
      <c r="D223" s="22">
        <v>5.97</v>
      </c>
      <c r="E223" s="22">
        <v>6.1</v>
      </c>
      <c r="F223" s="11">
        <v>1.0</v>
      </c>
      <c r="G223" s="11">
        <v>5.0</v>
      </c>
      <c r="H223" s="11" t="s">
        <v>202</v>
      </c>
      <c r="I223" s="11">
        <v>2.0</v>
      </c>
      <c r="J223" s="11">
        <v>0.0</v>
      </c>
      <c r="K223" s="11" t="s">
        <v>73</v>
      </c>
      <c r="L223" s="18" t="s">
        <v>71</v>
      </c>
    </row>
    <row r="224" ht="15.75" customHeight="1">
      <c r="A224" s="29" t="s">
        <v>932</v>
      </c>
      <c r="B224" s="29" t="s">
        <v>212</v>
      </c>
      <c r="C224" s="25">
        <v>26.0</v>
      </c>
      <c r="D224" s="32">
        <v>5.94</v>
      </c>
      <c r="E224" s="32">
        <v>6.1</v>
      </c>
      <c r="F224" s="25">
        <v>2.0</v>
      </c>
      <c r="G224" s="25">
        <v>0.0</v>
      </c>
      <c r="H224" s="25" t="s">
        <v>72</v>
      </c>
      <c r="I224" s="25">
        <v>4.0</v>
      </c>
      <c r="J224" s="25">
        <v>0.0</v>
      </c>
      <c r="K224" s="25" t="s">
        <v>73</v>
      </c>
      <c r="L224" s="29" t="s">
        <v>71</v>
      </c>
    </row>
    <row r="225" ht="15.75" customHeight="1">
      <c r="A225" s="18" t="s">
        <v>372</v>
      </c>
      <c r="B225" s="18" t="s">
        <v>133</v>
      </c>
      <c r="C225" s="11">
        <v>25.0</v>
      </c>
      <c r="D225" s="22">
        <v>6.14</v>
      </c>
      <c r="E225" s="22">
        <v>6.1</v>
      </c>
      <c r="F225" s="11">
        <v>1.0</v>
      </c>
      <c r="G225" s="11">
        <v>0.0</v>
      </c>
      <c r="H225" s="11" t="s">
        <v>72</v>
      </c>
      <c r="I225" s="11">
        <v>8.0</v>
      </c>
      <c r="J225" s="11">
        <v>0.0</v>
      </c>
      <c r="K225" s="11" t="s">
        <v>103</v>
      </c>
      <c r="L225" s="18" t="s">
        <v>283</v>
      </c>
    </row>
    <row r="226" ht="15.75" customHeight="1">
      <c r="A226" s="29" t="s">
        <v>933</v>
      </c>
      <c r="B226" s="29" t="s">
        <v>60</v>
      </c>
      <c r="C226" s="25">
        <v>21.0</v>
      </c>
      <c r="D226" s="32">
        <v>5.98</v>
      </c>
      <c r="E226" s="32">
        <v>6.1</v>
      </c>
      <c r="F226" s="25">
        <v>1.0</v>
      </c>
      <c r="G226" s="25">
        <v>2.0</v>
      </c>
      <c r="H226" s="25" t="s">
        <v>72</v>
      </c>
      <c r="I226" s="25">
        <v>5.0</v>
      </c>
      <c r="J226" s="25">
        <v>0.0</v>
      </c>
      <c r="K226" s="25" t="s">
        <v>73</v>
      </c>
      <c r="L226" s="29" t="s">
        <v>71</v>
      </c>
    </row>
    <row r="227" ht="15.75" customHeight="1">
      <c r="A227" s="18" t="s">
        <v>282</v>
      </c>
      <c r="B227" s="18" t="s">
        <v>283</v>
      </c>
      <c r="C227" s="11">
        <v>34.0</v>
      </c>
      <c r="D227" s="22">
        <v>6.06</v>
      </c>
      <c r="E227" s="22">
        <v>6.09</v>
      </c>
      <c r="F227" s="11">
        <v>0.0</v>
      </c>
      <c r="G227" s="11">
        <v>2.0</v>
      </c>
      <c r="H227" s="11" t="s">
        <v>72</v>
      </c>
      <c r="I227" s="11">
        <v>2.0</v>
      </c>
      <c r="J227" s="11">
        <v>0.0</v>
      </c>
      <c r="K227" s="11" t="s">
        <v>103</v>
      </c>
      <c r="L227" s="18" t="s">
        <v>283</v>
      </c>
    </row>
    <row r="228" ht="15.75" customHeight="1">
      <c r="A228" s="29" t="s">
        <v>420</v>
      </c>
      <c r="B228" s="29" t="s">
        <v>177</v>
      </c>
      <c r="C228" s="25">
        <v>27.0</v>
      </c>
      <c r="D228" s="32">
        <v>5.93</v>
      </c>
      <c r="E228" s="32">
        <v>6.09</v>
      </c>
      <c r="F228" s="25">
        <v>2.0</v>
      </c>
      <c r="G228" s="25">
        <v>1.0</v>
      </c>
      <c r="H228" s="25" t="s">
        <v>72</v>
      </c>
      <c r="I228" s="25">
        <v>3.0</v>
      </c>
      <c r="J228" s="25">
        <v>1.0</v>
      </c>
      <c r="K228" s="25" t="s">
        <v>103</v>
      </c>
      <c r="L228" s="29" t="s">
        <v>177</v>
      </c>
    </row>
    <row r="229" ht="15.75" customHeight="1">
      <c r="A229" s="18" t="s">
        <v>628</v>
      </c>
      <c r="B229" s="18" t="s">
        <v>239</v>
      </c>
      <c r="C229" s="11">
        <v>17.0</v>
      </c>
      <c r="D229" s="22">
        <v>5.82</v>
      </c>
      <c r="E229" s="22">
        <v>6.09</v>
      </c>
      <c r="F229" s="11">
        <v>2.0</v>
      </c>
      <c r="G229" s="11">
        <v>0.0</v>
      </c>
      <c r="H229" s="11" t="s">
        <v>72</v>
      </c>
      <c r="I229" s="11">
        <v>3.0</v>
      </c>
      <c r="J229" s="11">
        <v>0.0</v>
      </c>
      <c r="K229" s="11" t="s">
        <v>103</v>
      </c>
      <c r="L229" s="18" t="s">
        <v>239</v>
      </c>
    </row>
    <row r="230" ht="15.75" customHeight="1">
      <c r="A230" s="29" t="s">
        <v>547</v>
      </c>
      <c r="B230" s="29" t="s">
        <v>232</v>
      </c>
      <c r="C230" s="25">
        <v>17.0</v>
      </c>
      <c r="D230" s="32">
        <v>5.82</v>
      </c>
      <c r="E230" s="32">
        <v>6.09</v>
      </c>
      <c r="F230" s="25">
        <v>2.0</v>
      </c>
      <c r="G230" s="25">
        <v>0.0</v>
      </c>
      <c r="H230" s="25" t="s">
        <v>72</v>
      </c>
      <c r="I230" s="25">
        <v>3.0</v>
      </c>
      <c r="J230" s="25">
        <v>0.0</v>
      </c>
      <c r="K230" s="25" t="s">
        <v>103</v>
      </c>
      <c r="L230" s="29" t="s">
        <v>232</v>
      </c>
    </row>
    <row r="231" ht="15.75" customHeight="1">
      <c r="A231" s="18" t="s">
        <v>532</v>
      </c>
      <c r="B231" s="18" t="s">
        <v>143</v>
      </c>
      <c r="C231" s="11">
        <v>16.0</v>
      </c>
      <c r="D231" s="22">
        <v>5.94</v>
      </c>
      <c r="E231" s="22">
        <v>6.09</v>
      </c>
      <c r="F231" s="11">
        <v>1.0</v>
      </c>
      <c r="G231" s="11">
        <v>0.0</v>
      </c>
      <c r="H231" s="11" t="s">
        <v>72</v>
      </c>
      <c r="I231" s="11">
        <v>1.0</v>
      </c>
      <c r="J231" s="11">
        <v>0.0</v>
      </c>
      <c r="K231" s="11" t="s">
        <v>103</v>
      </c>
      <c r="L231" s="18" t="s">
        <v>143</v>
      </c>
    </row>
    <row r="232" ht="15.75" customHeight="1">
      <c r="A232" s="29" t="s">
        <v>935</v>
      </c>
      <c r="B232" s="29" t="s">
        <v>143</v>
      </c>
      <c r="C232" s="25">
        <v>16.0</v>
      </c>
      <c r="D232" s="32">
        <v>5.94</v>
      </c>
      <c r="E232" s="32">
        <v>6.09</v>
      </c>
      <c r="F232" s="25">
        <v>1.0</v>
      </c>
      <c r="G232" s="25">
        <v>0.0</v>
      </c>
      <c r="H232" s="25" t="s">
        <v>72</v>
      </c>
      <c r="I232" s="25">
        <v>1.0</v>
      </c>
      <c r="J232" s="25">
        <v>0.0</v>
      </c>
      <c r="K232" s="25" t="s">
        <v>103</v>
      </c>
      <c r="L232" s="29" t="s">
        <v>175</v>
      </c>
    </row>
    <row r="233" ht="15.75" customHeight="1">
      <c r="A233" s="18" t="s">
        <v>449</v>
      </c>
      <c r="B233" s="18" t="s">
        <v>93</v>
      </c>
      <c r="C233" s="11">
        <v>35.0</v>
      </c>
      <c r="D233" s="22">
        <v>6.01</v>
      </c>
      <c r="E233" s="22">
        <v>6.07</v>
      </c>
      <c r="F233" s="11">
        <v>1.0</v>
      </c>
      <c r="G233" s="11">
        <v>1.0</v>
      </c>
      <c r="H233" s="11" t="s">
        <v>72</v>
      </c>
      <c r="I233" s="11">
        <v>4.0</v>
      </c>
      <c r="J233" s="11">
        <v>0.0</v>
      </c>
      <c r="K233" s="11" t="s">
        <v>103</v>
      </c>
      <c r="L233" s="18" t="s">
        <v>93</v>
      </c>
    </row>
    <row r="234" ht="15.75" customHeight="1">
      <c r="A234" s="29" t="s">
        <v>793</v>
      </c>
      <c r="B234" s="29" t="s">
        <v>208</v>
      </c>
      <c r="C234" s="25">
        <v>30.0</v>
      </c>
      <c r="D234" s="32">
        <v>5.8</v>
      </c>
      <c r="E234" s="32">
        <v>6.07</v>
      </c>
      <c r="F234" s="25">
        <v>3.0</v>
      </c>
      <c r="G234" s="25">
        <v>0.0</v>
      </c>
      <c r="H234" s="25" t="s">
        <v>72</v>
      </c>
      <c r="I234" s="25">
        <v>2.0</v>
      </c>
      <c r="J234" s="25">
        <v>0.0</v>
      </c>
      <c r="K234" s="25" t="s">
        <v>103</v>
      </c>
      <c r="L234" s="29" t="s">
        <v>208</v>
      </c>
    </row>
    <row r="235" ht="15.75" customHeight="1">
      <c r="A235" s="18" t="s">
        <v>938</v>
      </c>
      <c r="B235" s="18" t="s">
        <v>361</v>
      </c>
      <c r="C235" s="11">
        <v>14.0</v>
      </c>
      <c r="D235" s="22">
        <v>5.96</v>
      </c>
      <c r="E235" s="22">
        <v>6.07</v>
      </c>
      <c r="F235" s="11">
        <v>0.0</v>
      </c>
      <c r="G235" s="11">
        <v>2.0</v>
      </c>
      <c r="H235" s="11" t="s">
        <v>72</v>
      </c>
      <c r="I235" s="11">
        <v>1.0</v>
      </c>
      <c r="J235" s="11">
        <v>0.0</v>
      </c>
      <c r="K235" s="11" t="s">
        <v>73</v>
      </c>
      <c r="L235" s="18" t="s">
        <v>71</v>
      </c>
    </row>
    <row r="236" ht="15.75" customHeight="1">
      <c r="A236" s="29" t="s">
        <v>843</v>
      </c>
      <c r="B236" s="29" t="s">
        <v>283</v>
      </c>
      <c r="C236" s="25">
        <v>36.0</v>
      </c>
      <c r="D236" s="32">
        <v>6.01</v>
      </c>
      <c r="E236" s="32">
        <v>6.06</v>
      </c>
      <c r="F236" s="25">
        <v>1.0</v>
      </c>
      <c r="G236" s="25">
        <v>1.0</v>
      </c>
      <c r="H236" s="25" t="s">
        <v>72</v>
      </c>
      <c r="I236" s="25">
        <v>1.0</v>
      </c>
      <c r="J236" s="25">
        <v>0.0</v>
      </c>
      <c r="K236" s="25" t="s">
        <v>103</v>
      </c>
      <c r="L236" s="29" t="s">
        <v>283</v>
      </c>
    </row>
    <row r="237" ht="15.75" customHeight="1">
      <c r="A237" s="18" t="s">
        <v>901</v>
      </c>
      <c r="B237" s="18" t="s">
        <v>175</v>
      </c>
      <c r="C237" s="11">
        <v>33.0</v>
      </c>
      <c r="D237" s="22">
        <v>5.85</v>
      </c>
      <c r="E237" s="22">
        <v>6.06</v>
      </c>
      <c r="F237" s="11">
        <v>2.0</v>
      </c>
      <c r="G237" s="11">
        <v>3.0</v>
      </c>
      <c r="H237" s="11" t="s">
        <v>72</v>
      </c>
      <c r="I237" s="11">
        <v>4.0</v>
      </c>
      <c r="J237" s="11">
        <v>0.0</v>
      </c>
      <c r="K237" s="11" t="s">
        <v>103</v>
      </c>
      <c r="L237" s="18" t="s">
        <v>175</v>
      </c>
    </row>
    <row r="238" ht="15.75" customHeight="1">
      <c r="A238" s="29" t="s">
        <v>874</v>
      </c>
      <c r="B238" s="29" t="s">
        <v>64</v>
      </c>
      <c r="C238" s="25">
        <v>27.0</v>
      </c>
      <c r="D238" s="32">
        <v>5.89</v>
      </c>
      <c r="E238" s="32">
        <v>6.06</v>
      </c>
      <c r="F238" s="25">
        <v>1.0</v>
      </c>
      <c r="G238" s="25">
        <v>2.0</v>
      </c>
      <c r="H238" s="25" t="s">
        <v>72</v>
      </c>
      <c r="I238" s="25">
        <v>1.0</v>
      </c>
      <c r="J238" s="25">
        <v>0.0</v>
      </c>
      <c r="K238" s="25" t="s">
        <v>103</v>
      </c>
      <c r="L238" s="29" t="s">
        <v>64</v>
      </c>
    </row>
    <row r="239" ht="15.75" customHeight="1">
      <c r="A239" s="18" t="s">
        <v>939</v>
      </c>
      <c r="B239" s="18" t="s">
        <v>283</v>
      </c>
      <c r="C239" s="11">
        <v>9.0</v>
      </c>
      <c r="D239" s="22">
        <v>5.94</v>
      </c>
      <c r="E239" s="22">
        <v>6.06</v>
      </c>
      <c r="F239" s="11">
        <v>0.0</v>
      </c>
      <c r="G239" s="11">
        <v>1.0</v>
      </c>
      <c r="H239" s="11" t="s">
        <v>72</v>
      </c>
      <c r="I239" s="11">
        <v>0.0</v>
      </c>
      <c r="J239" s="11">
        <v>0.0</v>
      </c>
      <c r="K239" s="11" t="s">
        <v>103</v>
      </c>
      <c r="L239" s="18" t="s">
        <v>283</v>
      </c>
    </row>
    <row r="240" ht="15.75" customHeight="1">
      <c r="A240" s="29" t="s">
        <v>940</v>
      </c>
      <c r="B240" s="29" t="s">
        <v>64</v>
      </c>
      <c r="C240" s="25">
        <v>8.0</v>
      </c>
      <c r="D240" s="32">
        <v>6.12</v>
      </c>
      <c r="E240" s="32">
        <v>6.06</v>
      </c>
      <c r="F240" s="25">
        <v>0.0</v>
      </c>
      <c r="G240" s="25">
        <v>0.0</v>
      </c>
      <c r="H240" s="25" t="s">
        <v>72</v>
      </c>
      <c r="I240" s="25">
        <v>1.0</v>
      </c>
      <c r="J240" s="25">
        <v>0.0</v>
      </c>
      <c r="K240" s="25" t="s">
        <v>73</v>
      </c>
      <c r="L240" s="29" t="s">
        <v>71</v>
      </c>
    </row>
    <row r="241" ht="15.75" customHeight="1">
      <c r="A241" s="18" t="s">
        <v>389</v>
      </c>
      <c r="B241" s="18" t="s">
        <v>175</v>
      </c>
      <c r="C241" s="11">
        <v>31.0</v>
      </c>
      <c r="D241" s="22">
        <v>5.97</v>
      </c>
      <c r="E241" s="22">
        <v>6.05</v>
      </c>
      <c r="F241" s="11">
        <v>2.0</v>
      </c>
      <c r="G241" s="11">
        <v>0.0</v>
      </c>
      <c r="H241" s="11" t="s">
        <v>72</v>
      </c>
      <c r="I241" s="11">
        <v>3.0</v>
      </c>
      <c r="J241" s="11">
        <v>0.0</v>
      </c>
      <c r="K241" s="11" t="s">
        <v>103</v>
      </c>
      <c r="L241" s="18" t="s">
        <v>175</v>
      </c>
    </row>
    <row r="242" ht="15.75" customHeight="1">
      <c r="A242" s="29" t="s">
        <v>942</v>
      </c>
      <c r="B242" s="29" t="s">
        <v>208</v>
      </c>
      <c r="C242" s="25">
        <v>22.0</v>
      </c>
      <c r="D242" s="32">
        <v>5.8</v>
      </c>
      <c r="E242" s="32">
        <v>6.05</v>
      </c>
      <c r="F242" s="25">
        <v>2.0</v>
      </c>
      <c r="G242" s="25">
        <v>0.0</v>
      </c>
      <c r="H242" s="25" t="s">
        <v>72</v>
      </c>
      <c r="I242" s="25">
        <v>2.0</v>
      </c>
      <c r="J242" s="25">
        <v>0.0</v>
      </c>
      <c r="K242" s="25" t="s">
        <v>103</v>
      </c>
      <c r="L242" s="29" t="s">
        <v>283</v>
      </c>
    </row>
    <row r="243" ht="15.75" customHeight="1">
      <c r="A243" s="18" t="s">
        <v>943</v>
      </c>
      <c r="B243" s="18" t="s">
        <v>734</v>
      </c>
      <c r="C243" s="11">
        <v>11.0</v>
      </c>
      <c r="D243" s="22">
        <v>5.77</v>
      </c>
      <c r="E243" s="22">
        <v>6.05</v>
      </c>
      <c r="F243" s="11">
        <v>1.0</v>
      </c>
      <c r="G243" s="11">
        <v>0.0</v>
      </c>
      <c r="H243" s="11" t="s">
        <v>72</v>
      </c>
      <c r="I243" s="11">
        <v>0.0</v>
      </c>
      <c r="J243" s="11">
        <v>0.0</v>
      </c>
      <c r="K243" s="11" t="s">
        <v>73</v>
      </c>
      <c r="L243" s="18" t="s">
        <v>71</v>
      </c>
    </row>
    <row r="244" ht="15.75" customHeight="1">
      <c r="A244" s="29" t="s">
        <v>945</v>
      </c>
      <c r="B244" s="29" t="s">
        <v>182</v>
      </c>
      <c r="C244" s="25">
        <v>28.0</v>
      </c>
      <c r="D244" s="32">
        <v>6.02</v>
      </c>
      <c r="E244" s="32">
        <v>6.04</v>
      </c>
      <c r="F244" s="25">
        <v>1.0</v>
      </c>
      <c r="G244" s="25">
        <v>2.0</v>
      </c>
      <c r="H244" s="25" t="s">
        <v>72</v>
      </c>
      <c r="I244" s="25">
        <v>5.0</v>
      </c>
      <c r="J244" s="25">
        <v>0.0</v>
      </c>
      <c r="K244" s="25" t="s">
        <v>73</v>
      </c>
      <c r="L244" s="29" t="s">
        <v>71</v>
      </c>
    </row>
    <row r="245" ht="15.75" customHeight="1">
      <c r="A245" s="18" t="s">
        <v>946</v>
      </c>
      <c r="B245" s="18" t="s">
        <v>182</v>
      </c>
      <c r="C245" s="11">
        <v>12.0</v>
      </c>
      <c r="D245" s="22">
        <v>5.83</v>
      </c>
      <c r="E245" s="22">
        <v>6.04</v>
      </c>
      <c r="F245" s="11">
        <v>0.0</v>
      </c>
      <c r="G245" s="11">
        <v>3.0</v>
      </c>
      <c r="H245" s="11" t="s">
        <v>72</v>
      </c>
      <c r="I245" s="11">
        <v>1.0</v>
      </c>
      <c r="J245" s="11">
        <v>0.0</v>
      </c>
      <c r="K245" s="11" t="s">
        <v>103</v>
      </c>
      <c r="L245" s="18" t="s">
        <v>253</v>
      </c>
    </row>
    <row r="246" ht="15.75" customHeight="1">
      <c r="A246" s="29" t="s">
        <v>410</v>
      </c>
      <c r="B246" s="29" t="s">
        <v>208</v>
      </c>
      <c r="C246" s="25">
        <v>36.0</v>
      </c>
      <c r="D246" s="32">
        <v>5.99</v>
      </c>
      <c r="E246" s="32">
        <v>6.03</v>
      </c>
      <c r="F246" s="25">
        <v>1.0</v>
      </c>
      <c r="G246" s="25">
        <v>2.0</v>
      </c>
      <c r="H246" s="25" t="s">
        <v>72</v>
      </c>
      <c r="I246" s="25">
        <v>7.0</v>
      </c>
      <c r="J246" s="25">
        <v>0.0</v>
      </c>
      <c r="K246" s="25" t="s">
        <v>103</v>
      </c>
      <c r="L246" s="29" t="s">
        <v>208</v>
      </c>
    </row>
    <row r="247" ht="15.75" customHeight="1">
      <c r="A247" s="18" t="s">
        <v>672</v>
      </c>
      <c r="B247" s="18" t="s">
        <v>283</v>
      </c>
      <c r="C247" s="11">
        <v>23.0</v>
      </c>
      <c r="D247" s="22">
        <v>5.89</v>
      </c>
      <c r="E247" s="22">
        <v>6.02</v>
      </c>
      <c r="F247" s="11">
        <v>0.0</v>
      </c>
      <c r="G247" s="11">
        <v>4.0</v>
      </c>
      <c r="H247" s="11" t="s">
        <v>72</v>
      </c>
      <c r="I247" s="11">
        <v>4.0</v>
      </c>
      <c r="J247" s="11">
        <v>0.0</v>
      </c>
      <c r="K247" s="11" t="s">
        <v>103</v>
      </c>
      <c r="L247" s="18" t="s">
        <v>283</v>
      </c>
    </row>
    <row r="248" ht="15.75" customHeight="1">
      <c r="A248" s="29" t="s">
        <v>415</v>
      </c>
      <c r="B248" s="29" t="s">
        <v>232</v>
      </c>
      <c r="C248" s="25">
        <v>36.0</v>
      </c>
      <c r="D248" s="32">
        <v>6.0</v>
      </c>
      <c r="E248" s="32">
        <v>6.01</v>
      </c>
      <c r="F248" s="25">
        <v>2.0</v>
      </c>
      <c r="G248" s="25">
        <v>0.0</v>
      </c>
      <c r="H248" s="25" t="s">
        <v>72</v>
      </c>
      <c r="I248" s="25">
        <v>7.0</v>
      </c>
      <c r="J248" s="25">
        <v>0.0</v>
      </c>
      <c r="K248" s="25" t="s">
        <v>103</v>
      </c>
      <c r="L248" s="29" t="s">
        <v>232</v>
      </c>
    </row>
    <row r="249" ht="15.75" customHeight="1">
      <c r="A249" s="18" t="s">
        <v>405</v>
      </c>
      <c r="B249" s="18" t="s">
        <v>283</v>
      </c>
      <c r="C249" s="11">
        <v>35.0</v>
      </c>
      <c r="D249" s="22">
        <v>5.91</v>
      </c>
      <c r="E249" s="22">
        <v>6.01</v>
      </c>
      <c r="F249" s="11">
        <v>2.0</v>
      </c>
      <c r="G249" s="11">
        <v>0.0</v>
      </c>
      <c r="H249" s="11" t="s">
        <v>72</v>
      </c>
      <c r="I249" s="11">
        <v>5.0</v>
      </c>
      <c r="J249" s="11">
        <v>0.0</v>
      </c>
      <c r="K249" s="11" t="s">
        <v>103</v>
      </c>
      <c r="L249" s="18" t="s">
        <v>283</v>
      </c>
    </row>
    <row r="250" ht="15.75" customHeight="1">
      <c r="A250" s="29" t="s">
        <v>948</v>
      </c>
      <c r="B250" s="29" t="s">
        <v>143</v>
      </c>
      <c r="C250" s="25">
        <v>34.0</v>
      </c>
      <c r="D250" s="32">
        <v>5.97</v>
      </c>
      <c r="E250" s="32">
        <v>6.0</v>
      </c>
      <c r="F250" s="25">
        <v>1.0</v>
      </c>
      <c r="G250" s="25">
        <v>2.0</v>
      </c>
      <c r="H250" s="25" t="s">
        <v>72</v>
      </c>
      <c r="I250" s="25">
        <v>6.0</v>
      </c>
      <c r="J250" s="25">
        <v>1.0</v>
      </c>
      <c r="K250" s="25" t="s">
        <v>103</v>
      </c>
      <c r="L250" s="29" t="s">
        <v>60</v>
      </c>
    </row>
    <row r="251" ht="15.75" customHeight="1">
      <c r="A251" s="18" t="s">
        <v>949</v>
      </c>
      <c r="B251" s="18" t="s">
        <v>361</v>
      </c>
      <c r="C251" s="11">
        <v>31.0</v>
      </c>
      <c r="D251" s="22">
        <v>5.87</v>
      </c>
      <c r="E251" s="22">
        <v>6.0</v>
      </c>
      <c r="F251" s="11">
        <v>1.0</v>
      </c>
      <c r="G251" s="11">
        <v>2.0</v>
      </c>
      <c r="H251" s="11" t="s">
        <v>72</v>
      </c>
      <c r="I251" s="11">
        <v>2.0</v>
      </c>
      <c r="J251" s="11">
        <v>0.0</v>
      </c>
      <c r="K251" s="11" t="s">
        <v>73</v>
      </c>
      <c r="L251" s="18" t="s">
        <v>71</v>
      </c>
    </row>
    <row r="252" ht="15.75" customHeight="1">
      <c r="A252" s="29" t="s">
        <v>951</v>
      </c>
      <c r="B252" s="29" t="s">
        <v>852</v>
      </c>
      <c r="C252" s="25">
        <v>25.0</v>
      </c>
      <c r="D252" s="32">
        <v>5.72</v>
      </c>
      <c r="E252" s="32">
        <v>6.0</v>
      </c>
      <c r="F252" s="25">
        <v>2.0</v>
      </c>
      <c r="G252" s="25">
        <v>2.0</v>
      </c>
      <c r="H252" s="25" t="s">
        <v>188</v>
      </c>
      <c r="I252" s="25">
        <v>3.0</v>
      </c>
      <c r="J252" s="25">
        <v>0.0</v>
      </c>
      <c r="K252" s="25" t="s">
        <v>73</v>
      </c>
      <c r="L252" s="29" t="s">
        <v>71</v>
      </c>
    </row>
    <row r="253" ht="15.75" customHeight="1">
      <c r="A253" s="18" t="s">
        <v>561</v>
      </c>
      <c r="B253" s="18" t="s">
        <v>212</v>
      </c>
      <c r="C253" s="11">
        <v>17.0</v>
      </c>
      <c r="D253" s="22">
        <v>5.82</v>
      </c>
      <c r="E253" s="22">
        <v>6.0</v>
      </c>
      <c r="F253" s="11">
        <v>1.0</v>
      </c>
      <c r="G253" s="11">
        <v>1.0</v>
      </c>
      <c r="H253" s="11" t="s">
        <v>72</v>
      </c>
      <c r="I253" s="11">
        <v>2.0</v>
      </c>
      <c r="J253" s="11">
        <v>0.0</v>
      </c>
      <c r="K253" s="11" t="s">
        <v>103</v>
      </c>
      <c r="L253" s="18" t="s">
        <v>272</v>
      </c>
    </row>
    <row r="254" ht="15.75" customHeight="1">
      <c r="A254" s="29" t="s">
        <v>952</v>
      </c>
      <c r="B254" s="29" t="s">
        <v>212</v>
      </c>
      <c r="C254" s="25">
        <v>17.0</v>
      </c>
      <c r="D254" s="32">
        <v>5.82</v>
      </c>
      <c r="E254" s="32">
        <v>6.0</v>
      </c>
      <c r="F254" s="25">
        <v>1.0</v>
      </c>
      <c r="G254" s="25">
        <v>2.0</v>
      </c>
      <c r="H254" s="25" t="s">
        <v>72</v>
      </c>
      <c r="I254" s="25">
        <v>2.0</v>
      </c>
      <c r="J254" s="25">
        <v>1.0</v>
      </c>
      <c r="K254" s="25" t="s">
        <v>103</v>
      </c>
      <c r="L254" s="29" t="s">
        <v>212</v>
      </c>
    </row>
    <row r="255" ht="15.75" customHeight="1">
      <c r="A255" s="18" t="s">
        <v>613</v>
      </c>
      <c r="B255" s="18" t="s">
        <v>182</v>
      </c>
      <c r="C255" s="11">
        <v>14.0</v>
      </c>
      <c r="D255" s="22">
        <v>5.79</v>
      </c>
      <c r="E255" s="22">
        <v>6.0</v>
      </c>
      <c r="F255" s="11">
        <v>1.0</v>
      </c>
      <c r="G255" s="11">
        <v>1.0</v>
      </c>
      <c r="H255" s="11" t="s">
        <v>72</v>
      </c>
      <c r="I255" s="11">
        <v>2.0</v>
      </c>
      <c r="J255" s="11">
        <v>0.0</v>
      </c>
      <c r="K255" s="11" t="s">
        <v>103</v>
      </c>
      <c r="L255" s="18" t="s">
        <v>208</v>
      </c>
    </row>
    <row r="256" ht="15.75" customHeight="1">
      <c r="A256" s="29" t="s">
        <v>953</v>
      </c>
      <c r="B256" s="29" t="s">
        <v>93</v>
      </c>
      <c r="C256" s="25">
        <v>14.0</v>
      </c>
      <c r="D256" s="32">
        <v>5.79</v>
      </c>
      <c r="E256" s="32">
        <v>6.0</v>
      </c>
      <c r="F256" s="25">
        <v>1.0</v>
      </c>
      <c r="G256" s="25">
        <v>0.0</v>
      </c>
      <c r="H256" s="25" t="s">
        <v>72</v>
      </c>
      <c r="I256" s="25">
        <v>0.0</v>
      </c>
      <c r="J256" s="25">
        <v>0.0</v>
      </c>
      <c r="K256" s="25" t="s">
        <v>73</v>
      </c>
      <c r="L256" s="29" t="s">
        <v>71</v>
      </c>
    </row>
    <row r="257" ht="15.75" customHeight="1">
      <c r="A257" s="18" t="s">
        <v>955</v>
      </c>
      <c r="B257" s="18" t="s">
        <v>852</v>
      </c>
      <c r="C257" s="11">
        <v>10.0</v>
      </c>
      <c r="D257" s="22">
        <v>5.7</v>
      </c>
      <c r="E257" s="22">
        <v>6.0</v>
      </c>
      <c r="F257" s="11">
        <v>1.0</v>
      </c>
      <c r="G257" s="11">
        <v>1.0</v>
      </c>
      <c r="H257" s="11" t="s">
        <v>72</v>
      </c>
      <c r="I257" s="11">
        <v>1.0</v>
      </c>
      <c r="J257" s="11">
        <v>1.0</v>
      </c>
      <c r="K257" s="11" t="s">
        <v>73</v>
      </c>
      <c r="L257" s="18" t="s">
        <v>71</v>
      </c>
    </row>
    <row r="258" ht="15.75" customHeight="1">
      <c r="A258" s="29" t="s">
        <v>594</v>
      </c>
      <c r="B258" s="29" t="s">
        <v>191</v>
      </c>
      <c r="C258" s="25">
        <v>9.0</v>
      </c>
      <c r="D258" s="32">
        <v>5.72</v>
      </c>
      <c r="E258" s="32">
        <v>6.0</v>
      </c>
      <c r="F258" s="25">
        <v>1.0</v>
      </c>
      <c r="G258" s="25">
        <v>0.0</v>
      </c>
      <c r="H258" s="25" t="s">
        <v>72</v>
      </c>
      <c r="I258" s="25">
        <v>1.0</v>
      </c>
      <c r="J258" s="25">
        <v>0.0</v>
      </c>
      <c r="K258" s="25" t="s">
        <v>103</v>
      </c>
      <c r="L258" s="29" t="s">
        <v>191</v>
      </c>
    </row>
    <row r="259" ht="15.75" customHeight="1">
      <c r="A259" s="18" t="s">
        <v>956</v>
      </c>
      <c r="B259" s="18" t="s">
        <v>734</v>
      </c>
      <c r="C259" s="11">
        <v>9.0</v>
      </c>
      <c r="D259" s="22">
        <v>6.0</v>
      </c>
      <c r="E259" s="22">
        <v>6.0</v>
      </c>
      <c r="F259" s="11">
        <v>0.0</v>
      </c>
      <c r="G259" s="11">
        <v>1.0</v>
      </c>
      <c r="H259" s="11" t="s">
        <v>72</v>
      </c>
      <c r="I259" s="11">
        <v>2.0</v>
      </c>
      <c r="J259" s="11">
        <v>0.0</v>
      </c>
      <c r="K259" s="11" t="s">
        <v>73</v>
      </c>
      <c r="L259" s="18" t="s">
        <v>71</v>
      </c>
    </row>
    <row r="260" ht="15.75" customHeight="1">
      <c r="A260" s="29" t="s">
        <v>957</v>
      </c>
      <c r="B260" s="29" t="s">
        <v>64</v>
      </c>
      <c r="C260" s="25">
        <v>5.0</v>
      </c>
      <c r="D260" s="32">
        <v>6.0</v>
      </c>
      <c r="E260" s="32">
        <v>6.0</v>
      </c>
      <c r="F260" s="25">
        <v>0.0</v>
      </c>
      <c r="G260" s="25">
        <v>0.0</v>
      </c>
      <c r="H260" s="25" t="s">
        <v>72</v>
      </c>
      <c r="I260" s="25">
        <v>0.0</v>
      </c>
      <c r="J260" s="25">
        <v>0.0</v>
      </c>
      <c r="K260" s="25" t="s">
        <v>73</v>
      </c>
      <c r="L260" s="29" t="s">
        <v>71</v>
      </c>
    </row>
    <row r="261" ht="15.75" customHeight="1">
      <c r="A261" s="18" t="s">
        <v>959</v>
      </c>
      <c r="B261" s="18" t="s">
        <v>232</v>
      </c>
      <c r="C261" s="11">
        <v>4.0</v>
      </c>
      <c r="D261" s="22">
        <v>5.75</v>
      </c>
      <c r="E261" s="22">
        <v>6.0</v>
      </c>
      <c r="F261" s="11">
        <v>0.0</v>
      </c>
      <c r="G261" s="11">
        <v>1.0</v>
      </c>
      <c r="H261" s="11" t="s">
        <v>72</v>
      </c>
      <c r="I261" s="11">
        <v>0.0</v>
      </c>
      <c r="J261" s="11">
        <v>0.0</v>
      </c>
      <c r="K261" s="11" t="s">
        <v>73</v>
      </c>
      <c r="L261" s="18" t="s">
        <v>71</v>
      </c>
    </row>
    <row r="262" ht="15.75" customHeight="1">
      <c r="A262" s="29" t="s">
        <v>960</v>
      </c>
      <c r="B262" s="29" t="s">
        <v>60</v>
      </c>
      <c r="C262" s="25">
        <v>3.0</v>
      </c>
      <c r="D262" s="32">
        <v>5.83</v>
      </c>
      <c r="E262" s="32">
        <v>6.0</v>
      </c>
      <c r="F262" s="25">
        <v>0.0</v>
      </c>
      <c r="G262" s="25">
        <v>1.0</v>
      </c>
      <c r="H262" s="25" t="s">
        <v>72</v>
      </c>
      <c r="I262" s="25">
        <v>1.0</v>
      </c>
      <c r="J262" s="25">
        <v>0.0</v>
      </c>
      <c r="K262" s="25" t="s">
        <v>73</v>
      </c>
      <c r="L262" s="29" t="s">
        <v>71</v>
      </c>
    </row>
    <row r="263" ht="15.75" customHeight="1">
      <c r="A263" s="18" t="s">
        <v>664</v>
      </c>
      <c r="B263" s="18" t="s">
        <v>93</v>
      </c>
      <c r="C263" s="11">
        <v>2.0</v>
      </c>
      <c r="D263" s="22">
        <v>6.0</v>
      </c>
      <c r="E263" s="22">
        <v>6.0</v>
      </c>
      <c r="F263" s="11">
        <v>0.0</v>
      </c>
      <c r="G263" s="11">
        <v>0.0</v>
      </c>
      <c r="H263" s="11" t="s">
        <v>72</v>
      </c>
      <c r="I263" s="11">
        <v>0.0</v>
      </c>
      <c r="J263" s="11">
        <v>0.0</v>
      </c>
      <c r="K263" s="11" t="s">
        <v>103</v>
      </c>
      <c r="L263" s="18" t="s">
        <v>93</v>
      </c>
    </row>
    <row r="264" ht="15.75" customHeight="1">
      <c r="A264" s="29" t="s">
        <v>327</v>
      </c>
      <c r="B264" s="29" t="s">
        <v>175</v>
      </c>
      <c r="C264" s="25">
        <v>2.0</v>
      </c>
      <c r="D264" s="32">
        <v>6.0</v>
      </c>
      <c r="E264" s="32">
        <v>6.0</v>
      </c>
      <c r="F264" s="25">
        <v>0.0</v>
      </c>
      <c r="G264" s="25">
        <v>0.0</v>
      </c>
      <c r="H264" s="25" t="s">
        <v>72</v>
      </c>
      <c r="I264" s="25">
        <v>0.0</v>
      </c>
      <c r="J264" s="25">
        <v>0.0</v>
      </c>
      <c r="K264" s="25" t="s">
        <v>103</v>
      </c>
      <c r="L264" s="29" t="s">
        <v>175</v>
      </c>
    </row>
    <row r="265" ht="15.75" customHeight="1">
      <c r="A265" s="18" t="s">
        <v>961</v>
      </c>
      <c r="B265" s="18" t="s">
        <v>177</v>
      </c>
      <c r="C265" s="11">
        <v>2.0</v>
      </c>
      <c r="D265" s="22">
        <v>6.0</v>
      </c>
      <c r="E265" s="22">
        <v>6.0</v>
      </c>
      <c r="F265" s="11">
        <v>0.0</v>
      </c>
      <c r="G265" s="11">
        <v>0.0</v>
      </c>
      <c r="H265" s="11" t="s">
        <v>72</v>
      </c>
      <c r="I265" s="11">
        <v>0.0</v>
      </c>
      <c r="J265" s="11">
        <v>0.0</v>
      </c>
      <c r="K265" s="11" t="s">
        <v>73</v>
      </c>
      <c r="L265" s="18" t="s">
        <v>71</v>
      </c>
    </row>
    <row r="266" ht="15.75" customHeight="1">
      <c r="A266" s="29" t="s">
        <v>962</v>
      </c>
      <c r="B266" s="29" t="s">
        <v>239</v>
      </c>
      <c r="C266" s="25">
        <v>2.0</v>
      </c>
      <c r="D266" s="32">
        <v>6.0</v>
      </c>
      <c r="E266" s="32">
        <v>6.0</v>
      </c>
      <c r="F266" s="25">
        <v>0.0</v>
      </c>
      <c r="G266" s="25">
        <v>0.0</v>
      </c>
      <c r="H266" s="25" t="s">
        <v>72</v>
      </c>
      <c r="I266" s="25">
        <v>0.0</v>
      </c>
      <c r="J266" s="25">
        <v>0.0</v>
      </c>
      <c r="K266" s="25" t="s">
        <v>73</v>
      </c>
      <c r="L266" s="29" t="s">
        <v>71</v>
      </c>
    </row>
    <row r="267" ht="15.75" customHeight="1">
      <c r="A267" s="18" t="s">
        <v>963</v>
      </c>
      <c r="B267" s="18" t="s">
        <v>283</v>
      </c>
      <c r="C267" s="11">
        <v>2.0</v>
      </c>
      <c r="D267" s="22">
        <v>6.0</v>
      </c>
      <c r="E267" s="22">
        <v>6.0</v>
      </c>
      <c r="F267" s="11">
        <v>0.0</v>
      </c>
      <c r="G267" s="11">
        <v>0.0</v>
      </c>
      <c r="H267" s="11" t="s">
        <v>72</v>
      </c>
      <c r="I267" s="11">
        <v>0.0</v>
      </c>
      <c r="J267" s="11">
        <v>0.0</v>
      </c>
      <c r="K267" s="11" t="s">
        <v>103</v>
      </c>
      <c r="L267" s="18" t="s">
        <v>283</v>
      </c>
    </row>
    <row r="268" ht="15.75" customHeight="1">
      <c r="A268" s="29" t="s">
        <v>964</v>
      </c>
      <c r="B268" s="29" t="s">
        <v>232</v>
      </c>
      <c r="C268" s="25">
        <v>1.0</v>
      </c>
      <c r="D268" s="32">
        <v>6.0</v>
      </c>
      <c r="E268" s="32">
        <v>6.0</v>
      </c>
      <c r="F268" s="25">
        <v>0.0</v>
      </c>
      <c r="G268" s="25">
        <v>0.0</v>
      </c>
      <c r="H268" s="25" t="s">
        <v>72</v>
      </c>
      <c r="I268" s="25">
        <v>0.0</v>
      </c>
      <c r="J268" s="25">
        <v>0.0</v>
      </c>
      <c r="K268" s="25" t="s">
        <v>73</v>
      </c>
      <c r="L268" s="29" t="s">
        <v>71</v>
      </c>
    </row>
    <row r="269" ht="15.75" customHeight="1">
      <c r="A269" s="18" t="s">
        <v>966</v>
      </c>
      <c r="B269" s="18" t="s">
        <v>361</v>
      </c>
      <c r="C269" s="11">
        <v>1.0</v>
      </c>
      <c r="D269" s="22">
        <v>6.0</v>
      </c>
      <c r="E269" s="22">
        <v>6.0</v>
      </c>
      <c r="F269" s="11">
        <v>0.0</v>
      </c>
      <c r="G269" s="11">
        <v>0.0</v>
      </c>
      <c r="H269" s="11" t="s">
        <v>72</v>
      </c>
      <c r="I269" s="11">
        <v>0.0</v>
      </c>
      <c r="J269" s="11">
        <v>0.0</v>
      </c>
      <c r="K269" s="11" t="s">
        <v>73</v>
      </c>
      <c r="L269" s="18" t="s">
        <v>71</v>
      </c>
    </row>
    <row r="270" ht="15.75" customHeight="1">
      <c r="A270" s="29" t="s">
        <v>968</v>
      </c>
      <c r="B270" s="29" t="s">
        <v>208</v>
      </c>
      <c r="C270" s="25">
        <v>1.0</v>
      </c>
      <c r="D270" s="32">
        <v>6.0</v>
      </c>
      <c r="E270" s="32">
        <v>6.0</v>
      </c>
      <c r="F270" s="25">
        <v>0.0</v>
      </c>
      <c r="G270" s="25">
        <v>0.0</v>
      </c>
      <c r="H270" s="25" t="s">
        <v>72</v>
      </c>
      <c r="I270" s="25">
        <v>0.0</v>
      </c>
      <c r="J270" s="25">
        <v>0.0</v>
      </c>
      <c r="K270" s="25" t="s">
        <v>73</v>
      </c>
      <c r="L270" s="29" t="s">
        <v>71</v>
      </c>
    </row>
    <row r="271" ht="15.75" customHeight="1">
      <c r="A271" s="18" t="s">
        <v>809</v>
      </c>
      <c r="B271" s="18" t="s">
        <v>208</v>
      </c>
      <c r="C271" s="11">
        <v>1.0</v>
      </c>
      <c r="D271" s="22">
        <v>6.0</v>
      </c>
      <c r="E271" s="22">
        <v>6.0</v>
      </c>
      <c r="F271" s="11">
        <v>0.0</v>
      </c>
      <c r="G271" s="11">
        <v>0.0</v>
      </c>
      <c r="H271" s="11" t="s">
        <v>72</v>
      </c>
      <c r="I271" s="11">
        <v>0.0</v>
      </c>
      <c r="J271" s="11">
        <v>0.0</v>
      </c>
      <c r="K271" s="11" t="s">
        <v>103</v>
      </c>
      <c r="L271" s="18" t="s">
        <v>272</v>
      </c>
    </row>
    <row r="272" ht="15.75" customHeight="1">
      <c r="A272" s="29" t="s">
        <v>969</v>
      </c>
      <c r="B272" s="29" t="s">
        <v>208</v>
      </c>
      <c r="C272" s="25">
        <v>1.0</v>
      </c>
      <c r="D272" s="32">
        <v>6.0</v>
      </c>
      <c r="E272" s="32">
        <v>6.0</v>
      </c>
      <c r="F272" s="25">
        <v>0.0</v>
      </c>
      <c r="G272" s="25">
        <v>0.0</v>
      </c>
      <c r="H272" s="25" t="s">
        <v>72</v>
      </c>
      <c r="I272" s="25">
        <v>0.0</v>
      </c>
      <c r="J272" s="25">
        <v>0.0</v>
      </c>
      <c r="K272" s="25" t="s">
        <v>73</v>
      </c>
      <c r="L272" s="29" t="s">
        <v>71</v>
      </c>
    </row>
    <row r="273" ht="15.75" customHeight="1">
      <c r="A273" s="18" t="s">
        <v>970</v>
      </c>
      <c r="B273" s="18" t="s">
        <v>283</v>
      </c>
      <c r="C273" s="11">
        <v>1.0</v>
      </c>
      <c r="D273" s="22">
        <v>6.0</v>
      </c>
      <c r="E273" s="22">
        <v>6.0</v>
      </c>
      <c r="F273" s="11">
        <v>0.0</v>
      </c>
      <c r="G273" s="11">
        <v>0.0</v>
      </c>
      <c r="H273" s="11" t="s">
        <v>72</v>
      </c>
      <c r="I273" s="11">
        <v>0.0</v>
      </c>
      <c r="J273" s="11">
        <v>0.0</v>
      </c>
      <c r="K273" s="11" t="s">
        <v>103</v>
      </c>
      <c r="L273" s="18" t="s">
        <v>283</v>
      </c>
    </row>
    <row r="274" ht="15.75" customHeight="1">
      <c r="A274" s="29" t="s">
        <v>971</v>
      </c>
      <c r="B274" s="29" t="s">
        <v>60</v>
      </c>
      <c r="C274" s="25">
        <v>1.0</v>
      </c>
      <c r="D274" s="32">
        <v>6.0</v>
      </c>
      <c r="E274" s="32">
        <v>6.0</v>
      </c>
      <c r="F274" s="25">
        <v>0.0</v>
      </c>
      <c r="G274" s="25">
        <v>0.0</v>
      </c>
      <c r="H274" s="25" t="s">
        <v>72</v>
      </c>
      <c r="I274" s="25">
        <v>0.0</v>
      </c>
      <c r="J274" s="25">
        <v>0.0</v>
      </c>
      <c r="K274" s="25" t="s">
        <v>73</v>
      </c>
      <c r="L274" s="29" t="s">
        <v>71</v>
      </c>
    </row>
    <row r="275" ht="15.75" customHeight="1">
      <c r="A275" s="18" t="s">
        <v>972</v>
      </c>
      <c r="B275" s="18" t="s">
        <v>361</v>
      </c>
      <c r="C275" s="11">
        <v>1.0</v>
      </c>
      <c r="D275" s="22">
        <v>6.0</v>
      </c>
      <c r="E275" s="22">
        <v>6.0</v>
      </c>
      <c r="F275" s="11">
        <v>0.0</v>
      </c>
      <c r="G275" s="11">
        <v>0.0</v>
      </c>
      <c r="H275" s="11" t="s">
        <v>72</v>
      </c>
      <c r="I275" s="11">
        <v>0.0</v>
      </c>
      <c r="J275" s="11">
        <v>0.0</v>
      </c>
      <c r="K275" s="11" t="s">
        <v>73</v>
      </c>
      <c r="L275" s="18" t="s">
        <v>71</v>
      </c>
    </row>
    <row r="276" ht="15.75" customHeight="1">
      <c r="A276" s="29" t="s">
        <v>973</v>
      </c>
      <c r="B276" s="29" t="s">
        <v>283</v>
      </c>
      <c r="C276" s="25">
        <v>1.0</v>
      </c>
      <c r="D276" s="32">
        <v>6.0</v>
      </c>
      <c r="E276" s="32">
        <v>6.0</v>
      </c>
      <c r="F276" s="25">
        <v>0.0</v>
      </c>
      <c r="G276" s="25">
        <v>0.0</v>
      </c>
      <c r="H276" s="25" t="s">
        <v>72</v>
      </c>
      <c r="I276" s="25">
        <v>0.0</v>
      </c>
      <c r="J276" s="25">
        <v>0.0</v>
      </c>
      <c r="K276" s="25" t="s">
        <v>73</v>
      </c>
      <c r="L276" s="29" t="s">
        <v>71</v>
      </c>
    </row>
    <row r="277" ht="15.75" customHeight="1">
      <c r="A277" s="18" t="s">
        <v>485</v>
      </c>
      <c r="B277" s="18" t="s">
        <v>232</v>
      </c>
      <c r="C277" s="11">
        <v>37.0</v>
      </c>
      <c r="D277" s="22">
        <v>5.95</v>
      </c>
      <c r="E277" s="22">
        <v>5.99</v>
      </c>
      <c r="F277" s="11">
        <v>0.0</v>
      </c>
      <c r="G277" s="11">
        <v>3.0</v>
      </c>
      <c r="H277" s="11" t="s">
        <v>72</v>
      </c>
      <c r="I277" s="11">
        <v>3.0</v>
      </c>
      <c r="J277" s="11">
        <v>0.0</v>
      </c>
      <c r="K277" s="11" t="s">
        <v>103</v>
      </c>
      <c r="L277" s="18" t="s">
        <v>232</v>
      </c>
    </row>
    <row r="278" ht="15.75" customHeight="1">
      <c r="A278" s="29" t="s">
        <v>442</v>
      </c>
      <c r="B278" s="29" t="s">
        <v>93</v>
      </c>
      <c r="C278" s="25">
        <v>36.0</v>
      </c>
      <c r="D278" s="32">
        <v>5.81</v>
      </c>
      <c r="E278" s="32">
        <v>5.99</v>
      </c>
      <c r="F278" s="25">
        <v>3.0</v>
      </c>
      <c r="G278" s="25">
        <v>4.0</v>
      </c>
      <c r="H278" s="25" t="s">
        <v>72</v>
      </c>
      <c r="I278" s="25">
        <v>3.0</v>
      </c>
      <c r="J278" s="25">
        <v>1.0</v>
      </c>
      <c r="K278" s="25" t="s">
        <v>103</v>
      </c>
      <c r="L278" s="29" t="s">
        <v>93</v>
      </c>
    </row>
    <row r="279" ht="15.75" customHeight="1">
      <c r="A279" s="18" t="s">
        <v>976</v>
      </c>
      <c r="B279" s="18" t="s">
        <v>239</v>
      </c>
      <c r="C279" s="11">
        <v>25.0</v>
      </c>
      <c r="D279" s="22">
        <v>5.9</v>
      </c>
      <c r="E279" s="22">
        <v>5.98</v>
      </c>
      <c r="F279" s="11">
        <v>0.0</v>
      </c>
      <c r="G279" s="11">
        <v>3.0</v>
      </c>
      <c r="H279" s="11" t="s">
        <v>72</v>
      </c>
      <c r="I279" s="11">
        <v>2.0</v>
      </c>
      <c r="J279" s="11">
        <v>0.0</v>
      </c>
      <c r="K279" s="11" t="s">
        <v>73</v>
      </c>
      <c r="L279" s="18" t="s">
        <v>71</v>
      </c>
    </row>
    <row r="280" ht="15.75" customHeight="1">
      <c r="A280" s="29" t="s">
        <v>513</v>
      </c>
      <c r="B280" s="29" t="s">
        <v>208</v>
      </c>
      <c r="C280" s="25">
        <v>23.0</v>
      </c>
      <c r="D280" s="32">
        <v>6.02</v>
      </c>
      <c r="E280" s="32">
        <v>5.98</v>
      </c>
      <c r="F280" s="25">
        <v>1.0</v>
      </c>
      <c r="G280" s="25">
        <v>1.0</v>
      </c>
      <c r="H280" s="25" t="s">
        <v>72</v>
      </c>
      <c r="I280" s="25">
        <v>6.0</v>
      </c>
      <c r="J280" s="25">
        <v>0.0</v>
      </c>
      <c r="K280" s="25" t="s">
        <v>103</v>
      </c>
      <c r="L280" s="29" t="s">
        <v>208</v>
      </c>
    </row>
    <row r="281" ht="15.75" customHeight="1">
      <c r="A281" s="18" t="s">
        <v>865</v>
      </c>
      <c r="B281" s="18" t="s">
        <v>177</v>
      </c>
      <c r="C281" s="11">
        <v>36.0</v>
      </c>
      <c r="D281" s="22">
        <v>5.96</v>
      </c>
      <c r="E281" s="22">
        <v>5.97</v>
      </c>
      <c r="F281" s="11">
        <v>1.0</v>
      </c>
      <c r="G281" s="11">
        <v>0.0</v>
      </c>
      <c r="H281" s="11" t="s">
        <v>72</v>
      </c>
      <c r="I281" s="11">
        <v>5.0</v>
      </c>
      <c r="J281" s="11">
        <v>0.0</v>
      </c>
      <c r="K281" s="11" t="s">
        <v>103</v>
      </c>
      <c r="L281" s="18" t="s">
        <v>177</v>
      </c>
    </row>
    <row r="282" ht="15.75" customHeight="1">
      <c r="A282" s="29" t="s">
        <v>427</v>
      </c>
      <c r="B282" s="29" t="s">
        <v>195</v>
      </c>
      <c r="C282" s="25">
        <v>33.0</v>
      </c>
      <c r="D282" s="32">
        <v>5.86</v>
      </c>
      <c r="E282" s="32">
        <v>5.97</v>
      </c>
      <c r="F282" s="25">
        <v>1.0</v>
      </c>
      <c r="G282" s="25">
        <v>2.0</v>
      </c>
      <c r="H282" s="25" t="s">
        <v>72</v>
      </c>
      <c r="I282" s="25">
        <v>1.0</v>
      </c>
      <c r="J282" s="25">
        <v>1.0</v>
      </c>
      <c r="K282" s="25" t="s">
        <v>103</v>
      </c>
      <c r="L282" s="29" t="s">
        <v>195</v>
      </c>
    </row>
    <row r="283" ht="15.75" customHeight="1">
      <c r="A283" s="18" t="s">
        <v>853</v>
      </c>
      <c r="B283" s="18" t="s">
        <v>185</v>
      </c>
      <c r="C283" s="11">
        <v>36.0</v>
      </c>
      <c r="D283" s="22">
        <v>5.96</v>
      </c>
      <c r="E283" s="22">
        <v>5.96</v>
      </c>
      <c r="F283" s="11">
        <v>1.0</v>
      </c>
      <c r="G283" s="11">
        <v>0.0</v>
      </c>
      <c r="H283" s="11" t="s">
        <v>72</v>
      </c>
      <c r="I283" s="11">
        <v>6.0</v>
      </c>
      <c r="J283" s="11">
        <v>0.0</v>
      </c>
      <c r="K283" s="11" t="s">
        <v>103</v>
      </c>
      <c r="L283" s="18" t="s">
        <v>185</v>
      </c>
    </row>
    <row r="284" ht="15.75" customHeight="1">
      <c r="A284" s="29" t="s">
        <v>930</v>
      </c>
      <c r="B284" s="29" t="s">
        <v>253</v>
      </c>
      <c r="C284" s="25">
        <v>34.0</v>
      </c>
      <c r="D284" s="32">
        <v>5.96</v>
      </c>
      <c r="E284" s="32">
        <v>5.96</v>
      </c>
      <c r="F284" s="25">
        <v>1.0</v>
      </c>
      <c r="G284" s="25">
        <v>1.0</v>
      </c>
      <c r="H284" s="25" t="s">
        <v>72</v>
      </c>
      <c r="I284" s="25">
        <v>6.0</v>
      </c>
      <c r="J284" s="25">
        <v>1.0</v>
      </c>
      <c r="K284" s="25" t="s">
        <v>103</v>
      </c>
      <c r="L284" s="29" t="s">
        <v>253</v>
      </c>
    </row>
    <row r="285" ht="15.75" customHeight="1">
      <c r="A285" s="18" t="s">
        <v>977</v>
      </c>
      <c r="B285" s="18" t="s">
        <v>212</v>
      </c>
      <c r="C285" s="11">
        <v>28.0</v>
      </c>
      <c r="D285" s="22">
        <v>5.84</v>
      </c>
      <c r="E285" s="22">
        <v>5.96</v>
      </c>
      <c r="F285" s="11">
        <v>1.0</v>
      </c>
      <c r="G285" s="11">
        <v>2.0</v>
      </c>
      <c r="H285" s="11" t="s">
        <v>72</v>
      </c>
      <c r="I285" s="11">
        <v>3.0</v>
      </c>
      <c r="J285" s="11">
        <v>0.0</v>
      </c>
      <c r="K285" s="11" t="s">
        <v>73</v>
      </c>
      <c r="L285" s="18" t="s">
        <v>71</v>
      </c>
    </row>
    <row r="286" ht="15.75" customHeight="1">
      <c r="A286" s="29" t="s">
        <v>838</v>
      </c>
      <c r="B286" s="29" t="s">
        <v>191</v>
      </c>
      <c r="C286" s="25">
        <v>28.0</v>
      </c>
      <c r="D286" s="32">
        <v>5.8</v>
      </c>
      <c r="E286" s="32">
        <v>5.96</v>
      </c>
      <c r="F286" s="25">
        <v>1.0</v>
      </c>
      <c r="G286" s="25">
        <v>3.0</v>
      </c>
      <c r="H286" s="25" t="s">
        <v>72</v>
      </c>
      <c r="I286" s="25">
        <v>3.0</v>
      </c>
      <c r="J286" s="25">
        <v>0.0</v>
      </c>
      <c r="K286" s="25" t="s">
        <v>103</v>
      </c>
      <c r="L286" s="29" t="s">
        <v>143</v>
      </c>
    </row>
    <row r="287" ht="15.75" customHeight="1">
      <c r="A287" s="18" t="s">
        <v>308</v>
      </c>
      <c r="B287" s="18" t="s">
        <v>195</v>
      </c>
      <c r="C287" s="11">
        <v>26.0</v>
      </c>
      <c r="D287" s="22">
        <v>5.88</v>
      </c>
      <c r="E287" s="22">
        <v>5.96</v>
      </c>
      <c r="F287" s="11">
        <v>3.0</v>
      </c>
      <c r="G287" s="11">
        <v>0.0</v>
      </c>
      <c r="H287" s="11" t="s">
        <v>202</v>
      </c>
      <c r="I287" s="11">
        <v>6.0</v>
      </c>
      <c r="J287" s="11">
        <v>1.0</v>
      </c>
      <c r="K287" s="11" t="s">
        <v>103</v>
      </c>
      <c r="L287" s="18" t="s">
        <v>195</v>
      </c>
    </row>
    <row r="288" ht="15.75" customHeight="1">
      <c r="A288" s="29" t="s">
        <v>980</v>
      </c>
      <c r="B288" s="29" t="s">
        <v>185</v>
      </c>
      <c r="C288" s="25">
        <v>26.0</v>
      </c>
      <c r="D288" s="32">
        <v>5.83</v>
      </c>
      <c r="E288" s="32">
        <v>5.96</v>
      </c>
      <c r="F288" s="25">
        <v>2.0</v>
      </c>
      <c r="G288" s="25">
        <v>0.0</v>
      </c>
      <c r="H288" s="25" t="s">
        <v>72</v>
      </c>
      <c r="I288" s="25">
        <v>5.0</v>
      </c>
      <c r="J288" s="25">
        <v>0.0</v>
      </c>
      <c r="K288" s="25" t="s">
        <v>73</v>
      </c>
      <c r="L288" s="29" t="s">
        <v>71</v>
      </c>
    </row>
    <row r="289" ht="15.75" customHeight="1">
      <c r="A289" s="18" t="s">
        <v>639</v>
      </c>
      <c r="B289" s="18" t="s">
        <v>133</v>
      </c>
      <c r="C289" s="11">
        <v>14.0</v>
      </c>
      <c r="D289" s="22">
        <v>5.96</v>
      </c>
      <c r="E289" s="22">
        <v>5.96</v>
      </c>
      <c r="F289" s="11">
        <v>0.0</v>
      </c>
      <c r="G289" s="11">
        <v>1.0</v>
      </c>
      <c r="H289" s="11" t="s">
        <v>72</v>
      </c>
      <c r="I289" s="11">
        <v>2.0</v>
      </c>
      <c r="J289" s="11">
        <v>0.0</v>
      </c>
      <c r="K289" s="11" t="s">
        <v>103</v>
      </c>
      <c r="L289" s="18" t="s">
        <v>253</v>
      </c>
    </row>
    <row r="290" ht="15.75" customHeight="1">
      <c r="A290" s="29" t="s">
        <v>656</v>
      </c>
      <c r="B290" s="29" t="s">
        <v>208</v>
      </c>
      <c r="C290" s="25">
        <v>12.0</v>
      </c>
      <c r="D290" s="32">
        <v>5.96</v>
      </c>
      <c r="E290" s="32">
        <v>5.96</v>
      </c>
      <c r="F290" s="25">
        <v>0.0</v>
      </c>
      <c r="G290" s="25">
        <v>0.0</v>
      </c>
      <c r="H290" s="25" t="s">
        <v>72</v>
      </c>
      <c r="I290" s="25">
        <v>0.0</v>
      </c>
      <c r="J290" s="25">
        <v>0.0</v>
      </c>
      <c r="K290" s="25" t="s">
        <v>103</v>
      </c>
      <c r="L290" s="29" t="s">
        <v>212</v>
      </c>
    </row>
    <row r="291" ht="15.75" customHeight="1">
      <c r="A291" s="18" t="s">
        <v>981</v>
      </c>
      <c r="B291" s="18" t="s">
        <v>195</v>
      </c>
      <c r="C291" s="11">
        <v>12.0</v>
      </c>
      <c r="D291" s="22">
        <v>5.92</v>
      </c>
      <c r="E291" s="22">
        <v>5.96</v>
      </c>
      <c r="F291" s="11">
        <v>0.0</v>
      </c>
      <c r="G291" s="11">
        <v>1.0</v>
      </c>
      <c r="H291" s="11" t="s">
        <v>72</v>
      </c>
      <c r="I291" s="11">
        <v>1.0</v>
      </c>
      <c r="J291" s="11">
        <v>0.0</v>
      </c>
      <c r="K291" s="11" t="s">
        <v>73</v>
      </c>
      <c r="L291" s="18" t="s">
        <v>71</v>
      </c>
    </row>
    <row r="292" ht="15.75" customHeight="1">
      <c r="A292" s="29" t="s">
        <v>982</v>
      </c>
      <c r="B292" s="29" t="s">
        <v>93</v>
      </c>
      <c r="C292" s="25">
        <v>12.0</v>
      </c>
      <c r="D292" s="32">
        <v>5.96</v>
      </c>
      <c r="E292" s="32">
        <v>5.96</v>
      </c>
      <c r="F292" s="25">
        <v>0.0</v>
      </c>
      <c r="G292" s="25">
        <v>0.0</v>
      </c>
      <c r="H292" s="25" t="s">
        <v>72</v>
      </c>
      <c r="I292" s="25">
        <v>1.0</v>
      </c>
      <c r="J292" s="25">
        <v>0.0</v>
      </c>
      <c r="K292" s="25" t="s">
        <v>103</v>
      </c>
      <c r="L292" s="29" t="s">
        <v>93</v>
      </c>
    </row>
    <row r="293" ht="15.75" customHeight="1">
      <c r="A293" s="18" t="s">
        <v>385</v>
      </c>
      <c r="B293" s="18" t="s">
        <v>195</v>
      </c>
      <c r="C293" s="11">
        <v>31.0</v>
      </c>
      <c r="D293" s="22">
        <v>6.03</v>
      </c>
      <c r="E293" s="22">
        <v>5.95</v>
      </c>
      <c r="F293" s="11">
        <v>0.0</v>
      </c>
      <c r="G293" s="11">
        <v>0.0</v>
      </c>
      <c r="H293" s="11" t="s">
        <v>72</v>
      </c>
      <c r="I293" s="11">
        <v>3.0</v>
      </c>
      <c r="J293" s="11">
        <v>1.0</v>
      </c>
      <c r="K293" s="11" t="s">
        <v>103</v>
      </c>
      <c r="L293" s="18" t="s">
        <v>175</v>
      </c>
    </row>
    <row r="294" ht="15.75" customHeight="1">
      <c r="A294" s="29" t="s">
        <v>936</v>
      </c>
      <c r="B294" s="29" t="s">
        <v>185</v>
      </c>
      <c r="C294" s="25">
        <v>30.0</v>
      </c>
      <c r="D294" s="32">
        <v>5.88</v>
      </c>
      <c r="E294" s="32">
        <v>5.95</v>
      </c>
      <c r="F294" s="25">
        <v>1.0</v>
      </c>
      <c r="G294" s="25">
        <v>0.0</v>
      </c>
      <c r="H294" s="25" t="s">
        <v>72</v>
      </c>
      <c r="I294" s="25">
        <v>2.0</v>
      </c>
      <c r="J294" s="25">
        <v>0.0</v>
      </c>
      <c r="K294" s="25" t="s">
        <v>103</v>
      </c>
      <c r="L294" s="29" t="s">
        <v>185</v>
      </c>
    </row>
    <row r="295" ht="15.75" customHeight="1">
      <c r="A295" s="18" t="s">
        <v>985</v>
      </c>
      <c r="B295" s="18" t="s">
        <v>283</v>
      </c>
      <c r="C295" s="11">
        <v>30.0</v>
      </c>
      <c r="D295" s="22">
        <v>5.85</v>
      </c>
      <c r="E295" s="22">
        <v>5.95</v>
      </c>
      <c r="F295" s="11">
        <v>1.0</v>
      </c>
      <c r="G295" s="11">
        <v>1.0</v>
      </c>
      <c r="H295" s="11" t="s">
        <v>72</v>
      </c>
      <c r="I295" s="11">
        <v>2.0</v>
      </c>
      <c r="J295" s="11">
        <v>0.0</v>
      </c>
      <c r="K295" s="11" t="s">
        <v>73</v>
      </c>
      <c r="L295" s="18" t="s">
        <v>71</v>
      </c>
    </row>
    <row r="296" ht="15.75" customHeight="1">
      <c r="A296" s="29" t="s">
        <v>559</v>
      </c>
      <c r="B296" s="29" t="s">
        <v>60</v>
      </c>
      <c r="C296" s="25">
        <v>21.0</v>
      </c>
      <c r="D296" s="32">
        <v>5.98</v>
      </c>
      <c r="E296" s="32">
        <v>5.95</v>
      </c>
      <c r="F296" s="25">
        <v>0.0</v>
      </c>
      <c r="G296" s="25">
        <v>0.0</v>
      </c>
      <c r="H296" s="25" t="s">
        <v>72</v>
      </c>
      <c r="I296" s="25">
        <v>1.0</v>
      </c>
      <c r="J296" s="25">
        <v>0.0</v>
      </c>
      <c r="K296" s="25" t="s">
        <v>103</v>
      </c>
      <c r="L296" s="29" t="s">
        <v>60</v>
      </c>
    </row>
    <row r="297" ht="15.75" customHeight="1">
      <c r="A297" s="18" t="s">
        <v>986</v>
      </c>
      <c r="B297" s="18" t="s">
        <v>239</v>
      </c>
      <c r="C297" s="11">
        <v>20.0</v>
      </c>
      <c r="D297" s="22">
        <v>5.98</v>
      </c>
      <c r="E297" s="22">
        <v>5.95</v>
      </c>
      <c r="F297" s="11">
        <v>0.0</v>
      </c>
      <c r="G297" s="11">
        <v>1.0</v>
      </c>
      <c r="H297" s="11" t="s">
        <v>72</v>
      </c>
      <c r="I297" s="11">
        <v>3.0</v>
      </c>
      <c r="J297" s="11">
        <v>0.0</v>
      </c>
      <c r="K297" s="11" t="s">
        <v>103</v>
      </c>
      <c r="L297" s="18" t="s">
        <v>239</v>
      </c>
    </row>
    <row r="298" ht="15.75" customHeight="1">
      <c r="A298" s="29" t="s">
        <v>987</v>
      </c>
      <c r="B298" s="29" t="s">
        <v>185</v>
      </c>
      <c r="C298" s="25">
        <v>19.0</v>
      </c>
      <c r="D298" s="32">
        <v>5.92</v>
      </c>
      <c r="E298" s="32">
        <v>5.95</v>
      </c>
      <c r="F298" s="25">
        <v>0.0</v>
      </c>
      <c r="G298" s="25">
        <v>2.0</v>
      </c>
      <c r="H298" s="25" t="s">
        <v>72</v>
      </c>
      <c r="I298" s="25">
        <v>4.0</v>
      </c>
      <c r="J298" s="25">
        <v>0.0</v>
      </c>
      <c r="K298" s="25" t="s">
        <v>103</v>
      </c>
      <c r="L298" s="29" t="s">
        <v>185</v>
      </c>
    </row>
    <row r="299" ht="15.75" customHeight="1">
      <c r="A299" s="18" t="s">
        <v>823</v>
      </c>
      <c r="B299" s="18" t="s">
        <v>182</v>
      </c>
      <c r="C299" s="11">
        <v>10.0</v>
      </c>
      <c r="D299" s="22">
        <v>6.05</v>
      </c>
      <c r="E299" s="22">
        <v>5.95</v>
      </c>
      <c r="F299" s="11">
        <v>0.0</v>
      </c>
      <c r="G299" s="11">
        <v>0.0</v>
      </c>
      <c r="H299" s="11" t="s">
        <v>72</v>
      </c>
      <c r="I299" s="11">
        <v>2.0</v>
      </c>
      <c r="J299" s="11">
        <v>0.0</v>
      </c>
      <c r="K299" s="11" t="s">
        <v>103</v>
      </c>
      <c r="L299" s="18" t="s">
        <v>182</v>
      </c>
    </row>
    <row r="300" ht="15.75" customHeight="1">
      <c r="A300" s="29" t="s">
        <v>988</v>
      </c>
      <c r="B300" s="29" t="s">
        <v>852</v>
      </c>
      <c r="C300" s="25">
        <v>35.0</v>
      </c>
      <c r="D300" s="32">
        <v>5.91</v>
      </c>
      <c r="E300" s="32">
        <v>5.94</v>
      </c>
      <c r="F300" s="25">
        <v>0.0</v>
      </c>
      <c r="G300" s="25">
        <v>2.0</v>
      </c>
      <c r="H300" s="25" t="s">
        <v>72</v>
      </c>
      <c r="I300" s="25">
        <v>2.0</v>
      </c>
      <c r="J300" s="25">
        <v>0.0</v>
      </c>
      <c r="K300" s="25" t="s">
        <v>73</v>
      </c>
      <c r="L300" s="29" t="s">
        <v>71</v>
      </c>
    </row>
    <row r="301" ht="15.75" customHeight="1">
      <c r="A301" s="18" t="s">
        <v>642</v>
      </c>
      <c r="B301" s="18" t="s">
        <v>143</v>
      </c>
      <c r="C301" s="11">
        <v>17.0</v>
      </c>
      <c r="D301" s="22">
        <v>6.03</v>
      </c>
      <c r="E301" s="22">
        <v>5.94</v>
      </c>
      <c r="F301" s="11">
        <v>0.0</v>
      </c>
      <c r="G301" s="11">
        <v>0.0</v>
      </c>
      <c r="H301" s="11" t="s">
        <v>72</v>
      </c>
      <c r="I301" s="11">
        <v>3.0</v>
      </c>
      <c r="J301" s="11">
        <v>0.0</v>
      </c>
      <c r="K301" s="11" t="s">
        <v>103</v>
      </c>
      <c r="L301" s="18" t="s">
        <v>143</v>
      </c>
    </row>
    <row r="302" ht="15.75" customHeight="1">
      <c r="A302" s="29" t="s">
        <v>989</v>
      </c>
      <c r="B302" s="29" t="s">
        <v>64</v>
      </c>
      <c r="C302" s="25">
        <v>16.0</v>
      </c>
      <c r="D302" s="32">
        <v>6.03</v>
      </c>
      <c r="E302" s="32">
        <v>5.94</v>
      </c>
      <c r="F302" s="25">
        <v>0.0</v>
      </c>
      <c r="G302" s="25">
        <v>0.0</v>
      </c>
      <c r="H302" s="25" t="s">
        <v>72</v>
      </c>
      <c r="I302" s="25">
        <v>3.0</v>
      </c>
      <c r="J302" s="25">
        <v>0.0</v>
      </c>
      <c r="K302" s="25" t="s">
        <v>73</v>
      </c>
      <c r="L302" s="29" t="s">
        <v>71</v>
      </c>
    </row>
    <row r="303" ht="15.75" customHeight="1">
      <c r="A303" s="18" t="s">
        <v>788</v>
      </c>
      <c r="B303" s="18" t="s">
        <v>191</v>
      </c>
      <c r="C303" s="11">
        <v>9.0</v>
      </c>
      <c r="D303" s="22">
        <v>5.94</v>
      </c>
      <c r="E303" s="22">
        <v>5.94</v>
      </c>
      <c r="F303" s="11">
        <v>0.0</v>
      </c>
      <c r="G303" s="11">
        <v>1.0</v>
      </c>
      <c r="H303" s="11" t="s">
        <v>72</v>
      </c>
      <c r="I303" s="11">
        <v>0.0</v>
      </c>
      <c r="J303" s="11">
        <v>1.0</v>
      </c>
      <c r="K303" s="11" t="s">
        <v>103</v>
      </c>
      <c r="L303" s="18" t="s">
        <v>264</v>
      </c>
    </row>
    <row r="304" ht="15.75" customHeight="1">
      <c r="A304" s="29" t="s">
        <v>510</v>
      </c>
      <c r="B304" s="29" t="s">
        <v>283</v>
      </c>
      <c r="C304" s="25">
        <v>14.0</v>
      </c>
      <c r="D304" s="32">
        <v>5.71</v>
      </c>
      <c r="E304" s="32">
        <v>5.93</v>
      </c>
      <c r="F304" s="25">
        <v>1.0</v>
      </c>
      <c r="G304" s="25">
        <v>0.0</v>
      </c>
      <c r="H304" s="25" t="s">
        <v>72</v>
      </c>
      <c r="I304" s="25">
        <v>0.0</v>
      </c>
      <c r="J304" s="25">
        <v>0.0</v>
      </c>
      <c r="K304" s="25" t="s">
        <v>103</v>
      </c>
      <c r="L304" s="29" t="s">
        <v>272</v>
      </c>
    </row>
    <row r="305" ht="15.75" customHeight="1">
      <c r="A305" s="18" t="s">
        <v>461</v>
      </c>
      <c r="B305" s="18" t="s">
        <v>195</v>
      </c>
      <c r="C305" s="11">
        <v>32.0</v>
      </c>
      <c r="D305" s="22">
        <v>6.03</v>
      </c>
      <c r="E305" s="22">
        <v>5.92</v>
      </c>
      <c r="F305" s="11">
        <v>0.0</v>
      </c>
      <c r="G305" s="11">
        <v>0.0</v>
      </c>
      <c r="H305" s="11" t="s">
        <v>72</v>
      </c>
      <c r="I305" s="11">
        <v>5.0</v>
      </c>
      <c r="J305" s="11">
        <v>1.0</v>
      </c>
      <c r="K305" s="11" t="s">
        <v>103</v>
      </c>
      <c r="L305" s="18" t="s">
        <v>195</v>
      </c>
    </row>
    <row r="306" ht="15.75" customHeight="1">
      <c r="A306" s="29" t="s">
        <v>990</v>
      </c>
      <c r="B306" s="29" t="s">
        <v>283</v>
      </c>
      <c r="C306" s="25">
        <v>31.0</v>
      </c>
      <c r="D306" s="32">
        <v>5.92</v>
      </c>
      <c r="E306" s="32">
        <v>5.92</v>
      </c>
      <c r="F306" s="25">
        <v>1.0</v>
      </c>
      <c r="G306" s="25">
        <v>0.0</v>
      </c>
      <c r="H306" s="25" t="s">
        <v>72</v>
      </c>
      <c r="I306" s="25">
        <v>6.0</v>
      </c>
      <c r="J306" s="25">
        <v>0.0</v>
      </c>
      <c r="K306" s="25" t="s">
        <v>73</v>
      </c>
      <c r="L306" s="29" t="s">
        <v>71</v>
      </c>
    </row>
    <row r="307" ht="15.75" customHeight="1">
      <c r="A307" s="18" t="s">
        <v>947</v>
      </c>
      <c r="B307" s="18" t="s">
        <v>283</v>
      </c>
      <c r="C307" s="11">
        <v>18.0</v>
      </c>
      <c r="D307" s="22">
        <v>5.78</v>
      </c>
      <c r="E307" s="22">
        <v>5.92</v>
      </c>
      <c r="F307" s="11">
        <v>1.0</v>
      </c>
      <c r="G307" s="11">
        <v>0.0</v>
      </c>
      <c r="H307" s="11" t="s">
        <v>72</v>
      </c>
      <c r="I307" s="11">
        <v>1.0</v>
      </c>
      <c r="J307" s="11">
        <v>0.0</v>
      </c>
      <c r="K307" s="11" t="s">
        <v>103</v>
      </c>
      <c r="L307" s="18" t="s">
        <v>212</v>
      </c>
    </row>
    <row r="308" ht="15.75" customHeight="1">
      <c r="A308" s="29" t="s">
        <v>610</v>
      </c>
      <c r="B308" s="29" t="s">
        <v>185</v>
      </c>
      <c r="C308" s="25">
        <v>13.0</v>
      </c>
      <c r="D308" s="32">
        <v>5.77</v>
      </c>
      <c r="E308" s="32">
        <v>5.92</v>
      </c>
      <c r="F308" s="25">
        <v>1.0</v>
      </c>
      <c r="G308" s="25">
        <v>0.0</v>
      </c>
      <c r="H308" s="25" t="s">
        <v>72</v>
      </c>
      <c r="I308" s="25">
        <v>2.0</v>
      </c>
      <c r="J308" s="25">
        <v>0.0</v>
      </c>
      <c r="K308" s="25" t="s">
        <v>103</v>
      </c>
      <c r="L308" s="29" t="s">
        <v>185</v>
      </c>
    </row>
    <row r="309" ht="15.75" customHeight="1">
      <c r="A309" s="18" t="s">
        <v>965</v>
      </c>
      <c r="B309" s="18" t="s">
        <v>177</v>
      </c>
      <c r="C309" s="11">
        <v>35.0</v>
      </c>
      <c r="D309" s="22">
        <v>5.84</v>
      </c>
      <c r="E309" s="22">
        <v>5.91</v>
      </c>
      <c r="F309" s="11">
        <v>1.0</v>
      </c>
      <c r="G309" s="11">
        <v>1.0</v>
      </c>
      <c r="H309" s="11" t="s">
        <v>72</v>
      </c>
      <c r="I309" s="11">
        <v>1.0</v>
      </c>
      <c r="J309" s="11">
        <v>1.0</v>
      </c>
      <c r="K309" s="11" t="s">
        <v>103</v>
      </c>
      <c r="L309" s="18" t="s">
        <v>177</v>
      </c>
    </row>
    <row r="310" ht="15.75" customHeight="1">
      <c r="A310" s="29" t="s">
        <v>499</v>
      </c>
      <c r="B310" s="29" t="s">
        <v>212</v>
      </c>
      <c r="C310" s="25">
        <v>35.0</v>
      </c>
      <c r="D310" s="32">
        <v>5.84</v>
      </c>
      <c r="E310" s="32">
        <v>5.91</v>
      </c>
      <c r="F310" s="25">
        <v>1.0</v>
      </c>
      <c r="G310" s="25">
        <v>1.0</v>
      </c>
      <c r="H310" s="25" t="s">
        <v>72</v>
      </c>
      <c r="I310" s="25">
        <v>3.0</v>
      </c>
      <c r="J310" s="25">
        <v>0.0</v>
      </c>
      <c r="K310" s="25" t="s">
        <v>103</v>
      </c>
      <c r="L310" s="29" t="s">
        <v>212</v>
      </c>
    </row>
    <row r="311" ht="15.75" customHeight="1">
      <c r="A311" s="18" t="s">
        <v>467</v>
      </c>
      <c r="B311" s="18" t="s">
        <v>253</v>
      </c>
      <c r="C311" s="11">
        <v>35.0</v>
      </c>
      <c r="D311" s="22">
        <v>5.94</v>
      </c>
      <c r="E311" s="22">
        <v>5.9</v>
      </c>
      <c r="F311" s="11">
        <v>0.0</v>
      </c>
      <c r="G311" s="11">
        <v>0.0</v>
      </c>
      <c r="H311" s="11" t="s">
        <v>72</v>
      </c>
      <c r="I311" s="11">
        <v>3.0</v>
      </c>
      <c r="J311" s="11">
        <v>0.0</v>
      </c>
      <c r="K311" s="11" t="s">
        <v>103</v>
      </c>
      <c r="L311" s="18" t="s">
        <v>253</v>
      </c>
    </row>
    <row r="312" ht="15.75" customHeight="1">
      <c r="A312" s="29" t="s">
        <v>991</v>
      </c>
      <c r="B312" s="29" t="s">
        <v>734</v>
      </c>
      <c r="C312" s="25">
        <v>34.0</v>
      </c>
      <c r="D312" s="32">
        <v>5.84</v>
      </c>
      <c r="E312" s="32">
        <v>5.9</v>
      </c>
      <c r="F312" s="25">
        <v>1.0</v>
      </c>
      <c r="G312" s="25">
        <v>1.0</v>
      </c>
      <c r="H312" s="25" t="s">
        <v>72</v>
      </c>
      <c r="I312" s="25">
        <v>4.0</v>
      </c>
      <c r="J312" s="25">
        <v>0.0</v>
      </c>
      <c r="K312" s="25" t="s">
        <v>73</v>
      </c>
      <c r="L312" s="29" t="s">
        <v>71</v>
      </c>
    </row>
    <row r="313" ht="15.75" customHeight="1">
      <c r="A313" s="18" t="s">
        <v>472</v>
      </c>
      <c r="B313" s="18" t="s">
        <v>175</v>
      </c>
      <c r="C313" s="11">
        <v>24.0</v>
      </c>
      <c r="D313" s="22">
        <v>5.75</v>
      </c>
      <c r="E313" s="22">
        <v>5.9</v>
      </c>
      <c r="F313" s="11">
        <v>1.0</v>
      </c>
      <c r="G313" s="11">
        <v>1.0</v>
      </c>
      <c r="H313" s="11" t="s">
        <v>72</v>
      </c>
      <c r="I313" s="11">
        <v>1.0</v>
      </c>
      <c r="J313" s="11">
        <v>0.0</v>
      </c>
      <c r="K313" s="11" t="s">
        <v>103</v>
      </c>
      <c r="L313" s="18" t="s">
        <v>175</v>
      </c>
    </row>
    <row r="314" ht="15.75" customHeight="1">
      <c r="A314" s="29" t="s">
        <v>523</v>
      </c>
      <c r="B314" s="29" t="s">
        <v>212</v>
      </c>
      <c r="C314" s="25">
        <v>24.0</v>
      </c>
      <c r="D314" s="32">
        <v>5.92</v>
      </c>
      <c r="E314" s="32">
        <v>5.9</v>
      </c>
      <c r="F314" s="25">
        <v>0.0</v>
      </c>
      <c r="G314" s="25">
        <v>2.0</v>
      </c>
      <c r="H314" s="25" t="s">
        <v>72</v>
      </c>
      <c r="I314" s="25">
        <v>5.0</v>
      </c>
      <c r="J314" s="25">
        <v>0.0</v>
      </c>
      <c r="K314" s="25" t="s">
        <v>103</v>
      </c>
      <c r="L314" s="29" t="s">
        <v>212</v>
      </c>
    </row>
    <row r="315" ht="15.75" customHeight="1">
      <c r="A315" s="18" t="s">
        <v>993</v>
      </c>
      <c r="B315" s="18" t="s">
        <v>177</v>
      </c>
      <c r="C315" s="11">
        <v>21.0</v>
      </c>
      <c r="D315" s="22">
        <v>5.98</v>
      </c>
      <c r="E315" s="22">
        <v>5.9</v>
      </c>
      <c r="F315" s="11">
        <v>0.0</v>
      </c>
      <c r="G315" s="11">
        <v>1.0</v>
      </c>
      <c r="H315" s="11" t="s">
        <v>72</v>
      </c>
      <c r="I315" s="11">
        <v>5.0</v>
      </c>
      <c r="J315" s="11">
        <v>0.0</v>
      </c>
      <c r="K315" s="11" t="s">
        <v>103</v>
      </c>
      <c r="L315" s="18" t="s">
        <v>261</v>
      </c>
    </row>
    <row r="316" ht="15.75" customHeight="1">
      <c r="A316" s="29" t="s">
        <v>994</v>
      </c>
      <c r="B316" s="29" t="s">
        <v>253</v>
      </c>
      <c r="C316" s="25">
        <v>21.0</v>
      </c>
      <c r="D316" s="32">
        <v>5.93</v>
      </c>
      <c r="E316" s="32">
        <v>5.9</v>
      </c>
      <c r="F316" s="25">
        <v>0.0</v>
      </c>
      <c r="G316" s="25">
        <v>1.0</v>
      </c>
      <c r="H316" s="25" t="s">
        <v>72</v>
      </c>
      <c r="I316" s="25">
        <v>3.0</v>
      </c>
      <c r="J316" s="25">
        <v>0.0</v>
      </c>
      <c r="K316" s="25" t="s">
        <v>103</v>
      </c>
      <c r="L316" s="29" t="s">
        <v>253</v>
      </c>
    </row>
    <row r="317" ht="15.75" customHeight="1">
      <c r="A317" s="18" t="s">
        <v>995</v>
      </c>
      <c r="B317" s="18" t="s">
        <v>734</v>
      </c>
      <c r="C317" s="11">
        <v>5.0</v>
      </c>
      <c r="D317" s="22">
        <v>5.9</v>
      </c>
      <c r="E317" s="22">
        <v>5.9</v>
      </c>
      <c r="F317" s="11">
        <v>0.0</v>
      </c>
      <c r="G317" s="11">
        <v>0.0</v>
      </c>
      <c r="H317" s="11" t="s">
        <v>72</v>
      </c>
      <c r="I317" s="11">
        <v>0.0</v>
      </c>
      <c r="J317" s="11">
        <v>0.0</v>
      </c>
      <c r="K317" s="11" t="s">
        <v>73</v>
      </c>
      <c r="L317" s="18" t="s">
        <v>71</v>
      </c>
    </row>
    <row r="318" ht="15.75" customHeight="1">
      <c r="A318" s="29" t="s">
        <v>996</v>
      </c>
      <c r="B318" s="29" t="s">
        <v>253</v>
      </c>
      <c r="C318" s="25">
        <v>32.0</v>
      </c>
      <c r="D318" s="32">
        <v>5.91</v>
      </c>
      <c r="E318" s="32">
        <v>5.89</v>
      </c>
      <c r="F318" s="25">
        <v>2.0</v>
      </c>
      <c r="G318" s="25">
        <v>1.0</v>
      </c>
      <c r="H318" s="25" t="s">
        <v>72</v>
      </c>
      <c r="I318" s="25">
        <v>7.0</v>
      </c>
      <c r="J318" s="25">
        <v>0.0</v>
      </c>
      <c r="K318" s="25" t="s">
        <v>73</v>
      </c>
      <c r="L318" s="29" t="s">
        <v>71</v>
      </c>
    </row>
    <row r="319" ht="15.75" customHeight="1">
      <c r="A319" s="18" t="s">
        <v>494</v>
      </c>
      <c r="B319" s="18" t="s">
        <v>182</v>
      </c>
      <c r="C319" s="11">
        <v>28.0</v>
      </c>
      <c r="D319" s="22">
        <v>5.88</v>
      </c>
      <c r="E319" s="22">
        <v>5.89</v>
      </c>
      <c r="F319" s="11">
        <v>1.0</v>
      </c>
      <c r="G319" s="11">
        <v>0.0</v>
      </c>
      <c r="H319" s="11" t="s">
        <v>72</v>
      </c>
      <c r="I319" s="11">
        <v>5.0</v>
      </c>
      <c r="J319" s="11">
        <v>0.0</v>
      </c>
      <c r="K319" s="11" t="s">
        <v>103</v>
      </c>
      <c r="L319" s="18" t="s">
        <v>93</v>
      </c>
    </row>
    <row r="320" ht="15.75" customHeight="1">
      <c r="A320" s="29" t="s">
        <v>478</v>
      </c>
      <c r="B320" s="29" t="s">
        <v>182</v>
      </c>
      <c r="C320" s="25">
        <v>28.0</v>
      </c>
      <c r="D320" s="32">
        <v>5.86</v>
      </c>
      <c r="E320" s="32">
        <v>5.89</v>
      </c>
      <c r="F320" s="25">
        <v>0.0</v>
      </c>
      <c r="G320" s="25">
        <v>2.0</v>
      </c>
      <c r="H320" s="25" t="s">
        <v>72</v>
      </c>
      <c r="I320" s="25">
        <v>2.0</v>
      </c>
      <c r="J320" s="25">
        <v>0.0</v>
      </c>
      <c r="K320" s="25" t="s">
        <v>103</v>
      </c>
      <c r="L320" s="29" t="s">
        <v>182</v>
      </c>
    </row>
    <row r="321" ht="15.75" customHeight="1">
      <c r="A321" s="18" t="s">
        <v>998</v>
      </c>
      <c r="B321" s="18" t="s">
        <v>734</v>
      </c>
      <c r="C321" s="11">
        <v>23.0</v>
      </c>
      <c r="D321" s="22">
        <v>5.76</v>
      </c>
      <c r="E321" s="22">
        <v>5.89</v>
      </c>
      <c r="F321" s="11">
        <v>1.0</v>
      </c>
      <c r="G321" s="11">
        <v>1.0</v>
      </c>
      <c r="H321" s="11" t="s">
        <v>72</v>
      </c>
      <c r="I321" s="11">
        <v>2.0</v>
      </c>
      <c r="J321" s="11">
        <v>0.0</v>
      </c>
      <c r="K321" s="11" t="s">
        <v>73</v>
      </c>
      <c r="L321" s="18" t="s">
        <v>71</v>
      </c>
    </row>
    <row r="322" ht="15.75" customHeight="1">
      <c r="A322" s="29" t="s">
        <v>546</v>
      </c>
      <c r="B322" s="29" t="s">
        <v>64</v>
      </c>
      <c r="C322" s="25">
        <v>14.0</v>
      </c>
      <c r="D322" s="32">
        <v>5.89</v>
      </c>
      <c r="E322" s="32">
        <v>5.89</v>
      </c>
      <c r="F322" s="25">
        <v>0.0</v>
      </c>
      <c r="G322" s="25">
        <v>0.0</v>
      </c>
      <c r="H322" s="25" t="s">
        <v>72</v>
      </c>
      <c r="I322" s="25">
        <v>0.0</v>
      </c>
      <c r="J322" s="25">
        <v>0.0</v>
      </c>
      <c r="K322" s="25" t="s">
        <v>103</v>
      </c>
      <c r="L322" s="29" t="s">
        <v>195</v>
      </c>
    </row>
    <row r="323" ht="15.75" customHeight="1">
      <c r="A323" s="18" t="s">
        <v>999</v>
      </c>
      <c r="B323" s="18" t="s">
        <v>239</v>
      </c>
      <c r="C323" s="11">
        <v>38.0</v>
      </c>
      <c r="D323" s="22">
        <v>5.83</v>
      </c>
      <c r="E323" s="22">
        <v>5.88</v>
      </c>
      <c r="F323" s="11">
        <v>1.0</v>
      </c>
      <c r="G323" s="11">
        <v>1.0</v>
      </c>
      <c r="H323" s="11" t="s">
        <v>72</v>
      </c>
      <c r="I323" s="11">
        <v>4.0</v>
      </c>
      <c r="J323" s="11">
        <v>0.0</v>
      </c>
      <c r="K323" s="11" t="s">
        <v>103</v>
      </c>
      <c r="L323" s="18" t="s">
        <v>239</v>
      </c>
    </row>
    <row r="324" ht="15.75" customHeight="1">
      <c r="A324" s="29" t="s">
        <v>1000</v>
      </c>
      <c r="B324" s="29" t="s">
        <v>212</v>
      </c>
      <c r="C324" s="25">
        <v>32.0</v>
      </c>
      <c r="D324" s="32">
        <v>5.88</v>
      </c>
      <c r="E324" s="32">
        <v>5.88</v>
      </c>
      <c r="F324" s="25">
        <v>1.0</v>
      </c>
      <c r="G324" s="25">
        <v>0.0</v>
      </c>
      <c r="H324" s="25" t="s">
        <v>72</v>
      </c>
      <c r="I324" s="25">
        <v>6.0</v>
      </c>
      <c r="J324" s="25">
        <v>0.0</v>
      </c>
      <c r="K324" s="25" t="s">
        <v>73</v>
      </c>
      <c r="L324" s="29" t="s">
        <v>71</v>
      </c>
    </row>
    <row r="325" ht="15.75" customHeight="1">
      <c r="A325" s="18" t="s">
        <v>579</v>
      </c>
      <c r="B325" s="18" t="s">
        <v>175</v>
      </c>
      <c r="C325" s="11">
        <v>32.0</v>
      </c>
      <c r="D325" s="22">
        <v>5.97</v>
      </c>
      <c r="E325" s="22">
        <v>5.88</v>
      </c>
      <c r="F325" s="11">
        <v>0.0</v>
      </c>
      <c r="G325" s="11">
        <v>1.0</v>
      </c>
      <c r="H325" s="11" t="s">
        <v>72</v>
      </c>
      <c r="I325" s="11">
        <v>6.0</v>
      </c>
      <c r="J325" s="11">
        <v>1.0</v>
      </c>
      <c r="K325" s="11" t="s">
        <v>103</v>
      </c>
      <c r="L325" s="18" t="s">
        <v>175</v>
      </c>
    </row>
    <row r="326" ht="15.75" customHeight="1">
      <c r="A326" s="29" t="s">
        <v>503</v>
      </c>
      <c r="B326" s="29" t="s">
        <v>191</v>
      </c>
      <c r="C326" s="25">
        <v>32.0</v>
      </c>
      <c r="D326" s="32">
        <v>5.89</v>
      </c>
      <c r="E326" s="32">
        <v>5.88</v>
      </c>
      <c r="F326" s="25">
        <v>0.0</v>
      </c>
      <c r="G326" s="25">
        <v>1.0</v>
      </c>
      <c r="H326" s="25" t="s">
        <v>72</v>
      </c>
      <c r="I326" s="25">
        <v>3.0</v>
      </c>
      <c r="J326" s="25">
        <v>0.0</v>
      </c>
      <c r="K326" s="25" t="s">
        <v>103</v>
      </c>
      <c r="L326" s="29" t="s">
        <v>191</v>
      </c>
    </row>
    <row r="327" ht="15.75" customHeight="1">
      <c r="A327" s="18" t="s">
        <v>1001</v>
      </c>
      <c r="B327" s="18" t="s">
        <v>212</v>
      </c>
      <c r="C327" s="11">
        <v>8.0</v>
      </c>
      <c r="D327" s="22">
        <v>6.0</v>
      </c>
      <c r="E327" s="22">
        <v>5.88</v>
      </c>
      <c r="F327" s="11">
        <v>0.0</v>
      </c>
      <c r="G327" s="11">
        <v>0.0</v>
      </c>
      <c r="H327" s="11" t="s">
        <v>72</v>
      </c>
      <c r="I327" s="11">
        <v>2.0</v>
      </c>
      <c r="J327" s="11">
        <v>0.0</v>
      </c>
      <c r="K327" s="11" t="s">
        <v>103</v>
      </c>
      <c r="L327" s="18" t="s">
        <v>232</v>
      </c>
    </row>
    <row r="328" ht="15.75" customHeight="1">
      <c r="A328" s="29" t="s">
        <v>1002</v>
      </c>
      <c r="B328" s="29" t="s">
        <v>253</v>
      </c>
      <c r="C328" s="25">
        <v>4.0</v>
      </c>
      <c r="D328" s="32">
        <v>6.0</v>
      </c>
      <c r="E328" s="32">
        <v>5.88</v>
      </c>
      <c r="F328" s="25">
        <v>0.0</v>
      </c>
      <c r="G328" s="25">
        <v>0.0</v>
      </c>
      <c r="H328" s="25" t="s">
        <v>72</v>
      </c>
      <c r="I328" s="25">
        <v>1.0</v>
      </c>
      <c r="J328" s="25">
        <v>0.0</v>
      </c>
      <c r="K328" s="25" t="s">
        <v>73</v>
      </c>
      <c r="L328" s="29" t="s">
        <v>71</v>
      </c>
    </row>
    <row r="329" ht="15.75" customHeight="1">
      <c r="A329" s="18" t="s">
        <v>1004</v>
      </c>
      <c r="B329" s="18" t="s">
        <v>734</v>
      </c>
      <c r="C329" s="11">
        <v>26.0</v>
      </c>
      <c r="D329" s="22">
        <v>5.98</v>
      </c>
      <c r="E329" s="22">
        <v>5.87</v>
      </c>
      <c r="F329" s="11">
        <v>0.0</v>
      </c>
      <c r="G329" s="11">
        <v>1.0</v>
      </c>
      <c r="H329" s="11" t="s">
        <v>72</v>
      </c>
      <c r="I329" s="11">
        <v>8.0</v>
      </c>
      <c r="J329" s="11">
        <v>0.0</v>
      </c>
      <c r="K329" s="11" t="s">
        <v>73</v>
      </c>
      <c r="L329" s="18" t="s">
        <v>71</v>
      </c>
    </row>
    <row r="330" ht="15.75" customHeight="1">
      <c r="A330" s="29" t="s">
        <v>544</v>
      </c>
      <c r="B330" s="29" t="s">
        <v>185</v>
      </c>
      <c r="C330" s="25">
        <v>26.0</v>
      </c>
      <c r="D330" s="32">
        <v>5.88</v>
      </c>
      <c r="E330" s="32">
        <v>5.87</v>
      </c>
      <c r="F330" s="25">
        <v>0.0</v>
      </c>
      <c r="G330" s="25">
        <v>2.0</v>
      </c>
      <c r="H330" s="25" t="s">
        <v>72</v>
      </c>
      <c r="I330" s="25">
        <v>5.0</v>
      </c>
      <c r="J330" s="25">
        <v>0.0</v>
      </c>
      <c r="K330" s="25" t="s">
        <v>103</v>
      </c>
      <c r="L330" s="29" t="s">
        <v>185</v>
      </c>
    </row>
    <row r="331" ht="15.75" customHeight="1">
      <c r="A331" s="18" t="s">
        <v>562</v>
      </c>
      <c r="B331" s="18" t="s">
        <v>143</v>
      </c>
      <c r="C331" s="11">
        <v>28.0</v>
      </c>
      <c r="D331" s="22">
        <v>5.91</v>
      </c>
      <c r="E331" s="22">
        <v>5.86</v>
      </c>
      <c r="F331" s="11">
        <v>1.0</v>
      </c>
      <c r="G331" s="11">
        <v>0.0</v>
      </c>
      <c r="H331" s="11" t="s">
        <v>72</v>
      </c>
      <c r="I331" s="11">
        <v>5.0</v>
      </c>
      <c r="J331" s="11">
        <v>0.0</v>
      </c>
      <c r="K331" s="11" t="s">
        <v>103</v>
      </c>
      <c r="L331" s="18" t="s">
        <v>143</v>
      </c>
    </row>
    <row r="332" ht="15.75" customHeight="1">
      <c r="A332" s="29" t="s">
        <v>1005</v>
      </c>
      <c r="B332" s="29" t="s">
        <v>195</v>
      </c>
      <c r="C332" s="25">
        <v>25.0</v>
      </c>
      <c r="D332" s="32">
        <v>5.68</v>
      </c>
      <c r="E332" s="32">
        <v>5.86</v>
      </c>
      <c r="F332" s="25">
        <v>1.0</v>
      </c>
      <c r="G332" s="25">
        <v>2.0</v>
      </c>
      <c r="H332" s="25" t="s">
        <v>72</v>
      </c>
      <c r="I332" s="25">
        <v>1.0</v>
      </c>
      <c r="J332" s="25">
        <v>0.0</v>
      </c>
      <c r="K332" s="25" t="s">
        <v>73</v>
      </c>
      <c r="L332" s="29" t="s">
        <v>71</v>
      </c>
    </row>
    <row r="333" ht="15.75" customHeight="1">
      <c r="A333" s="18" t="s">
        <v>1006</v>
      </c>
      <c r="B333" s="18" t="s">
        <v>734</v>
      </c>
      <c r="C333" s="11">
        <v>25.0</v>
      </c>
      <c r="D333" s="22">
        <v>5.9</v>
      </c>
      <c r="E333" s="22">
        <v>5.86</v>
      </c>
      <c r="F333" s="11">
        <v>1.0</v>
      </c>
      <c r="G333" s="11">
        <v>0.0</v>
      </c>
      <c r="H333" s="11" t="s">
        <v>72</v>
      </c>
      <c r="I333" s="11">
        <v>8.0</v>
      </c>
      <c r="J333" s="11">
        <v>0.0</v>
      </c>
      <c r="K333" s="11" t="s">
        <v>73</v>
      </c>
      <c r="L333" s="18" t="s">
        <v>71</v>
      </c>
    </row>
    <row r="334" ht="15.75" customHeight="1">
      <c r="A334" s="29" t="s">
        <v>651</v>
      </c>
      <c r="B334" s="29" t="s">
        <v>182</v>
      </c>
      <c r="C334" s="25">
        <v>18.0</v>
      </c>
      <c r="D334" s="32">
        <v>5.94</v>
      </c>
      <c r="E334" s="32">
        <v>5.86</v>
      </c>
      <c r="F334" s="25">
        <v>0.0</v>
      </c>
      <c r="G334" s="25">
        <v>0.0</v>
      </c>
      <c r="H334" s="25" t="s">
        <v>72</v>
      </c>
      <c r="I334" s="25">
        <v>3.0</v>
      </c>
      <c r="J334" s="25">
        <v>0.0</v>
      </c>
      <c r="K334" s="25" t="s">
        <v>103</v>
      </c>
      <c r="L334" s="29" t="s">
        <v>182</v>
      </c>
    </row>
    <row r="335" ht="15.75" customHeight="1">
      <c r="A335" s="18" t="s">
        <v>1007</v>
      </c>
      <c r="B335" s="18" t="s">
        <v>60</v>
      </c>
      <c r="C335" s="11">
        <v>7.0</v>
      </c>
      <c r="D335" s="22">
        <v>5.86</v>
      </c>
      <c r="E335" s="22">
        <v>5.86</v>
      </c>
      <c r="F335" s="11">
        <v>0.0</v>
      </c>
      <c r="G335" s="11">
        <v>0.0</v>
      </c>
      <c r="H335" s="11" t="s">
        <v>72</v>
      </c>
      <c r="I335" s="11">
        <v>0.0</v>
      </c>
      <c r="J335" s="11">
        <v>0.0</v>
      </c>
      <c r="K335" s="11" t="s">
        <v>103</v>
      </c>
      <c r="L335" s="18" t="s">
        <v>177</v>
      </c>
    </row>
    <row r="336" ht="15.75" customHeight="1">
      <c r="A336" s="29" t="s">
        <v>1008</v>
      </c>
      <c r="B336" s="29" t="s">
        <v>232</v>
      </c>
      <c r="C336" s="25">
        <v>37.0</v>
      </c>
      <c r="D336" s="32">
        <v>5.91</v>
      </c>
      <c r="E336" s="32">
        <v>5.85</v>
      </c>
      <c r="F336" s="25">
        <v>1.0</v>
      </c>
      <c r="G336" s="25">
        <v>0.0</v>
      </c>
      <c r="H336" s="25" t="s">
        <v>72</v>
      </c>
      <c r="I336" s="25">
        <v>10.0</v>
      </c>
      <c r="J336" s="25">
        <v>0.0</v>
      </c>
      <c r="K336" s="25" t="s">
        <v>73</v>
      </c>
      <c r="L336" s="29" t="s">
        <v>71</v>
      </c>
    </row>
    <row r="337" ht="15.75" customHeight="1">
      <c r="A337" s="18" t="s">
        <v>785</v>
      </c>
      <c r="B337" s="18" t="s">
        <v>232</v>
      </c>
      <c r="C337" s="11">
        <v>37.0</v>
      </c>
      <c r="D337" s="22">
        <v>5.8</v>
      </c>
      <c r="E337" s="22">
        <v>5.85</v>
      </c>
      <c r="F337" s="11">
        <v>1.0</v>
      </c>
      <c r="G337" s="11">
        <v>1.0</v>
      </c>
      <c r="H337" s="11" t="s">
        <v>72</v>
      </c>
      <c r="I337" s="11">
        <v>4.0</v>
      </c>
      <c r="J337" s="11">
        <v>0.0</v>
      </c>
      <c r="K337" s="11" t="s">
        <v>103</v>
      </c>
      <c r="L337" s="18" t="s">
        <v>232</v>
      </c>
    </row>
    <row r="338" ht="15.75" customHeight="1">
      <c r="A338" s="29" t="s">
        <v>567</v>
      </c>
      <c r="B338" s="29" t="s">
        <v>195</v>
      </c>
      <c r="C338" s="25">
        <v>23.0</v>
      </c>
      <c r="D338" s="32">
        <v>5.91</v>
      </c>
      <c r="E338" s="32">
        <v>5.85</v>
      </c>
      <c r="F338" s="25">
        <v>0.0</v>
      </c>
      <c r="G338" s="25">
        <v>0.0</v>
      </c>
      <c r="H338" s="25" t="s">
        <v>72</v>
      </c>
      <c r="I338" s="25">
        <v>3.0</v>
      </c>
      <c r="J338" s="25">
        <v>0.0</v>
      </c>
      <c r="K338" s="25" t="s">
        <v>103</v>
      </c>
      <c r="L338" s="29" t="s">
        <v>195</v>
      </c>
    </row>
    <row r="339" ht="15.75" customHeight="1">
      <c r="A339" s="18" t="s">
        <v>1010</v>
      </c>
      <c r="B339" s="18" t="s">
        <v>361</v>
      </c>
      <c r="C339" s="11">
        <v>17.0</v>
      </c>
      <c r="D339" s="22">
        <v>5.74</v>
      </c>
      <c r="E339" s="22">
        <v>5.85</v>
      </c>
      <c r="F339" s="11">
        <v>1.0</v>
      </c>
      <c r="G339" s="11">
        <v>0.0</v>
      </c>
      <c r="H339" s="11" t="s">
        <v>188</v>
      </c>
      <c r="I339" s="11">
        <v>3.0</v>
      </c>
      <c r="J339" s="11">
        <v>0.0</v>
      </c>
      <c r="K339" s="11" t="s">
        <v>73</v>
      </c>
      <c r="L339" s="18" t="s">
        <v>71</v>
      </c>
    </row>
    <row r="340" ht="15.75" customHeight="1">
      <c r="A340" s="29" t="s">
        <v>536</v>
      </c>
      <c r="B340" s="29" t="s">
        <v>177</v>
      </c>
      <c r="C340" s="25">
        <v>31.0</v>
      </c>
      <c r="D340" s="32">
        <v>5.87</v>
      </c>
      <c r="E340" s="32">
        <v>5.84</v>
      </c>
      <c r="F340" s="25">
        <v>0.0</v>
      </c>
      <c r="G340" s="25">
        <v>1.0</v>
      </c>
      <c r="H340" s="25" t="s">
        <v>72</v>
      </c>
      <c r="I340" s="25">
        <v>4.0</v>
      </c>
      <c r="J340" s="25">
        <v>0.0</v>
      </c>
      <c r="K340" s="25" t="s">
        <v>103</v>
      </c>
      <c r="L340" s="29" t="s">
        <v>177</v>
      </c>
    </row>
    <row r="341" ht="15.75" customHeight="1">
      <c r="A341" s="18" t="s">
        <v>1011</v>
      </c>
      <c r="B341" s="18" t="s">
        <v>361</v>
      </c>
      <c r="C341" s="11">
        <v>31.0</v>
      </c>
      <c r="D341" s="22">
        <v>5.84</v>
      </c>
      <c r="E341" s="22">
        <v>5.84</v>
      </c>
      <c r="F341" s="11">
        <v>2.0</v>
      </c>
      <c r="G341" s="11">
        <v>0.0</v>
      </c>
      <c r="H341" s="11" t="s">
        <v>72</v>
      </c>
      <c r="I341" s="11">
        <v>8.0</v>
      </c>
      <c r="J341" s="11">
        <v>0.0</v>
      </c>
      <c r="K341" s="11" t="s">
        <v>73</v>
      </c>
      <c r="L341" s="18" t="s">
        <v>71</v>
      </c>
    </row>
    <row r="342" ht="15.75" customHeight="1">
      <c r="A342" s="29" t="s">
        <v>526</v>
      </c>
      <c r="B342" s="29" t="s">
        <v>175</v>
      </c>
      <c r="C342" s="25">
        <v>29.0</v>
      </c>
      <c r="D342" s="32">
        <v>5.91</v>
      </c>
      <c r="E342" s="32">
        <v>5.84</v>
      </c>
      <c r="F342" s="25">
        <v>0.0</v>
      </c>
      <c r="G342" s="25">
        <v>0.0</v>
      </c>
      <c r="H342" s="25" t="s">
        <v>72</v>
      </c>
      <c r="I342" s="25">
        <v>4.0</v>
      </c>
      <c r="J342" s="25">
        <v>0.0</v>
      </c>
      <c r="K342" s="25" t="s">
        <v>103</v>
      </c>
      <c r="L342" s="29" t="s">
        <v>175</v>
      </c>
    </row>
    <row r="343" ht="15.75" customHeight="1">
      <c r="A343" s="18" t="s">
        <v>1012</v>
      </c>
      <c r="B343" s="18" t="s">
        <v>361</v>
      </c>
      <c r="C343" s="11">
        <v>29.0</v>
      </c>
      <c r="D343" s="22">
        <v>5.81</v>
      </c>
      <c r="E343" s="22">
        <v>5.84</v>
      </c>
      <c r="F343" s="11">
        <v>0.0</v>
      </c>
      <c r="G343" s="11">
        <v>2.0</v>
      </c>
      <c r="H343" s="11" t="s">
        <v>72</v>
      </c>
      <c r="I343" s="11">
        <v>2.0</v>
      </c>
      <c r="J343" s="11">
        <v>0.0</v>
      </c>
      <c r="K343" s="11" t="s">
        <v>73</v>
      </c>
      <c r="L343" s="18" t="s">
        <v>71</v>
      </c>
    </row>
    <row r="344" ht="15.75" customHeight="1">
      <c r="A344" s="29" t="s">
        <v>1014</v>
      </c>
      <c r="B344" s="29" t="s">
        <v>361</v>
      </c>
      <c r="C344" s="25">
        <v>29.0</v>
      </c>
      <c r="D344" s="32">
        <v>5.91</v>
      </c>
      <c r="E344" s="32">
        <v>5.84</v>
      </c>
      <c r="F344" s="25">
        <v>1.0</v>
      </c>
      <c r="G344" s="25">
        <v>0.0</v>
      </c>
      <c r="H344" s="25" t="s">
        <v>72</v>
      </c>
      <c r="I344" s="25">
        <v>10.0</v>
      </c>
      <c r="J344" s="25">
        <v>0.0</v>
      </c>
      <c r="K344" s="25" t="s">
        <v>103</v>
      </c>
      <c r="L344" s="29" t="s">
        <v>239</v>
      </c>
    </row>
    <row r="345" ht="15.75" customHeight="1">
      <c r="A345" s="18" t="s">
        <v>593</v>
      </c>
      <c r="B345" s="18" t="s">
        <v>133</v>
      </c>
      <c r="C345" s="11">
        <v>25.0</v>
      </c>
      <c r="D345" s="22">
        <v>5.96</v>
      </c>
      <c r="E345" s="22">
        <v>5.84</v>
      </c>
      <c r="F345" s="11">
        <v>0.0</v>
      </c>
      <c r="G345" s="11">
        <v>1.0</v>
      </c>
      <c r="H345" s="11" t="s">
        <v>72</v>
      </c>
      <c r="I345" s="11">
        <v>8.0</v>
      </c>
      <c r="J345" s="11">
        <v>0.0</v>
      </c>
      <c r="K345" s="11" t="s">
        <v>103</v>
      </c>
      <c r="L345" s="18" t="s">
        <v>133</v>
      </c>
    </row>
    <row r="346" ht="15.75" customHeight="1">
      <c r="A346" s="29" t="s">
        <v>586</v>
      </c>
      <c r="B346" s="29" t="s">
        <v>185</v>
      </c>
      <c r="C346" s="25">
        <v>25.0</v>
      </c>
      <c r="D346" s="32">
        <v>5.86</v>
      </c>
      <c r="E346" s="32">
        <v>5.84</v>
      </c>
      <c r="F346" s="25">
        <v>0.0</v>
      </c>
      <c r="G346" s="25">
        <v>1.0</v>
      </c>
      <c r="H346" s="25" t="s">
        <v>72</v>
      </c>
      <c r="I346" s="25">
        <v>3.0</v>
      </c>
      <c r="J346" s="25">
        <v>0.0</v>
      </c>
      <c r="K346" s="25" t="s">
        <v>103</v>
      </c>
      <c r="L346" s="29" t="s">
        <v>185</v>
      </c>
    </row>
    <row r="347" ht="15.75" customHeight="1">
      <c r="A347" s="18" t="s">
        <v>730</v>
      </c>
      <c r="B347" s="18" t="s">
        <v>734</v>
      </c>
      <c r="C347" s="11">
        <v>35.0</v>
      </c>
      <c r="D347" s="22">
        <v>5.86</v>
      </c>
      <c r="E347" s="22">
        <v>5.83</v>
      </c>
      <c r="F347" s="11">
        <v>2.0</v>
      </c>
      <c r="G347" s="11">
        <v>0.0</v>
      </c>
      <c r="H347" s="11" t="s">
        <v>72</v>
      </c>
      <c r="I347" s="11">
        <v>6.0</v>
      </c>
      <c r="J347" s="11">
        <v>0.0</v>
      </c>
      <c r="K347" s="11" t="s">
        <v>103</v>
      </c>
      <c r="L347" s="18" t="s">
        <v>175</v>
      </c>
    </row>
    <row r="348" ht="15.75" customHeight="1">
      <c r="A348" s="29" t="s">
        <v>608</v>
      </c>
      <c r="B348" s="29" t="s">
        <v>283</v>
      </c>
      <c r="C348" s="25">
        <v>27.0</v>
      </c>
      <c r="D348" s="32">
        <v>5.96</v>
      </c>
      <c r="E348" s="32">
        <v>5.83</v>
      </c>
      <c r="F348" s="25">
        <v>0.0</v>
      </c>
      <c r="G348" s="25">
        <v>0.0</v>
      </c>
      <c r="H348" s="25" t="s">
        <v>72</v>
      </c>
      <c r="I348" s="25">
        <v>7.0</v>
      </c>
      <c r="J348" s="25">
        <v>0.0</v>
      </c>
      <c r="K348" s="25" t="s">
        <v>103</v>
      </c>
      <c r="L348" s="29" t="s">
        <v>283</v>
      </c>
    </row>
    <row r="349" ht="15.75" customHeight="1">
      <c r="A349" s="18" t="s">
        <v>1016</v>
      </c>
      <c r="B349" s="18" t="s">
        <v>852</v>
      </c>
      <c r="C349" s="11">
        <v>27.0</v>
      </c>
      <c r="D349" s="22">
        <v>5.65</v>
      </c>
      <c r="E349" s="22">
        <v>5.83</v>
      </c>
      <c r="F349" s="11">
        <v>2.0</v>
      </c>
      <c r="G349" s="11">
        <v>0.0</v>
      </c>
      <c r="H349" s="11" t="s">
        <v>72</v>
      </c>
      <c r="I349" s="11">
        <v>2.0</v>
      </c>
      <c r="J349" s="11">
        <v>0.0</v>
      </c>
      <c r="K349" s="11" t="s">
        <v>73</v>
      </c>
      <c r="L349" s="18" t="s">
        <v>71</v>
      </c>
    </row>
    <row r="350" ht="15.75" customHeight="1">
      <c r="A350" s="29" t="s">
        <v>691</v>
      </c>
      <c r="B350" s="29" t="s">
        <v>195</v>
      </c>
      <c r="C350" s="25">
        <v>21.0</v>
      </c>
      <c r="D350" s="32">
        <v>5.69</v>
      </c>
      <c r="E350" s="32">
        <v>5.83</v>
      </c>
      <c r="F350" s="25">
        <v>1.0</v>
      </c>
      <c r="G350" s="25">
        <v>0.0</v>
      </c>
      <c r="H350" s="25" t="s">
        <v>72</v>
      </c>
      <c r="I350" s="25">
        <v>0.0</v>
      </c>
      <c r="J350" s="25">
        <v>0.0</v>
      </c>
      <c r="K350" s="25" t="s">
        <v>103</v>
      </c>
      <c r="L350" s="29" t="s">
        <v>195</v>
      </c>
    </row>
    <row r="351" ht="15.75" customHeight="1">
      <c r="A351" s="18" t="s">
        <v>806</v>
      </c>
      <c r="B351" s="18" t="s">
        <v>208</v>
      </c>
      <c r="C351" s="11">
        <v>12.0</v>
      </c>
      <c r="D351" s="22">
        <v>5.88</v>
      </c>
      <c r="E351" s="22">
        <v>5.83</v>
      </c>
      <c r="F351" s="11">
        <v>0.0</v>
      </c>
      <c r="G351" s="11">
        <v>0.0</v>
      </c>
      <c r="H351" s="11" t="s">
        <v>72</v>
      </c>
      <c r="I351" s="11">
        <v>2.0</v>
      </c>
      <c r="J351" s="11">
        <v>0.0</v>
      </c>
      <c r="K351" s="11" t="s">
        <v>103</v>
      </c>
      <c r="L351" s="18" t="s">
        <v>239</v>
      </c>
    </row>
    <row r="352" ht="15.75" customHeight="1">
      <c r="A352" s="29" t="s">
        <v>647</v>
      </c>
      <c r="B352" s="29" t="s">
        <v>185</v>
      </c>
      <c r="C352" s="25">
        <v>12.0</v>
      </c>
      <c r="D352" s="32">
        <v>5.75</v>
      </c>
      <c r="E352" s="32">
        <v>5.83</v>
      </c>
      <c r="F352" s="25">
        <v>0.0</v>
      </c>
      <c r="G352" s="25">
        <v>1.0</v>
      </c>
      <c r="H352" s="25" t="s">
        <v>72</v>
      </c>
      <c r="I352" s="25">
        <v>0.0</v>
      </c>
      <c r="J352" s="25">
        <v>0.0</v>
      </c>
      <c r="K352" s="25" t="s">
        <v>103</v>
      </c>
      <c r="L352" s="29" t="s">
        <v>185</v>
      </c>
    </row>
    <row r="353" ht="15.75" customHeight="1">
      <c r="A353" s="18" t="s">
        <v>1017</v>
      </c>
      <c r="B353" s="18" t="s">
        <v>852</v>
      </c>
      <c r="C353" s="11">
        <v>3.0</v>
      </c>
      <c r="D353" s="22">
        <v>5.83</v>
      </c>
      <c r="E353" s="22">
        <v>5.83</v>
      </c>
      <c r="F353" s="11">
        <v>0.0</v>
      </c>
      <c r="G353" s="11">
        <v>0.0</v>
      </c>
      <c r="H353" s="11" t="s">
        <v>72</v>
      </c>
      <c r="I353" s="11">
        <v>0.0</v>
      </c>
      <c r="J353" s="11">
        <v>0.0</v>
      </c>
      <c r="K353" s="11" t="s">
        <v>73</v>
      </c>
      <c r="L353" s="18" t="s">
        <v>71</v>
      </c>
    </row>
    <row r="354" ht="15.75" customHeight="1">
      <c r="A354" s="29" t="s">
        <v>540</v>
      </c>
      <c r="B354" s="29" t="s">
        <v>239</v>
      </c>
      <c r="C354" s="25">
        <v>34.0</v>
      </c>
      <c r="D354" s="32">
        <v>5.88</v>
      </c>
      <c r="E354" s="32">
        <v>5.82</v>
      </c>
      <c r="F354" s="25">
        <v>0.0</v>
      </c>
      <c r="G354" s="25">
        <v>3.0</v>
      </c>
      <c r="H354" s="25" t="s">
        <v>72</v>
      </c>
      <c r="I354" s="25">
        <v>8.0</v>
      </c>
      <c r="J354" s="25">
        <v>1.0</v>
      </c>
      <c r="K354" s="25" t="s">
        <v>103</v>
      </c>
      <c r="L354" s="29" t="s">
        <v>239</v>
      </c>
    </row>
    <row r="355" ht="15.75" customHeight="1">
      <c r="A355" s="18" t="s">
        <v>1020</v>
      </c>
      <c r="B355" s="18" t="s">
        <v>852</v>
      </c>
      <c r="C355" s="11">
        <v>30.0</v>
      </c>
      <c r="D355" s="22">
        <v>5.82</v>
      </c>
      <c r="E355" s="22">
        <v>5.82</v>
      </c>
      <c r="F355" s="11">
        <v>1.0</v>
      </c>
      <c r="G355" s="11">
        <v>0.0</v>
      </c>
      <c r="H355" s="11" t="s">
        <v>72</v>
      </c>
      <c r="I355" s="11">
        <v>4.0</v>
      </c>
      <c r="J355" s="11">
        <v>1.0</v>
      </c>
      <c r="K355" s="11" t="s">
        <v>103</v>
      </c>
      <c r="L355" s="18" t="s">
        <v>272</v>
      </c>
    </row>
    <row r="356" ht="15.75" customHeight="1">
      <c r="A356" s="29" t="s">
        <v>548</v>
      </c>
      <c r="B356" s="29" t="s">
        <v>143</v>
      </c>
      <c r="C356" s="25">
        <v>22.0</v>
      </c>
      <c r="D356" s="32">
        <v>5.82</v>
      </c>
      <c r="E356" s="32">
        <v>5.82</v>
      </c>
      <c r="F356" s="25">
        <v>0.0</v>
      </c>
      <c r="G356" s="25">
        <v>1.0</v>
      </c>
      <c r="H356" s="25" t="s">
        <v>72</v>
      </c>
      <c r="I356" s="25">
        <v>2.0</v>
      </c>
      <c r="J356" s="25">
        <v>0.0</v>
      </c>
      <c r="K356" s="25" t="s">
        <v>103</v>
      </c>
      <c r="L356" s="29" t="s">
        <v>143</v>
      </c>
    </row>
    <row r="357" ht="15.75" customHeight="1">
      <c r="A357" s="18" t="s">
        <v>1021</v>
      </c>
      <c r="B357" s="18" t="s">
        <v>195</v>
      </c>
      <c r="C357" s="11">
        <v>11.0</v>
      </c>
      <c r="D357" s="22">
        <v>5.77</v>
      </c>
      <c r="E357" s="22">
        <v>5.82</v>
      </c>
      <c r="F357" s="11">
        <v>0.0</v>
      </c>
      <c r="G357" s="11">
        <v>2.0</v>
      </c>
      <c r="H357" s="11" t="s">
        <v>72</v>
      </c>
      <c r="I357" s="11">
        <v>1.0</v>
      </c>
      <c r="J357" s="11">
        <v>1.0</v>
      </c>
      <c r="K357" s="11" t="s">
        <v>103</v>
      </c>
      <c r="L357" s="18" t="s">
        <v>195</v>
      </c>
    </row>
    <row r="358" ht="15.75" customHeight="1">
      <c r="A358" s="29" t="s">
        <v>1022</v>
      </c>
      <c r="B358" s="29" t="s">
        <v>212</v>
      </c>
      <c r="C358" s="25">
        <v>27.0</v>
      </c>
      <c r="D358" s="32">
        <v>5.87</v>
      </c>
      <c r="E358" s="32">
        <v>5.81</v>
      </c>
      <c r="F358" s="25">
        <v>0.0</v>
      </c>
      <c r="G358" s="25">
        <v>1.0</v>
      </c>
      <c r="H358" s="25" t="s">
        <v>72</v>
      </c>
      <c r="I358" s="25">
        <v>5.0</v>
      </c>
      <c r="J358" s="25">
        <v>0.0</v>
      </c>
      <c r="K358" s="25" t="s">
        <v>103</v>
      </c>
      <c r="L358" s="29" t="s">
        <v>212</v>
      </c>
    </row>
    <row r="359" ht="15.75" customHeight="1">
      <c r="A359" s="18" t="s">
        <v>668</v>
      </c>
      <c r="B359" s="18" t="s">
        <v>195</v>
      </c>
      <c r="C359" s="11">
        <v>24.0</v>
      </c>
      <c r="D359" s="22">
        <v>5.85</v>
      </c>
      <c r="E359" s="22">
        <v>5.81</v>
      </c>
      <c r="F359" s="11">
        <v>1.0</v>
      </c>
      <c r="G359" s="11">
        <v>0.0</v>
      </c>
      <c r="H359" s="11" t="s">
        <v>72</v>
      </c>
      <c r="I359" s="11">
        <v>8.0</v>
      </c>
      <c r="J359" s="11">
        <v>0.0</v>
      </c>
      <c r="K359" s="11" t="s">
        <v>103</v>
      </c>
      <c r="L359" s="18" t="s">
        <v>195</v>
      </c>
    </row>
    <row r="360" ht="15.75" customHeight="1">
      <c r="A360" s="29" t="s">
        <v>1024</v>
      </c>
      <c r="B360" s="29" t="s">
        <v>283</v>
      </c>
      <c r="C360" s="25">
        <v>21.0</v>
      </c>
      <c r="D360" s="32">
        <v>5.79</v>
      </c>
      <c r="E360" s="32">
        <v>5.81</v>
      </c>
      <c r="F360" s="25">
        <v>1.0</v>
      </c>
      <c r="G360" s="25">
        <v>0.0</v>
      </c>
      <c r="H360" s="25" t="s">
        <v>72</v>
      </c>
      <c r="I360" s="25">
        <v>3.0</v>
      </c>
      <c r="J360" s="25">
        <v>1.0</v>
      </c>
      <c r="K360" s="25" t="s">
        <v>103</v>
      </c>
      <c r="L360" s="29" t="s">
        <v>283</v>
      </c>
    </row>
    <row r="361" ht="15.75" customHeight="1">
      <c r="A361" s="18" t="s">
        <v>1025</v>
      </c>
      <c r="B361" s="18" t="s">
        <v>212</v>
      </c>
      <c r="C361" s="11">
        <v>8.0</v>
      </c>
      <c r="D361" s="22">
        <v>5.81</v>
      </c>
      <c r="E361" s="22">
        <v>5.81</v>
      </c>
      <c r="F361" s="11">
        <v>0.0</v>
      </c>
      <c r="G361" s="11">
        <v>1.0</v>
      </c>
      <c r="H361" s="11" t="s">
        <v>72</v>
      </c>
      <c r="I361" s="11">
        <v>3.0</v>
      </c>
      <c r="J361" s="11">
        <v>0.0</v>
      </c>
      <c r="K361" s="11" t="s">
        <v>73</v>
      </c>
      <c r="L361" s="18" t="s">
        <v>71</v>
      </c>
    </row>
    <row r="362" ht="15.75" customHeight="1">
      <c r="A362" s="29" t="s">
        <v>1026</v>
      </c>
      <c r="B362" s="29" t="s">
        <v>852</v>
      </c>
      <c r="C362" s="25">
        <v>35.0</v>
      </c>
      <c r="D362" s="32">
        <v>5.8</v>
      </c>
      <c r="E362" s="32">
        <v>5.8</v>
      </c>
      <c r="F362" s="25">
        <v>1.0</v>
      </c>
      <c r="G362" s="25">
        <v>1.0</v>
      </c>
      <c r="H362" s="25" t="s">
        <v>72</v>
      </c>
      <c r="I362" s="25">
        <v>8.0</v>
      </c>
      <c r="J362" s="25">
        <v>0.0</v>
      </c>
      <c r="K362" s="25" t="s">
        <v>73</v>
      </c>
      <c r="L362" s="29" t="s">
        <v>71</v>
      </c>
    </row>
    <row r="363" ht="15.75" customHeight="1">
      <c r="A363" s="18" t="s">
        <v>1027</v>
      </c>
      <c r="B363" s="18" t="s">
        <v>143</v>
      </c>
      <c r="C363" s="11">
        <v>33.0</v>
      </c>
      <c r="D363" s="22">
        <v>5.86</v>
      </c>
      <c r="E363" s="22">
        <v>5.8</v>
      </c>
      <c r="F363" s="11">
        <v>0.0</v>
      </c>
      <c r="G363" s="11">
        <v>0.0</v>
      </c>
      <c r="H363" s="11" t="s">
        <v>72</v>
      </c>
      <c r="I363" s="11">
        <v>4.0</v>
      </c>
      <c r="J363" s="11">
        <v>0.0</v>
      </c>
      <c r="K363" s="11" t="s">
        <v>73</v>
      </c>
      <c r="L363" s="18" t="s">
        <v>71</v>
      </c>
    </row>
    <row r="364" ht="15.75" customHeight="1">
      <c r="A364" s="29" t="s">
        <v>552</v>
      </c>
      <c r="B364" s="29" t="s">
        <v>182</v>
      </c>
      <c r="C364" s="25">
        <v>25.0</v>
      </c>
      <c r="D364" s="32">
        <v>5.84</v>
      </c>
      <c r="E364" s="32">
        <v>5.8</v>
      </c>
      <c r="F364" s="25">
        <v>0.0</v>
      </c>
      <c r="G364" s="25">
        <v>0.0</v>
      </c>
      <c r="H364" s="25" t="s">
        <v>72</v>
      </c>
      <c r="I364" s="25">
        <v>0.0</v>
      </c>
      <c r="J364" s="25">
        <v>1.0</v>
      </c>
      <c r="K364" s="25" t="s">
        <v>103</v>
      </c>
      <c r="L364" s="29" t="s">
        <v>182</v>
      </c>
    </row>
    <row r="365" ht="15.75" customHeight="1">
      <c r="A365" s="18" t="s">
        <v>1028</v>
      </c>
      <c r="B365" s="18" t="s">
        <v>852</v>
      </c>
      <c r="C365" s="11">
        <v>23.0</v>
      </c>
      <c r="D365" s="22">
        <v>5.8</v>
      </c>
      <c r="E365" s="22">
        <v>5.8</v>
      </c>
      <c r="F365" s="11">
        <v>0.0</v>
      </c>
      <c r="G365" s="11">
        <v>1.0</v>
      </c>
      <c r="H365" s="11" t="s">
        <v>72</v>
      </c>
      <c r="I365" s="11">
        <v>2.0</v>
      </c>
      <c r="J365" s="11">
        <v>0.0</v>
      </c>
      <c r="K365" s="11" t="s">
        <v>103</v>
      </c>
      <c r="L365" s="18" t="s">
        <v>272</v>
      </c>
    </row>
    <row r="366" ht="15.75" customHeight="1">
      <c r="A366" s="29" t="s">
        <v>488</v>
      </c>
      <c r="B366" s="29" t="s">
        <v>195</v>
      </c>
      <c r="C366" s="25">
        <v>22.0</v>
      </c>
      <c r="D366" s="32">
        <v>5.91</v>
      </c>
      <c r="E366" s="32">
        <v>5.8</v>
      </c>
      <c r="F366" s="25">
        <v>0.0</v>
      </c>
      <c r="G366" s="25">
        <v>0.0</v>
      </c>
      <c r="H366" s="25" t="s">
        <v>72</v>
      </c>
      <c r="I366" s="25">
        <v>5.0</v>
      </c>
      <c r="J366" s="25">
        <v>0.0</v>
      </c>
      <c r="K366" s="25" t="s">
        <v>103</v>
      </c>
      <c r="L366" s="29" t="s">
        <v>195</v>
      </c>
    </row>
    <row r="367" ht="15.75" customHeight="1">
      <c r="A367" s="18" t="s">
        <v>1029</v>
      </c>
      <c r="B367" s="18" t="s">
        <v>283</v>
      </c>
      <c r="C367" s="11">
        <v>22.0</v>
      </c>
      <c r="D367" s="22">
        <v>5.8</v>
      </c>
      <c r="E367" s="22">
        <v>5.8</v>
      </c>
      <c r="F367" s="11">
        <v>0.0</v>
      </c>
      <c r="G367" s="11">
        <v>1.0</v>
      </c>
      <c r="H367" s="11" t="s">
        <v>72</v>
      </c>
      <c r="I367" s="11">
        <v>2.0</v>
      </c>
      <c r="J367" s="11">
        <v>0.0</v>
      </c>
      <c r="K367" s="11" t="s">
        <v>73</v>
      </c>
      <c r="L367" s="18" t="s">
        <v>71</v>
      </c>
    </row>
    <row r="368" ht="15.75" customHeight="1">
      <c r="A368" s="29" t="s">
        <v>1030</v>
      </c>
      <c r="B368" s="29" t="s">
        <v>361</v>
      </c>
      <c r="C368" s="25">
        <v>22.0</v>
      </c>
      <c r="D368" s="32">
        <v>5.86</v>
      </c>
      <c r="E368" s="32">
        <v>5.8</v>
      </c>
      <c r="F368" s="25">
        <v>1.0</v>
      </c>
      <c r="G368" s="25">
        <v>0.0</v>
      </c>
      <c r="H368" s="25" t="s">
        <v>72</v>
      </c>
      <c r="I368" s="25">
        <v>9.0</v>
      </c>
      <c r="J368" s="25">
        <v>0.0</v>
      </c>
      <c r="K368" s="25" t="s">
        <v>73</v>
      </c>
      <c r="L368" s="29" t="s">
        <v>71</v>
      </c>
    </row>
    <row r="369" ht="15.75" customHeight="1">
      <c r="A369" s="18" t="s">
        <v>1032</v>
      </c>
      <c r="B369" s="18" t="s">
        <v>239</v>
      </c>
      <c r="C369" s="11">
        <v>10.0</v>
      </c>
      <c r="D369" s="22">
        <v>5.8</v>
      </c>
      <c r="E369" s="22">
        <v>5.8</v>
      </c>
      <c r="F369" s="11">
        <v>0.0</v>
      </c>
      <c r="G369" s="11">
        <v>0.0</v>
      </c>
      <c r="H369" s="11" t="s">
        <v>72</v>
      </c>
      <c r="I369" s="11">
        <v>0.0</v>
      </c>
      <c r="J369" s="11">
        <v>0.0</v>
      </c>
      <c r="K369" s="11" t="s">
        <v>73</v>
      </c>
      <c r="L369" s="18" t="s">
        <v>71</v>
      </c>
    </row>
    <row r="370" ht="15.75" customHeight="1">
      <c r="A370" s="29" t="s">
        <v>1033</v>
      </c>
      <c r="B370" s="29" t="s">
        <v>734</v>
      </c>
      <c r="C370" s="25">
        <v>5.0</v>
      </c>
      <c r="D370" s="32">
        <v>5.9</v>
      </c>
      <c r="E370" s="32">
        <v>5.8</v>
      </c>
      <c r="F370" s="25">
        <v>0.0</v>
      </c>
      <c r="G370" s="25">
        <v>0.0</v>
      </c>
      <c r="H370" s="25" t="s">
        <v>72</v>
      </c>
      <c r="I370" s="25">
        <v>1.0</v>
      </c>
      <c r="J370" s="25">
        <v>0.0</v>
      </c>
      <c r="K370" s="25" t="s">
        <v>73</v>
      </c>
      <c r="L370" s="29" t="s">
        <v>71</v>
      </c>
    </row>
    <row r="371" ht="15.75" customHeight="1">
      <c r="A371" s="18" t="s">
        <v>904</v>
      </c>
      <c r="B371" s="18" t="s">
        <v>185</v>
      </c>
      <c r="C371" s="11">
        <v>5.0</v>
      </c>
      <c r="D371" s="22">
        <v>5.8</v>
      </c>
      <c r="E371" s="22">
        <v>5.8</v>
      </c>
      <c r="F371" s="11">
        <v>0.0</v>
      </c>
      <c r="G371" s="11">
        <v>0.0</v>
      </c>
      <c r="H371" s="11" t="s">
        <v>72</v>
      </c>
      <c r="I371" s="11">
        <v>0.0</v>
      </c>
      <c r="J371" s="11">
        <v>0.0</v>
      </c>
      <c r="K371" s="11" t="s">
        <v>103</v>
      </c>
      <c r="L371" s="18" t="s">
        <v>185</v>
      </c>
    </row>
    <row r="372" ht="15.75" customHeight="1">
      <c r="A372" s="29" t="s">
        <v>624</v>
      </c>
      <c r="B372" s="29" t="s">
        <v>208</v>
      </c>
      <c r="C372" s="25">
        <v>31.0</v>
      </c>
      <c r="D372" s="32">
        <v>5.85</v>
      </c>
      <c r="E372" s="32">
        <v>5.79</v>
      </c>
      <c r="F372" s="25">
        <v>1.0</v>
      </c>
      <c r="G372" s="25">
        <v>0.0</v>
      </c>
      <c r="H372" s="25" t="s">
        <v>72</v>
      </c>
      <c r="I372" s="25">
        <v>8.0</v>
      </c>
      <c r="J372" s="25">
        <v>1.0</v>
      </c>
      <c r="K372" s="25" t="s">
        <v>103</v>
      </c>
      <c r="L372" s="29" t="s">
        <v>208</v>
      </c>
    </row>
    <row r="373" ht="15.75" customHeight="1">
      <c r="A373" s="18" t="s">
        <v>1034</v>
      </c>
      <c r="B373" s="18" t="s">
        <v>734</v>
      </c>
      <c r="C373" s="11">
        <v>29.0</v>
      </c>
      <c r="D373" s="22">
        <v>5.76</v>
      </c>
      <c r="E373" s="22">
        <v>5.79</v>
      </c>
      <c r="F373" s="11">
        <v>0.0</v>
      </c>
      <c r="G373" s="11">
        <v>2.0</v>
      </c>
      <c r="H373" s="11" t="s">
        <v>72</v>
      </c>
      <c r="I373" s="11">
        <v>2.0</v>
      </c>
      <c r="J373" s="11">
        <v>0.0</v>
      </c>
      <c r="K373" s="11" t="s">
        <v>103</v>
      </c>
      <c r="L373" s="18" t="s">
        <v>261</v>
      </c>
    </row>
    <row r="374" ht="15.75" customHeight="1">
      <c r="A374" s="29" t="s">
        <v>1035</v>
      </c>
      <c r="B374" s="29" t="s">
        <v>175</v>
      </c>
      <c r="C374" s="25">
        <v>12.0</v>
      </c>
      <c r="D374" s="32">
        <v>5.71</v>
      </c>
      <c r="E374" s="32">
        <v>5.79</v>
      </c>
      <c r="F374" s="25">
        <v>0.0</v>
      </c>
      <c r="G374" s="25">
        <v>1.0</v>
      </c>
      <c r="H374" s="25" t="s">
        <v>72</v>
      </c>
      <c r="I374" s="25">
        <v>0.0</v>
      </c>
      <c r="J374" s="25">
        <v>0.0</v>
      </c>
      <c r="K374" s="25" t="s">
        <v>103</v>
      </c>
      <c r="L374" s="29" t="s">
        <v>175</v>
      </c>
    </row>
    <row r="375" ht="15.75" customHeight="1">
      <c r="A375" s="18" t="s">
        <v>539</v>
      </c>
      <c r="B375" s="18" t="s">
        <v>212</v>
      </c>
      <c r="C375" s="11">
        <v>7.0</v>
      </c>
      <c r="D375" s="22">
        <v>5.71</v>
      </c>
      <c r="E375" s="22">
        <v>5.79</v>
      </c>
      <c r="F375" s="11">
        <v>0.0</v>
      </c>
      <c r="G375" s="11">
        <v>1.0</v>
      </c>
      <c r="H375" s="11" t="s">
        <v>72</v>
      </c>
      <c r="I375" s="11">
        <v>2.0</v>
      </c>
      <c r="J375" s="11">
        <v>0.0</v>
      </c>
      <c r="K375" s="11" t="s">
        <v>103</v>
      </c>
      <c r="L375" s="18" t="s">
        <v>212</v>
      </c>
    </row>
    <row r="376" ht="15.75" customHeight="1">
      <c r="A376" s="29" t="s">
        <v>1013</v>
      </c>
      <c r="B376" s="29" t="s">
        <v>182</v>
      </c>
      <c r="C376" s="25">
        <v>23.0</v>
      </c>
      <c r="D376" s="32">
        <v>5.8</v>
      </c>
      <c r="E376" s="32">
        <v>5.78</v>
      </c>
      <c r="F376" s="25">
        <v>1.0</v>
      </c>
      <c r="G376" s="25">
        <v>0.0</v>
      </c>
      <c r="H376" s="25" t="s">
        <v>72</v>
      </c>
      <c r="I376" s="25">
        <v>5.0</v>
      </c>
      <c r="J376" s="25">
        <v>1.0</v>
      </c>
      <c r="K376" s="25" t="s">
        <v>103</v>
      </c>
      <c r="L376" s="29" t="s">
        <v>182</v>
      </c>
    </row>
    <row r="377" ht="15.75" customHeight="1">
      <c r="A377" s="18" t="s">
        <v>1037</v>
      </c>
      <c r="B377" s="18" t="s">
        <v>239</v>
      </c>
      <c r="C377" s="11">
        <v>18.0</v>
      </c>
      <c r="D377" s="22">
        <v>5.69</v>
      </c>
      <c r="E377" s="22">
        <v>5.78</v>
      </c>
      <c r="F377" s="11">
        <v>1.0</v>
      </c>
      <c r="G377" s="11">
        <v>0.0</v>
      </c>
      <c r="H377" s="11" t="s">
        <v>72</v>
      </c>
      <c r="I377" s="11">
        <v>3.0</v>
      </c>
      <c r="J377" s="11">
        <v>0.0</v>
      </c>
      <c r="K377" s="11" t="s">
        <v>103</v>
      </c>
      <c r="L377" s="18" t="s">
        <v>253</v>
      </c>
    </row>
    <row r="378" ht="15.75" customHeight="1">
      <c r="A378" s="29" t="s">
        <v>850</v>
      </c>
      <c r="B378" s="29" t="s">
        <v>60</v>
      </c>
      <c r="C378" s="25">
        <v>9.0</v>
      </c>
      <c r="D378" s="32">
        <v>5.94</v>
      </c>
      <c r="E378" s="32">
        <v>5.78</v>
      </c>
      <c r="F378" s="25">
        <v>0.0</v>
      </c>
      <c r="G378" s="25">
        <v>0.0</v>
      </c>
      <c r="H378" s="25" t="s">
        <v>72</v>
      </c>
      <c r="I378" s="25">
        <v>3.0</v>
      </c>
      <c r="J378" s="25">
        <v>0.0</v>
      </c>
      <c r="K378" s="25" t="s">
        <v>103</v>
      </c>
      <c r="L378" s="29" t="s">
        <v>272</v>
      </c>
    </row>
    <row r="379" ht="15.75" customHeight="1">
      <c r="A379" s="18" t="s">
        <v>1038</v>
      </c>
      <c r="B379" s="18" t="s">
        <v>852</v>
      </c>
      <c r="C379" s="11">
        <v>35.0</v>
      </c>
      <c r="D379" s="22">
        <v>5.8</v>
      </c>
      <c r="E379" s="22">
        <v>5.77</v>
      </c>
      <c r="F379" s="11">
        <v>2.0</v>
      </c>
      <c r="G379" s="11">
        <v>0.0</v>
      </c>
      <c r="H379" s="11" t="s">
        <v>72</v>
      </c>
      <c r="I379" s="11">
        <v>10.0</v>
      </c>
      <c r="J379" s="11">
        <v>0.0</v>
      </c>
      <c r="K379" s="11" t="s">
        <v>73</v>
      </c>
      <c r="L379" s="18" t="s">
        <v>71</v>
      </c>
    </row>
    <row r="380" ht="15.75" customHeight="1">
      <c r="A380" s="29" t="s">
        <v>1039</v>
      </c>
      <c r="B380" s="29" t="s">
        <v>185</v>
      </c>
      <c r="C380" s="25">
        <v>15.0</v>
      </c>
      <c r="D380" s="32">
        <v>5.87</v>
      </c>
      <c r="E380" s="32">
        <v>5.77</v>
      </c>
      <c r="F380" s="25">
        <v>0.0</v>
      </c>
      <c r="G380" s="25">
        <v>0.0</v>
      </c>
      <c r="H380" s="25" t="s">
        <v>72</v>
      </c>
      <c r="I380" s="25">
        <v>3.0</v>
      </c>
      <c r="J380" s="25">
        <v>0.0</v>
      </c>
      <c r="K380" s="25" t="s">
        <v>73</v>
      </c>
      <c r="L380" s="29" t="s">
        <v>71</v>
      </c>
    </row>
    <row r="381" ht="15.75" customHeight="1">
      <c r="A381" s="18" t="s">
        <v>1040</v>
      </c>
      <c r="B381" s="18" t="s">
        <v>734</v>
      </c>
      <c r="C381" s="11">
        <v>27.0</v>
      </c>
      <c r="D381" s="22">
        <v>5.85</v>
      </c>
      <c r="E381" s="22">
        <v>5.76</v>
      </c>
      <c r="F381" s="11">
        <v>0.0</v>
      </c>
      <c r="G381" s="11">
        <v>0.0</v>
      </c>
      <c r="H381" s="11" t="s">
        <v>72</v>
      </c>
      <c r="I381" s="11">
        <v>5.0</v>
      </c>
      <c r="J381" s="11">
        <v>0.0</v>
      </c>
      <c r="K381" s="11" t="s">
        <v>73</v>
      </c>
      <c r="L381" s="18" t="s">
        <v>71</v>
      </c>
    </row>
    <row r="382" ht="15.75" customHeight="1">
      <c r="A382" s="29" t="s">
        <v>649</v>
      </c>
      <c r="B382" s="29" t="s">
        <v>253</v>
      </c>
      <c r="C382" s="25">
        <v>27.0</v>
      </c>
      <c r="D382" s="32">
        <v>5.85</v>
      </c>
      <c r="E382" s="32">
        <v>5.76</v>
      </c>
      <c r="F382" s="25">
        <v>0.0</v>
      </c>
      <c r="G382" s="25">
        <v>0.0</v>
      </c>
      <c r="H382" s="25" t="s">
        <v>72</v>
      </c>
      <c r="I382" s="25">
        <v>5.0</v>
      </c>
      <c r="J382" s="25">
        <v>0.0</v>
      </c>
      <c r="K382" s="25" t="s">
        <v>103</v>
      </c>
      <c r="L382" s="29" t="s">
        <v>253</v>
      </c>
    </row>
    <row r="383" ht="15.75" customHeight="1">
      <c r="A383" s="18" t="s">
        <v>727</v>
      </c>
      <c r="B383" s="18" t="s">
        <v>232</v>
      </c>
      <c r="C383" s="11">
        <v>19.0</v>
      </c>
      <c r="D383" s="22">
        <v>5.68</v>
      </c>
      <c r="E383" s="22">
        <v>5.76</v>
      </c>
      <c r="F383" s="11">
        <v>1.0</v>
      </c>
      <c r="G383" s="11">
        <v>0.0</v>
      </c>
      <c r="H383" s="11" t="s">
        <v>72</v>
      </c>
      <c r="I383" s="11">
        <v>3.0</v>
      </c>
      <c r="J383" s="11">
        <v>0.0</v>
      </c>
      <c r="K383" s="11" t="s">
        <v>103</v>
      </c>
      <c r="L383" s="18" t="s">
        <v>232</v>
      </c>
    </row>
    <row r="384" ht="15.75" customHeight="1">
      <c r="A384" s="29" t="s">
        <v>1041</v>
      </c>
      <c r="B384" s="29" t="s">
        <v>175</v>
      </c>
      <c r="C384" s="25">
        <v>19.0</v>
      </c>
      <c r="D384" s="32">
        <v>5.76</v>
      </c>
      <c r="E384" s="32">
        <v>5.76</v>
      </c>
      <c r="F384" s="25">
        <v>1.0</v>
      </c>
      <c r="G384" s="25">
        <v>0.0</v>
      </c>
      <c r="H384" s="25" t="s">
        <v>202</v>
      </c>
      <c r="I384" s="25">
        <v>0.0</v>
      </c>
      <c r="J384" s="25">
        <v>0.0</v>
      </c>
      <c r="K384" s="25" t="s">
        <v>73</v>
      </c>
      <c r="L384" s="29" t="s">
        <v>71</v>
      </c>
    </row>
    <row r="385" ht="15.75" customHeight="1">
      <c r="A385" s="18" t="s">
        <v>618</v>
      </c>
      <c r="B385" s="18" t="s">
        <v>208</v>
      </c>
      <c r="C385" s="11">
        <v>24.0</v>
      </c>
      <c r="D385" s="22">
        <v>5.75</v>
      </c>
      <c r="E385" s="22">
        <v>5.75</v>
      </c>
      <c r="F385" s="11">
        <v>1.0</v>
      </c>
      <c r="G385" s="11">
        <v>0.0</v>
      </c>
      <c r="H385" s="11" t="s">
        <v>72</v>
      </c>
      <c r="I385" s="11">
        <v>2.0</v>
      </c>
      <c r="J385" s="11">
        <v>0.0</v>
      </c>
      <c r="K385" s="11" t="s">
        <v>103</v>
      </c>
      <c r="L385" s="18" t="s">
        <v>212</v>
      </c>
    </row>
    <row r="386" ht="15.75" customHeight="1">
      <c r="A386" s="29" t="s">
        <v>737</v>
      </c>
      <c r="B386" s="29" t="s">
        <v>361</v>
      </c>
      <c r="C386" s="25">
        <v>18.0</v>
      </c>
      <c r="D386" s="32">
        <v>5.83</v>
      </c>
      <c r="E386" s="32">
        <v>5.75</v>
      </c>
      <c r="F386" s="25">
        <v>0.0</v>
      </c>
      <c r="G386" s="25">
        <v>0.0</v>
      </c>
      <c r="H386" s="25" t="s">
        <v>72</v>
      </c>
      <c r="I386" s="25">
        <v>3.0</v>
      </c>
      <c r="J386" s="25">
        <v>0.0</v>
      </c>
      <c r="K386" s="25" t="s">
        <v>103</v>
      </c>
      <c r="L386" s="29" t="s">
        <v>264</v>
      </c>
    </row>
    <row r="387" ht="15.75" customHeight="1">
      <c r="A387" s="18" t="s">
        <v>694</v>
      </c>
      <c r="B387" s="18" t="s">
        <v>195</v>
      </c>
      <c r="C387" s="11">
        <v>10.0</v>
      </c>
      <c r="D387" s="22">
        <v>5.85</v>
      </c>
      <c r="E387" s="22">
        <v>5.75</v>
      </c>
      <c r="F387" s="11">
        <v>0.0</v>
      </c>
      <c r="G387" s="11">
        <v>0.0</v>
      </c>
      <c r="H387" s="11" t="s">
        <v>72</v>
      </c>
      <c r="I387" s="11">
        <v>2.0</v>
      </c>
      <c r="J387" s="11">
        <v>0.0</v>
      </c>
      <c r="K387" s="11" t="s">
        <v>103</v>
      </c>
      <c r="L387" s="18" t="s">
        <v>195</v>
      </c>
    </row>
    <row r="388" ht="15.75" customHeight="1">
      <c r="A388" s="29" t="s">
        <v>1042</v>
      </c>
      <c r="B388" s="29" t="s">
        <v>361</v>
      </c>
      <c r="C388" s="25">
        <v>10.0</v>
      </c>
      <c r="D388" s="32">
        <v>5.75</v>
      </c>
      <c r="E388" s="32">
        <v>5.75</v>
      </c>
      <c r="F388" s="25">
        <v>0.0</v>
      </c>
      <c r="G388" s="25">
        <v>1.0</v>
      </c>
      <c r="H388" s="25" t="s">
        <v>72</v>
      </c>
      <c r="I388" s="25">
        <v>2.0</v>
      </c>
      <c r="J388" s="25">
        <v>0.0</v>
      </c>
      <c r="K388" s="25" t="s">
        <v>73</v>
      </c>
      <c r="L388" s="29" t="s">
        <v>71</v>
      </c>
    </row>
    <row r="389" ht="15.75" customHeight="1">
      <c r="A389" s="18" t="s">
        <v>1043</v>
      </c>
      <c r="B389" s="18" t="s">
        <v>361</v>
      </c>
      <c r="C389" s="11">
        <v>6.0</v>
      </c>
      <c r="D389" s="22">
        <v>5.75</v>
      </c>
      <c r="E389" s="22">
        <v>5.75</v>
      </c>
      <c r="F389" s="11">
        <v>0.0</v>
      </c>
      <c r="G389" s="11">
        <v>0.0</v>
      </c>
      <c r="H389" s="11" t="s">
        <v>72</v>
      </c>
      <c r="I389" s="11">
        <v>0.0</v>
      </c>
      <c r="J389" s="11">
        <v>0.0</v>
      </c>
      <c r="K389" s="11" t="s">
        <v>73</v>
      </c>
      <c r="L389" s="18" t="s">
        <v>71</v>
      </c>
    </row>
    <row r="390" ht="15.75" customHeight="1">
      <c r="A390" s="29" t="s">
        <v>1044</v>
      </c>
      <c r="B390" s="29" t="s">
        <v>239</v>
      </c>
      <c r="C390" s="25">
        <v>4.0</v>
      </c>
      <c r="D390" s="32">
        <v>5.75</v>
      </c>
      <c r="E390" s="32">
        <v>5.75</v>
      </c>
      <c r="F390" s="25">
        <v>0.0</v>
      </c>
      <c r="G390" s="25">
        <v>0.0</v>
      </c>
      <c r="H390" s="25" t="s">
        <v>72</v>
      </c>
      <c r="I390" s="25">
        <v>0.0</v>
      </c>
      <c r="J390" s="25">
        <v>0.0</v>
      </c>
      <c r="K390" s="25" t="s">
        <v>103</v>
      </c>
      <c r="L390" s="29" t="s">
        <v>239</v>
      </c>
    </row>
    <row r="391" ht="15.75" customHeight="1">
      <c r="A391" s="18" t="s">
        <v>1045</v>
      </c>
      <c r="B391" s="18" t="s">
        <v>208</v>
      </c>
      <c r="C391" s="11">
        <v>4.0</v>
      </c>
      <c r="D391" s="22">
        <v>5.75</v>
      </c>
      <c r="E391" s="22">
        <v>5.75</v>
      </c>
      <c r="F391" s="11">
        <v>0.0</v>
      </c>
      <c r="G391" s="11">
        <v>0.0</v>
      </c>
      <c r="H391" s="11" t="s">
        <v>72</v>
      </c>
      <c r="I391" s="11">
        <v>0.0</v>
      </c>
      <c r="J391" s="11">
        <v>0.0</v>
      </c>
      <c r="K391" s="11" t="s">
        <v>73</v>
      </c>
      <c r="L391" s="18" t="s">
        <v>71</v>
      </c>
    </row>
    <row r="392" ht="15.75" customHeight="1">
      <c r="A392" s="29" t="s">
        <v>701</v>
      </c>
      <c r="B392" s="29" t="s">
        <v>253</v>
      </c>
      <c r="C392" s="25">
        <v>2.0</v>
      </c>
      <c r="D392" s="32">
        <v>5.75</v>
      </c>
      <c r="E392" s="32">
        <v>5.75</v>
      </c>
      <c r="F392" s="25">
        <v>0.0</v>
      </c>
      <c r="G392" s="25">
        <v>0.0</v>
      </c>
      <c r="H392" s="25" t="s">
        <v>72</v>
      </c>
      <c r="I392" s="25">
        <v>0.0</v>
      </c>
      <c r="J392" s="25">
        <v>0.0</v>
      </c>
      <c r="K392" s="25" t="s">
        <v>103</v>
      </c>
      <c r="L392" s="29" t="s">
        <v>253</v>
      </c>
    </row>
    <row r="393" ht="15.75" customHeight="1">
      <c r="A393" s="18" t="s">
        <v>1047</v>
      </c>
      <c r="B393" s="18" t="s">
        <v>208</v>
      </c>
      <c r="C393" s="11">
        <v>2.0</v>
      </c>
      <c r="D393" s="22">
        <v>5.75</v>
      </c>
      <c r="E393" s="22">
        <v>5.75</v>
      </c>
      <c r="F393" s="11">
        <v>0.0</v>
      </c>
      <c r="G393" s="11">
        <v>0.0</v>
      </c>
      <c r="H393" s="11" t="s">
        <v>72</v>
      </c>
      <c r="I393" s="11">
        <v>0.0</v>
      </c>
      <c r="J393" s="11">
        <v>0.0</v>
      </c>
      <c r="K393" s="11" t="s">
        <v>73</v>
      </c>
      <c r="L393" s="18" t="s">
        <v>71</v>
      </c>
    </row>
    <row r="394" ht="15.75" customHeight="1">
      <c r="A394" s="29" t="s">
        <v>1048</v>
      </c>
      <c r="B394" s="29" t="s">
        <v>177</v>
      </c>
      <c r="C394" s="25">
        <v>2.0</v>
      </c>
      <c r="D394" s="32">
        <v>5.75</v>
      </c>
      <c r="E394" s="32">
        <v>5.75</v>
      </c>
      <c r="F394" s="25">
        <v>0.0</v>
      </c>
      <c r="G394" s="25">
        <v>0.0</v>
      </c>
      <c r="H394" s="25" t="s">
        <v>72</v>
      </c>
      <c r="I394" s="25">
        <v>0.0</v>
      </c>
      <c r="J394" s="25">
        <v>0.0</v>
      </c>
      <c r="K394" s="25" t="s">
        <v>73</v>
      </c>
      <c r="L394" s="29" t="s">
        <v>71</v>
      </c>
    </row>
    <row r="395" ht="15.75" customHeight="1">
      <c r="A395" s="18" t="s">
        <v>697</v>
      </c>
      <c r="B395" s="18" t="s">
        <v>253</v>
      </c>
      <c r="C395" s="11">
        <v>34.0</v>
      </c>
      <c r="D395" s="22">
        <v>5.81</v>
      </c>
      <c r="E395" s="22">
        <v>5.74</v>
      </c>
      <c r="F395" s="11">
        <v>0.0</v>
      </c>
      <c r="G395" s="11">
        <v>1.0</v>
      </c>
      <c r="H395" s="11" t="s">
        <v>72</v>
      </c>
      <c r="I395" s="11">
        <v>7.0</v>
      </c>
      <c r="J395" s="11">
        <v>0.0</v>
      </c>
      <c r="K395" s="11" t="s">
        <v>103</v>
      </c>
      <c r="L395" s="18" t="s">
        <v>253</v>
      </c>
    </row>
    <row r="396" ht="15.75" customHeight="1">
      <c r="A396" s="29" t="s">
        <v>844</v>
      </c>
      <c r="B396" s="29" t="s">
        <v>195</v>
      </c>
      <c r="C396" s="25">
        <v>17.0</v>
      </c>
      <c r="D396" s="32">
        <v>5.79</v>
      </c>
      <c r="E396" s="32">
        <v>5.74</v>
      </c>
      <c r="F396" s="25">
        <v>0.0</v>
      </c>
      <c r="G396" s="25">
        <v>0.0</v>
      </c>
      <c r="H396" s="25" t="s">
        <v>72</v>
      </c>
      <c r="I396" s="25">
        <v>2.0</v>
      </c>
      <c r="J396" s="25">
        <v>0.0</v>
      </c>
      <c r="K396" s="25" t="s">
        <v>103</v>
      </c>
      <c r="L396" s="29" t="s">
        <v>195</v>
      </c>
    </row>
    <row r="397" ht="15.75" customHeight="1">
      <c r="A397" s="18" t="s">
        <v>1049</v>
      </c>
      <c r="B397" s="18" t="s">
        <v>361</v>
      </c>
      <c r="C397" s="11">
        <v>15.0</v>
      </c>
      <c r="D397" s="22">
        <v>5.97</v>
      </c>
      <c r="E397" s="22">
        <v>5.73</v>
      </c>
      <c r="F397" s="11">
        <v>0.0</v>
      </c>
      <c r="G397" s="11">
        <v>0.0</v>
      </c>
      <c r="H397" s="11" t="s">
        <v>72</v>
      </c>
      <c r="I397" s="11">
        <v>3.0</v>
      </c>
      <c r="J397" s="11">
        <v>0.0</v>
      </c>
      <c r="K397" s="11" t="s">
        <v>73</v>
      </c>
      <c r="L397" s="18" t="s">
        <v>71</v>
      </c>
    </row>
    <row r="398" ht="15.75" customHeight="1">
      <c r="A398" s="29" t="s">
        <v>1050</v>
      </c>
      <c r="B398" s="29" t="s">
        <v>133</v>
      </c>
      <c r="C398" s="25">
        <v>13.0</v>
      </c>
      <c r="D398" s="32">
        <v>5.85</v>
      </c>
      <c r="E398" s="32">
        <v>5.73</v>
      </c>
      <c r="F398" s="25">
        <v>0.0</v>
      </c>
      <c r="G398" s="25">
        <v>0.0</v>
      </c>
      <c r="H398" s="25" t="s">
        <v>72</v>
      </c>
      <c r="I398" s="25">
        <v>3.0</v>
      </c>
      <c r="J398" s="25">
        <v>0.0</v>
      </c>
      <c r="K398" s="25" t="s">
        <v>73</v>
      </c>
      <c r="L398" s="29" t="s">
        <v>71</v>
      </c>
    </row>
    <row r="399" ht="15.75" customHeight="1">
      <c r="A399" s="18" t="s">
        <v>1051</v>
      </c>
      <c r="B399" s="18" t="s">
        <v>232</v>
      </c>
      <c r="C399" s="11">
        <v>11.0</v>
      </c>
      <c r="D399" s="22">
        <v>5.77</v>
      </c>
      <c r="E399" s="22">
        <v>5.73</v>
      </c>
      <c r="F399" s="11">
        <v>0.0</v>
      </c>
      <c r="G399" s="11">
        <v>0.0</v>
      </c>
      <c r="H399" s="11" t="s">
        <v>72</v>
      </c>
      <c r="I399" s="11">
        <v>1.0</v>
      </c>
      <c r="J399" s="11">
        <v>0.0</v>
      </c>
      <c r="K399" s="11" t="s">
        <v>103</v>
      </c>
      <c r="L399" s="18" t="s">
        <v>232</v>
      </c>
    </row>
    <row r="400" ht="15.75" customHeight="1">
      <c r="A400" s="29" t="s">
        <v>670</v>
      </c>
      <c r="B400" s="29" t="s">
        <v>212</v>
      </c>
      <c r="C400" s="25">
        <v>11.0</v>
      </c>
      <c r="D400" s="32">
        <v>5.73</v>
      </c>
      <c r="E400" s="32">
        <v>5.73</v>
      </c>
      <c r="F400" s="25">
        <v>0.0</v>
      </c>
      <c r="G400" s="25">
        <v>1.0</v>
      </c>
      <c r="H400" s="25" t="s">
        <v>72</v>
      </c>
      <c r="I400" s="25">
        <v>2.0</v>
      </c>
      <c r="J400" s="25">
        <v>0.0</v>
      </c>
      <c r="K400" s="25" t="s">
        <v>103</v>
      </c>
      <c r="L400" s="29" t="s">
        <v>191</v>
      </c>
    </row>
    <row r="401" ht="15.75" customHeight="1">
      <c r="A401" s="18" t="s">
        <v>1053</v>
      </c>
      <c r="B401" s="18" t="s">
        <v>852</v>
      </c>
      <c r="C401" s="11">
        <v>11.0</v>
      </c>
      <c r="D401" s="22">
        <v>5.55</v>
      </c>
      <c r="E401" s="22">
        <v>5.73</v>
      </c>
      <c r="F401" s="11">
        <v>1.0</v>
      </c>
      <c r="G401" s="11">
        <v>0.0</v>
      </c>
      <c r="H401" s="11" t="s">
        <v>72</v>
      </c>
      <c r="I401" s="11">
        <v>0.0</v>
      </c>
      <c r="J401" s="11">
        <v>1.0</v>
      </c>
      <c r="K401" s="11" t="s">
        <v>73</v>
      </c>
      <c r="L401" s="18" t="s">
        <v>71</v>
      </c>
    </row>
    <row r="402" ht="15.75" customHeight="1">
      <c r="A402" s="29" t="s">
        <v>1054</v>
      </c>
      <c r="B402" s="29" t="s">
        <v>852</v>
      </c>
      <c r="C402" s="25">
        <v>37.0</v>
      </c>
      <c r="D402" s="32">
        <v>5.69</v>
      </c>
      <c r="E402" s="32">
        <v>5.72</v>
      </c>
      <c r="F402" s="25">
        <v>1.0</v>
      </c>
      <c r="G402" s="25">
        <v>0.0</v>
      </c>
      <c r="H402" s="25" t="s">
        <v>72</v>
      </c>
      <c r="I402" s="25">
        <v>4.0</v>
      </c>
      <c r="J402" s="25">
        <v>0.0</v>
      </c>
      <c r="K402" s="25" t="s">
        <v>73</v>
      </c>
      <c r="L402" s="29" t="s">
        <v>71</v>
      </c>
    </row>
    <row r="403" ht="15.75" customHeight="1">
      <c r="A403" s="18" t="s">
        <v>779</v>
      </c>
      <c r="B403" s="18" t="s">
        <v>734</v>
      </c>
      <c r="C403" s="11">
        <v>23.0</v>
      </c>
      <c r="D403" s="22">
        <v>5.72</v>
      </c>
      <c r="E403" s="22">
        <v>5.72</v>
      </c>
      <c r="F403" s="11">
        <v>0.0</v>
      </c>
      <c r="G403" s="11">
        <v>1.0</v>
      </c>
      <c r="H403" s="11" t="s">
        <v>72</v>
      </c>
      <c r="I403" s="11">
        <v>2.0</v>
      </c>
      <c r="J403" s="11">
        <v>0.0</v>
      </c>
      <c r="K403" s="11" t="s">
        <v>103</v>
      </c>
      <c r="L403" s="18" t="s">
        <v>195</v>
      </c>
    </row>
    <row r="404" ht="15.75" customHeight="1">
      <c r="A404" s="29" t="s">
        <v>855</v>
      </c>
      <c r="B404" s="29" t="s">
        <v>212</v>
      </c>
      <c r="C404" s="25">
        <v>16.0</v>
      </c>
      <c r="D404" s="32">
        <v>5.75</v>
      </c>
      <c r="E404" s="32">
        <v>5.72</v>
      </c>
      <c r="F404" s="25">
        <v>0.0</v>
      </c>
      <c r="G404" s="25">
        <v>1.0</v>
      </c>
      <c r="H404" s="25" t="s">
        <v>72</v>
      </c>
      <c r="I404" s="25">
        <v>4.0</v>
      </c>
      <c r="J404" s="25">
        <v>0.0</v>
      </c>
      <c r="K404" s="25" t="s">
        <v>103</v>
      </c>
      <c r="L404" s="29" t="s">
        <v>185</v>
      </c>
    </row>
    <row r="405" ht="15.75" customHeight="1">
      <c r="A405" s="18" t="s">
        <v>1055</v>
      </c>
      <c r="B405" s="18" t="s">
        <v>361</v>
      </c>
      <c r="C405" s="11">
        <v>16.0</v>
      </c>
      <c r="D405" s="22">
        <v>5.69</v>
      </c>
      <c r="E405" s="22">
        <v>5.72</v>
      </c>
      <c r="F405" s="11">
        <v>0.0</v>
      </c>
      <c r="G405" s="11">
        <v>1.0</v>
      </c>
      <c r="H405" s="11" t="s">
        <v>72</v>
      </c>
      <c r="I405" s="11">
        <v>1.0</v>
      </c>
      <c r="J405" s="11">
        <v>0.0</v>
      </c>
      <c r="K405" s="11" t="s">
        <v>73</v>
      </c>
      <c r="L405" s="18" t="s">
        <v>71</v>
      </c>
    </row>
    <row r="406" ht="15.75" customHeight="1">
      <c r="A406" s="29" t="s">
        <v>773</v>
      </c>
      <c r="B406" s="29" t="s">
        <v>239</v>
      </c>
      <c r="C406" s="25">
        <v>16.0</v>
      </c>
      <c r="D406" s="32">
        <v>5.62</v>
      </c>
      <c r="E406" s="32">
        <v>5.72</v>
      </c>
      <c r="F406" s="25">
        <v>1.0</v>
      </c>
      <c r="G406" s="25">
        <v>0.0</v>
      </c>
      <c r="H406" s="25" t="s">
        <v>72</v>
      </c>
      <c r="I406" s="25">
        <v>3.0</v>
      </c>
      <c r="J406" s="25">
        <v>0.0</v>
      </c>
      <c r="K406" s="25" t="s">
        <v>103</v>
      </c>
      <c r="L406" s="29" t="s">
        <v>239</v>
      </c>
    </row>
    <row r="407" ht="15.75" customHeight="1">
      <c r="A407" s="18" t="s">
        <v>1056</v>
      </c>
      <c r="B407" s="18" t="s">
        <v>212</v>
      </c>
      <c r="C407" s="11">
        <v>9.0</v>
      </c>
      <c r="D407" s="22">
        <v>5.78</v>
      </c>
      <c r="E407" s="22">
        <v>5.72</v>
      </c>
      <c r="F407" s="11">
        <v>0.0</v>
      </c>
      <c r="G407" s="11">
        <v>0.0</v>
      </c>
      <c r="H407" s="11" t="s">
        <v>72</v>
      </c>
      <c r="I407" s="11">
        <v>1.0</v>
      </c>
      <c r="J407" s="11">
        <v>0.0</v>
      </c>
      <c r="K407" s="11" t="s">
        <v>103</v>
      </c>
      <c r="L407" s="18" t="s">
        <v>212</v>
      </c>
    </row>
    <row r="408" ht="15.75" customHeight="1">
      <c r="A408" s="29" t="s">
        <v>1057</v>
      </c>
      <c r="B408" s="29" t="s">
        <v>734</v>
      </c>
      <c r="C408" s="25">
        <v>21.0</v>
      </c>
      <c r="D408" s="32">
        <v>5.69</v>
      </c>
      <c r="E408" s="32">
        <v>5.71</v>
      </c>
      <c r="F408" s="25">
        <v>1.0</v>
      </c>
      <c r="G408" s="25">
        <v>0.0</v>
      </c>
      <c r="H408" s="25" t="s">
        <v>72</v>
      </c>
      <c r="I408" s="25">
        <v>3.0</v>
      </c>
      <c r="J408" s="25">
        <v>1.0</v>
      </c>
      <c r="K408" s="25" t="s">
        <v>103</v>
      </c>
      <c r="L408" s="29" t="s">
        <v>232</v>
      </c>
    </row>
    <row r="409" ht="15.75" customHeight="1">
      <c r="A409" s="18" t="s">
        <v>682</v>
      </c>
      <c r="B409" s="18" t="s">
        <v>283</v>
      </c>
      <c r="C409" s="11">
        <v>21.0</v>
      </c>
      <c r="D409" s="22">
        <v>5.79</v>
      </c>
      <c r="E409" s="22">
        <v>5.71</v>
      </c>
      <c r="F409" s="11">
        <v>1.0</v>
      </c>
      <c r="G409" s="11">
        <v>0.0</v>
      </c>
      <c r="H409" s="11" t="s">
        <v>72</v>
      </c>
      <c r="I409" s="11">
        <v>5.0</v>
      </c>
      <c r="J409" s="11">
        <v>2.0</v>
      </c>
      <c r="K409" s="11" t="s">
        <v>103</v>
      </c>
      <c r="L409" s="18" t="s">
        <v>283</v>
      </c>
    </row>
    <row r="410" ht="15.75" customHeight="1">
      <c r="A410" s="29" t="s">
        <v>781</v>
      </c>
      <c r="B410" s="29" t="s">
        <v>175</v>
      </c>
      <c r="C410" s="25">
        <v>14.0</v>
      </c>
      <c r="D410" s="32">
        <v>5.64</v>
      </c>
      <c r="E410" s="32">
        <v>5.71</v>
      </c>
      <c r="F410" s="25">
        <v>1.0</v>
      </c>
      <c r="G410" s="25">
        <v>1.0</v>
      </c>
      <c r="H410" s="25" t="s">
        <v>72</v>
      </c>
      <c r="I410" s="25">
        <v>5.0</v>
      </c>
      <c r="J410" s="25">
        <v>1.0</v>
      </c>
      <c r="K410" s="25" t="s">
        <v>103</v>
      </c>
      <c r="L410" s="29" t="s">
        <v>175</v>
      </c>
    </row>
    <row r="411" ht="15.75" customHeight="1">
      <c r="A411" s="18" t="s">
        <v>1058</v>
      </c>
      <c r="B411" s="18" t="s">
        <v>212</v>
      </c>
      <c r="C411" s="11">
        <v>30.0</v>
      </c>
      <c r="D411" s="22">
        <v>5.7</v>
      </c>
      <c r="E411" s="22">
        <v>5.7</v>
      </c>
      <c r="F411" s="11">
        <v>0.0</v>
      </c>
      <c r="G411" s="11">
        <v>2.0</v>
      </c>
      <c r="H411" s="11" t="s">
        <v>72</v>
      </c>
      <c r="I411" s="11">
        <v>4.0</v>
      </c>
      <c r="J411" s="11">
        <v>0.0</v>
      </c>
      <c r="K411" s="11" t="s">
        <v>73</v>
      </c>
      <c r="L411" s="18" t="s">
        <v>71</v>
      </c>
    </row>
    <row r="412" ht="15.75" customHeight="1">
      <c r="A412" s="29" t="s">
        <v>1059</v>
      </c>
      <c r="B412" s="29" t="s">
        <v>734</v>
      </c>
      <c r="C412" s="25">
        <v>28.0</v>
      </c>
      <c r="D412" s="32">
        <v>5.79</v>
      </c>
      <c r="E412" s="32">
        <v>5.7</v>
      </c>
      <c r="F412" s="25">
        <v>0.0</v>
      </c>
      <c r="G412" s="25">
        <v>0.0</v>
      </c>
      <c r="H412" s="25" t="s">
        <v>72</v>
      </c>
      <c r="I412" s="25">
        <v>3.0</v>
      </c>
      <c r="J412" s="25">
        <v>1.0</v>
      </c>
      <c r="K412" s="25" t="s">
        <v>73</v>
      </c>
      <c r="L412" s="29" t="s">
        <v>71</v>
      </c>
    </row>
    <row r="413" ht="15.75" customHeight="1">
      <c r="A413" s="18" t="s">
        <v>777</v>
      </c>
      <c r="B413" s="18" t="s">
        <v>283</v>
      </c>
      <c r="C413" s="11">
        <v>28.0</v>
      </c>
      <c r="D413" s="22">
        <v>5.75</v>
      </c>
      <c r="E413" s="22">
        <v>5.7</v>
      </c>
      <c r="F413" s="11">
        <v>0.0</v>
      </c>
      <c r="G413" s="11">
        <v>2.0</v>
      </c>
      <c r="H413" s="11" t="s">
        <v>72</v>
      </c>
      <c r="I413" s="11">
        <v>5.0</v>
      </c>
      <c r="J413" s="11">
        <v>1.0</v>
      </c>
      <c r="K413" s="11" t="s">
        <v>103</v>
      </c>
      <c r="L413" s="18" t="s">
        <v>283</v>
      </c>
    </row>
    <row r="414" ht="15.75" customHeight="1">
      <c r="A414" s="29" t="s">
        <v>1061</v>
      </c>
      <c r="B414" s="29" t="s">
        <v>852</v>
      </c>
      <c r="C414" s="25">
        <v>22.0</v>
      </c>
      <c r="D414" s="32">
        <v>5.77</v>
      </c>
      <c r="E414" s="32">
        <v>5.7</v>
      </c>
      <c r="F414" s="25">
        <v>0.0</v>
      </c>
      <c r="G414" s="25">
        <v>0.0</v>
      </c>
      <c r="H414" s="25" t="s">
        <v>72</v>
      </c>
      <c r="I414" s="25">
        <v>3.0</v>
      </c>
      <c r="J414" s="25">
        <v>0.0</v>
      </c>
      <c r="K414" s="25" t="s">
        <v>73</v>
      </c>
      <c r="L414" s="29" t="s">
        <v>71</v>
      </c>
    </row>
    <row r="415" ht="15.75" customHeight="1">
      <c r="A415" s="18" t="s">
        <v>1062</v>
      </c>
      <c r="B415" s="18" t="s">
        <v>852</v>
      </c>
      <c r="C415" s="11">
        <v>20.0</v>
      </c>
      <c r="D415" s="22">
        <v>5.88</v>
      </c>
      <c r="E415" s="22">
        <v>5.7</v>
      </c>
      <c r="F415" s="11">
        <v>0.0</v>
      </c>
      <c r="G415" s="11">
        <v>0.0</v>
      </c>
      <c r="H415" s="11" t="s">
        <v>72</v>
      </c>
      <c r="I415" s="11">
        <v>7.0</v>
      </c>
      <c r="J415" s="11">
        <v>0.0</v>
      </c>
      <c r="K415" s="11" t="s">
        <v>73</v>
      </c>
      <c r="L415" s="18" t="s">
        <v>71</v>
      </c>
    </row>
    <row r="416" ht="15.75" customHeight="1">
      <c r="A416" s="29" t="s">
        <v>1063</v>
      </c>
      <c r="B416" s="29" t="s">
        <v>185</v>
      </c>
      <c r="C416" s="25">
        <v>10.0</v>
      </c>
      <c r="D416" s="32">
        <v>5.75</v>
      </c>
      <c r="E416" s="32">
        <v>5.7</v>
      </c>
      <c r="F416" s="25">
        <v>0.0</v>
      </c>
      <c r="G416" s="25">
        <v>0.0</v>
      </c>
      <c r="H416" s="25" t="s">
        <v>72</v>
      </c>
      <c r="I416" s="25">
        <v>2.0</v>
      </c>
      <c r="J416" s="25">
        <v>0.0</v>
      </c>
      <c r="K416" s="25" t="s">
        <v>103</v>
      </c>
      <c r="L416" s="29" t="s">
        <v>185</v>
      </c>
    </row>
    <row r="417" ht="15.75" customHeight="1">
      <c r="A417" s="18" t="s">
        <v>1064</v>
      </c>
      <c r="B417" s="18" t="s">
        <v>361</v>
      </c>
      <c r="C417" s="11">
        <v>10.0</v>
      </c>
      <c r="D417" s="22">
        <v>5.8</v>
      </c>
      <c r="E417" s="22">
        <v>5.7</v>
      </c>
      <c r="F417" s="11">
        <v>0.0</v>
      </c>
      <c r="G417" s="11">
        <v>0.0</v>
      </c>
      <c r="H417" s="11" t="s">
        <v>72</v>
      </c>
      <c r="I417" s="11">
        <v>2.0</v>
      </c>
      <c r="J417" s="11">
        <v>0.0</v>
      </c>
      <c r="K417" s="11" t="s">
        <v>73</v>
      </c>
      <c r="L417" s="18" t="s">
        <v>71</v>
      </c>
    </row>
    <row r="418" ht="15.75" customHeight="1">
      <c r="A418" s="29" t="s">
        <v>1065</v>
      </c>
      <c r="B418" s="29" t="s">
        <v>232</v>
      </c>
      <c r="C418" s="25">
        <v>5.0</v>
      </c>
      <c r="D418" s="32">
        <v>5.8</v>
      </c>
      <c r="E418" s="32">
        <v>5.7</v>
      </c>
      <c r="F418" s="25">
        <v>0.0</v>
      </c>
      <c r="G418" s="25">
        <v>0.0</v>
      </c>
      <c r="H418" s="25" t="s">
        <v>72</v>
      </c>
      <c r="I418" s="25">
        <v>1.0</v>
      </c>
      <c r="J418" s="25">
        <v>0.0</v>
      </c>
      <c r="K418" s="25" t="s">
        <v>103</v>
      </c>
      <c r="L418" s="29" t="s">
        <v>232</v>
      </c>
    </row>
    <row r="419" ht="15.75" customHeight="1">
      <c r="A419" s="18" t="s">
        <v>1066</v>
      </c>
      <c r="B419" s="18" t="s">
        <v>253</v>
      </c>
      <c r="C419" s="11">
        <v>5.0</v>
      </c>
      <c r="D419" s="22">
        <v>5.7</v>
      </c>
      <c r="E419" s="22">
        <v>5.7</v>
      </c>
      <c r="F419" s="11">
        <v>0.0</v>
      </c>
      <c r="G419" s="11">
        <v>0.0</v>
      </c>
      <c r="H419" s="11" t="s">
        <v>72</v>
      </c>
      <c r="I419" s="11">
        <v>0.0</v>
      </c>
      <c r="J419" s="11">
        <v>0.0</v>
      </c>
      <c r="K419" s="11" t="s">
        <v>73</v>
      </c>
      <c r="L419" s="18" t="s">
        <v>71</v>
      </c>
    </row>
    <row r="420" ht="15.75" customHeight="1">
      <c r="A420" s="29" t="s">
        <v>1067</v>
      </c>
      <c r="B420" s="29" t="s">
        <v>60</v>
      </c>
      <c r="C420" s="25">
        <v>5.0</v>
      </c>
      <c r="D420" s="32">
        <v>5.7</v>
      </c>
      <c r="E420" s="32">
        <v>5.7</v>
      </c>
      <c r="F420" s="25">
        <v>0.0</v>
      </c>
      <c r="G420" s="25">
        <v>0.0</v>
      </c>
      <c r="H420" s="25" t="s">
        <v>72</v>
      </c>
      <c r="I420" s="25">
        <v>0.0</v>
      </c>
      <c r="J420" s="25">
        <v>0.0</v>
      </c>
      <c r="K420" s="25" t="s">
        <v>73</v>
      </c>
      <c r="L420" s="29" t="s">
        <v>71</v>
      </c>
    </row>
    <row r="421" ht="15.75" customHeight="1">
      <c r="A421" s="18" t="s">
        <v>746</v>
      </c>
      <c r="B421" s="18" t="s">
        <v>232</v>
      </c>
      <c r="C421" s="11">
        <v>36.0</v>
      </c>
      <c r="D421" s="22">
        <v>5.82</v>
      </c>
      <c r="E421" s="22">
        <v>5.69</v>
      </c>
      <c r="F421" s="11">
        <v>0.0</v>
      </c>
      <c r="G421" s="11">
        <v>0.0</v>
      </c>
      <c r="H421" s="11" t="s">
        <v>72</v>
      </c>
      <c r="I421" s="11">
        <v>9.0</v>
      </c>
      <c r="J421" s="11">
        <v>0.0</v>
      </c>
      <c r="K421" s="11" t="s">
        <v>103</v>
      </c>
      <c r="L421" s="18" t="s">
        <v>232</v>
      </c>
    </row>
    <row r="422" ht="15.75" customHeight="1">
      <c r="A422" s="29" t="s">
        <v>1068</v>
      </c>
      <c r="B422" s="29" t="s">
        <v>734</v>
      </c>
      <c r="C422" s="25">
        <v>27.0</v>
      </c>
      <c r="D422" s="32">
        <v>5.72</v>
      </c>
      <c r="E422" s="32">
        <v>5.69</v>
      </c>
      <c r="F422" s="25">
        <v>0.0</v>
      </c>
      <c r="G422" s="25">
        <v>1.0</v>
      </c>
      <c r="H422" s="25" t="s">
        <v>72</v>
      </c>
      <c r="I422" s="25">
        <v>4.0</v>
      </c>
      <c r="J422" s="25">
        <v>0.0</v>
      </c>
      <c r="K422" s="25" t="s">
        <v>73</v>
      </c>
      <c r="L422" s="29" t="s">
        <v>71</v>
      </c>
    </row>
    <row r="423" ht="15.75" customHeight="1">
      <c r="A423" s="18" t="s">
        <v>1069</v>
      </c>
      <c r="B423" s="18" t="s">
        <v>143</v>
      </c>
      <c r="C423" s="11">
        <v>21.0</v>
      </c>
      <c r="D423" s="22">
        <v>5.79</v>
      </c>
      <c r="E423" s="22">
        <v>5.69</v>
      </c>
      <c r="F423" s="11">
        <v>0.0</v>
      </c>
      <c r="G423" s="11">
        <v>0.0</v>
      </c>
      <c r="H423" s="11" t="s">
        <v>72</v>
      </c>
      <c r="I423" s="11">
        <v>2.0</v>
      </c>
      <c r="J423" s="11">
        <v>1.0</v>
      </c>
      <c r="K423" s="11" t="s">
        <v>73</v>
      </c>
      <c r="L423" s="18" t="s">
        <v>71</v>
      </c>
    </row>
    <row r="424" ht="15.75" customHeight="1">
      <c r="A424" s="29" t="s">
        <v>1070</v>
      </c>
      <c r="B424" s="29" t="s">
        <v>60</v>
      </c>
      <c r="C424" s="25">
        <v>13.0</v>
      </c>
      <c r="D424" s="32">
        <v>5.73</v>
      </c>
      <c r="E424" s="32">
        <v>5.69</v>
      </c>
      <c r="F424" s="25">
        <v>0.0</v>
      </c>
      <c r="G424" s="25">
        <v>0.0</v>
      </c>
      <c r="H424" s="25" t="s">
        <v>72</v>
      </c>
      <c r="I424" s="25">
        <v>1.0</v>
      </c>
      <c r="J424" s="25">
        <v>0.0</v>
      </c>
      <c r="K424" s="25" t="s">
        <v>73</v>
      </c>
      <c r="L424" s="29" t="s">
        <v>71</v>
      </c>
    </row>
    <row r="425" ht="15.75" customHeight="1">
      <c r="A425" s="18" t="s">
        <v>1071</v>
      </c>
      <c r="B425" s="18" t="s">
        <v>852</v>
      </c>
      <c r="C425" s="11">
        <v>8.0</v>
      </c>
      <c r="D425" s="22">
        <v>5.62</v>
      </c>
      <c r="E425" s="22">
        <v>5.69</v>
      </c>
      <c r="F425" s="11">
        <v>0.0</v>
      </c>
      <c r="G425" s="11">
        <v>1.0</v>
      </c>
      <c r="H425" s="11" t="s">
        <v>72</v>
      </c>
      <c r="I425" s="11">
        <v>1.0</v>
      </c>
      <c r="J425" s="11">
        <v>0.0</v>
      </c>
      <c r="K425" s="11" t="s">
        <v>73</v>
      </c>
      <c r="L425" s="18" t="s">
        <v>71</v>
      </c>
    </row>
    <row r="426" ht="15.75" customHeight="1">
      <c r="A426" s="29" t="s">
        <v>755</v>
      </c>
      <c r="B426" s="29" t="s">
        <v>191</v>
      </c>
      <c r="C426" s="25">
        <v>22.0</v>
      </c>
      <c r="D426" s="32">
        <v>5.75</v>
      </c>
      <c r="E426" s="32">
        <v>5.68</v>
      </c>
      <c r="F426" s="25">
        <v>0.0</v>
      </c>
      <c r="G426" s="25">
        <v>0.0</v>
      </c>
      <c r="H426" s="25" t="s">
        <v>72</v>
      </c>
      <c r="I426" s="25">
        <v>3.0</v>
      </c>
      <c r="J426" s="25">
        <v>0.0</v>
      </c>
      <c r="K426" s="25" t="s">
        <v>103</v>
      </c>
      <c r="L426" s="29" t="s">
        <v>191</v>
      </c>
    </row>
    <row r="427" ht="15.75" customHeight="1">
      <c r="A427" s="18" t="s">
        <v>762</v>
      </c>
      <c r="B427" s="18" t="s">
        <v>239</v>
      </c>
      <c r="C427" s="11">
        <v>22.0</v>
      </c>
      <c r="D427" s="22">
        <v>5.77</v>
      </c>
      <c r="E427" s="22">
        <v>5.68</v>
      </c>
      <c r="F427" s="11">
        <v>0.0</v>
      </c>
      <c r="G427" s="11">
        <v>1.0</v>
      </c>
      <c r="H427" s="11" t="s">
        <v>72</v>
      </c>
      <c r="I427" s="11">
        <v>6.0</v>
      </c>
      <c r="J427" s="11">
        <v>0.0</v>
      </c>
      <c r="K427" s="11" t="s">
        <v>103</v>
      </c>
      <c r="L427" s="18" t="s">
        <v>239</v>
      </c>
    </row>
    <row r="428" ht="15.75" customHeight="1">
      <c r="A428" s="29" t="s">
        <v>1072</v>
      </c>
      <c r="B428" s="29" t="s">
        <v>239</v>
      </c>
      <c r="C428" s="25">
        <v>11.0</v>
      </c>
      <c r="D428" s="32">
        <v>5.82</v>
      </c>
      <c r="E428" s="32">
        <v>5.68</v>
      </c>
      <c r="F428" s="25">
        <v>0.0</v>
      </c>
      <c r="G428" s="25">
        <v>1.0</v>
      </c>
      <c r="H428" s="25" t="s">
        <v>72</v>
      </c>
      <c r="I428" s="25">
        <v>5.0</v>
      </c>
      <c r="J428" s="25">
        <v>0.0</v>
      </c>
      <c r="K428" s="25" t="s">
        <v>73</v>
      </c>
      <c r="L428" s="29" t="s">
        <v>71</v>
      </c>
    </row>
    <row r="429" ht="15.75" customHeight="1">
      <c r="A429" s="18" t="s">
        <v>794</v>
      </c>
      <c r="B429" s="18" t="s">
        <v>208</v>
      </c>
      <c r="C429" s="11">
        <v>35.0</v>
      </c>
      <c r="D429" s="22">
        <v>5.84</v>
      </c>
      <c r="E429" s="22">
        <v>5.67</v>
      </c>
      <c r="F429" s="11">
        <v>0.0</v>
      </c>
      <c r="G429" s="11">
        <v>0.0</v>
      </c>
      <c r="H429" s="11" t="s">
        <v>72</v>
      </c>
      <c r="I429" s="11">
        <v>12.0</v>
      </c>
      <c r="J429" s="11">
        <v>0.0</v>
      </c>
      <c r="K429" s="11" t="s">
        <v>103</v>
      </c>
      <c r="L429" s="18" t="s">
        <v>208</v>
      </c>
    </row>
    <row r="430" ht="15.75" customHeight="1">
      <c r="A430" s="29" t="s">
        <v>1073</v>
      </c>
      <c r="B430" s="29" t="s">
        <v>177</v>
      </c>
      <c r="C430" s="25">
        <v>9.0</v>
      </c>
      <c r="D430" s="32">
        <v>5.72</v>
      </c>
      <c r="E430" s="32">
        <v>5.67</v>
      </c>
      <c r="F430" s="25">
        <v>0.0</v>
      </c>
      <c r="G430" s="25">
        <v>0.0</v>
      </c>
      <c r="H430" s="25" t="s">
        <v>72</v>
      </c>
      <c r="I430" s="25">
        <v>1.0</v>
      </c>
      <c r="J430" s="25">
        <v>0.0</v>
      </c>
      <c r="K430" s="25" t="s">
        <v>103</v>
      </c>
      <c r="L430" s="29" t="s">
        <v>177</v>
      </c>
    </row>
    <row r="431" ht="15.75" customHeight="1">
      <c r="A431" s="18" t="s">
        <v>1074</v>
      </c>
      <c r="B431" s="18" t="s">
        <v>60</v>
      </c>
      <c r="C431" s="11">
        <v>6.0</v>
      </c>
      <c r="D431" s="22">
        <v>5.83</v>
      </c>
      <c r="E431" s="22">
        <v>5.67</v>
      </c>
      <c r="F431" s="11">
        <v>0.0</v>
      </c>
      <c r="G431" s="11">
        <v>0.0</v>
      </c>
      <c r="H431" s="11" t="s">
        <v>72</v>
      </c>
      <c r="I431" s="11">
        <v>2.0</v>
      </c>
      <c r="J431" s="11">
        <v>0.0</v>
      </c>
      <c r="K431" s="11" t="s">
        <v>73</v>
      </c>
      <c r="L431" s="18" t="s">
        <v>71</v>
      </c>
    </row>
    <row r="432" ht="15.75" customHeight="1">
      <c r="A432" s="29" t="s">
        <v>1075</v>
      </c>
      <c r="B432" s="29" t="s">
        <v>283</v>
      </c>
      <c r="C432" s="25">
        <v>3.0</v>
      </c>
      <c r="D432" s="32">
        <v>5.67</v>
      </c>
      <c r="E432" s="32">
        <v>5.67</v>
      </c>
      <c r="F432" s="25">
        <v>0.0</v>
      </c>
      <c r="G432" s="25">
        <v>0.0</v>
      </c>
      <c r="H432" s="25" t="s">
        <v>72</v>
      </c>
      <c r="I432" s="25">
        <v>0.0</v>
      </c>
      <c r="J432" s="25">
        <v>0.0</v>
      </c>
      <c r="K432" s="25" t="s">
        <v>73</v>
      </c>
      <c r="L432" s="29" t="s">
        <v>71</v>
      </c>
    </row>
    <row r="433" ht="15.75" customHeight="1">
      <c r="A433" s="18" t="s">
        <v>1076</v>
      </c>
      <c r="B433" s="18" t="s">
        <v>852</v>
      </c>
      <c r="C433" s="11">
        <v>3.0</v>
      </c>
      <c r="D433" s="22">
        <v>5.83</v>
      </c>
      <c r="E433" s="22">
        <v>5.67</v>
      </c>
      <c r="F433" s="11">
        <v>0.0</v>
      </c>
      <c r="G433" s="11">
        <v>0.0</v>
      </c>
      <c r="H433" s="11" t="s">
        <v>72</v>
      </c>
      <c r="I433" s="11">
        <v>1.0</v>
      </c>
      <c r="J433" s="11">
        <v>0.0</v>
      </c>
      <c r="K433" s="11" t="s">
        <v>73</v>
      </c>
      <c r="L433" s="18" t="s">
        <v>71</v>
      </c>
    </row>
    <row r="434" ht="15.75" customHeight="1">
      <c r="A434" s="29" t="s">
        <v>684</v>
      </c>
      <c r="B434" s="29" t="s">
        <v>239</v>
      </c>
      <c r="C434" s="25">
        <v>3.0</v>
      </c>
      <c r="D434" s="32">
        <v>5.67</v>
      </c>
      <c r="E434" s="32">
        <v>5.67</v>
      </c>
      <c r="F434" s="25">
        <v>0.0</v>
      </c>
      <c r="G434" s="25">
        <v>0.0</v>
      </c>
      <c r="H434" s="25" t="s">
        <v>72</v>
      </c>
      <c r="I434" s="25">
        <v>0.0</v>
      </c>
      <c r="J434" s="25">
        <v>0.0</v>
      </c>
      <c r="K434" s="25" t="s">
        <v>103</v>
      </c>
      <c r="L434" s="29" t="s">
        <v>239</v>
      </c>
    </row>
    <row r="435" ht="15.75" customHeight="1">
      <c r="A435" s="18" t="s">
        <v>1078</v>
      </c>
      <c r="B435" s="18" t="s">
        <v>185</v>
      </c>
      <c r="C435" s="11">
        <v>3.0</v>
      </c>
      <c r="D435" s="22">
        <v>5.83</v>
      </c>
      <c r="E435" s="22">
        <v>5.67</v>
      </c>
      <c r="F435" s="11">
        <v>0.0</v>
      </c>
      <c r="G435" s="11">
        <v>0.0</v>
      </c>
      <c r="H435" s="11" t="s">
        <v>72</v>
      </c>
      <c r="I435" s="11">
        <v>2.0</v>
      </c>
      <c r="J435" s="11">
        <v>0.0</v>
      </c>
      <c r="K435" s="11" t="s">
        <v>73</v>
      </c>
      <c r="L435" s="18" t="s">
        <v>71</v>
      </c>
    </row>
    <row r="436" ht="15.75" customHeight="1">
      <c r="A436" s="29" t="s">
        <v>279</v>
      </c>
      <c r="B436" s="29" t="s">
        <v>191</v>
      </c>
      <c r="C436" s="25">
        <v>27.0</v>
      </c>
      <c r="D436" s="32">
        <v>6.2</v>
      </c>
      <c r="E436" s="32">
        <v>5.65</v>
      </c>
      <c r="F436" s="25">
        <v>0.0</v>
      </c>
      <c r="G436" s="25">
        <v>0.0</v>
      </c>
      <c r="H436" s="25" t="s">
        <v>72</v>
      </c>
      <c r="I436" s="25">
        <v>0.0</v>
      </c>
      <c r="J436" s="25">
        <v>0.0</v>
      </c>
      <c r="K436" s="25" t="s">
        <v>103</v>
      </c>
      <c r="L436" s="29" t="s">
        <v>191</v>
      </c>
    </row>
    <row r="437" ht="15.75" customHeight="1">
      <c r="A437" s="18" t="s">
        <v>979</v>
      </c>
      <c r="B437" s="18" t="s">
        <v>177</v>
      </c>
      <c r="C437" s="11">
        <v>13.0</v>
      </c>
      <c r="D437" s="22">
        <v>5.81</v>
      </c>
      <c r="E437" s="22">
        <v>5.65</v>
      </c>
      <c r="F437" s="11">
        <v>0.0</v>
      </c>
      <c r="G437" s="11">
        <v>0.0</v>
      </c>
      <c r="H437" s="11" t="s">
        <v>72</v>
      </c>
      <c r="I437" s="11">
        <v>0.0</v>
      </c>
      <c r="J437" s="11">
        <v>0.0</v>
      </c>
      <c r="K437" s="11" t="s">
        <v>103</v>
      </c>
      <c r="L437" s="18" t="s">
        <v>177</v>
      </c>
    </row>
    <row r="438" ht="15.75" customHeight="1">
      <c r="A438" s="29" t="s">
        <v>1079</v>
      </c>
      <c r="B438" s="29" t="s">
        <v>232</v>
      </c>
      <c r="C438" s="25">
        <v>13.0</v>
      </c>
      <c r="D438" s="32">
        <v>5.69</v>
      </c>
      <c r="E438" s="32">
        <v>5.65</v>
      </c>
      <c r="F438" s="25">
        <v>0.0</v>
      </c>
      <c r="G438" s="25">
        <v>0.0</v>
      </c>
      <c r="H438" s="25" t="s">
        <v>72</v>
      </c>
      <c r="I438" s="25">
        <v>1.0</v>
      </c>
      <c r="J438" s="25">
        <v>0.0</v>
      </c>
      <c r="K438" s="25" t="s">
        <v>103</v>
      </c>
      <c r="L438" s="29" t="s">
        <v>232</v>
      </c>
    </row>
    <row r="439" ht="15.75" customHeight="1">
      <c r="A439" s="18" t="s">
        <v>997</v>
      </c>
      <c r="B439" s="18" t="s">
        <v>182</v>
      </c>
      <c r="C439" s="11">
        <v>10.0</v>
      </c>
      <c r="D439" s="22">
        <v>5.65</v>
      </c>
      <c r="E439" s="22">
        <v>5.65</v>
      </c>
      <c r="F439" s="11">
        <v>0.0</v>
      </c>
      <c r="G439" s="11">
        <v>0.0</v>
      </c>
      <c r="H439" s="11" t="s">
        <v>72</v>
      </c>
      <c r="I439" s="11">
        <v>0.0</v>
      </c>
      <c r="J439" s="11">
        <v>0.0</v>
      </c>
      <c r="K439" s="11" t="s">
        <v>103</v>
      </c>
      <c r="L439" s="18" t="s">
        <v>182</v>
      </c>
    </row>
    <row r="440" ht="15.75" customHeight="1">
      <c r="A440" s="29" t="s">
        <v>1080</v>
      </c>
      <c r="B440" s="29" t="s">
        <v>361</v>
      </c>
      <c r="C440" s="25">
        <v>29.0</v>
      </c>
      <c r="D440" s="32">
        <v>5.67</v>
      </c>
      <c r="E440" s="32">
        <v>5.64</v>
      </c>
      <c r="F440" s="25">
        <v>0.0</v>
      </c>
      <c r="G440" s="25">
        <v>0.0</v>
      </c>
      <c r="H440" s="25" t="s">
        <v>72</v>
      </c>
      <c r="I440" s="25">
        <v>0.0</v>
      </c>
      <c r="J440" s="25">
        <v>1.0</v>
      </c>
      <c r="K440" s="25" t="s">
        <v>73</v>
      </c>
      <c r="L440" s="29" t="s">
        <v>71</v>
      </c>
    </row>
    <row r="441" ht="15.75" customHeight="1">
      <c r="A441" s="18" t="s">
        <v>790</v>
      </c>
      <c r="B441" s="18" t="s">
        <v>232</v>
      </c>
      <c r="C441" s="11">
        <v>21.0</v>
      </c>
      <c r="D441" s="22">
        <v>5.83</v>
      </c>
      <c r="E441" s="22">
        <v>5.64</v>
      </c>
      <c r="F441" s="11">
        <v>0.0</v>
      </c>
      <c r="G441" s="11">
        <v>0.0</v>
      </c>
      <c r="H441" s="11" t="s">
        <v>72</v>
      </c>
      <c r="I441" s="11">
        <v>6.0</v>
      </c>
      <c r="J441" s="11">
        <v>1.0</v>
      </c>
      <c r="K441" s="11" t="s">
        <v>103</v>
      </c>
      <c r="L441" s="18" t="s">
        <v>232</v>
      </c>
    </row>
    <row r="442" ht="15.75" customHeight="1">
      <c r="A442" s="29" t="s">
        <v>614</v>
      </c>
      <c r="B442" s="29" t="s">
        <v>232</v>
      </c>
      <c r="C442" s="25">
        <v>18.0</v>
      </c>
      <c r="D442" s="32">
        <v>5.67</v>
      </c>
      <c r="E442" s="32">
        <v>5.64</v>
      </c>
      <c r="F442" s="25">
        <v>1.0</v>
      </c>
      <c r="G442" s="25">
        <v>0.0</v>
      </c>
      <c r="H442" s="25" t="s">
        <v>202</v>
      </c>
      <c r="I442" s="25">
        <v>1.0</v>
      </c>
      <c r="J442" s="25">
        <v>0.0</v>
      </c>
      <c r="K442" s="25" t="s">
        <v>103</v>
      </c>
      <c r="L442" s="29" t="s">
        <v>175</v>
      </c>
    </row>
    <row r="443" ht="15.75" customHeight="1">
      <c r="A443" s="18" t="s">
        <v>1082</v>
      </c>
      <c r="B443" s="18" t="s">
        <v>253</v>
      </c>
      <c r="C443" s="11">
        <v>18.0</v>
      </c>
      <c r="D443" s="22">
        <v>5.69</v>
      </c>
      <c r="E443" s="22">
        <v>5.64</v>
      </c>
      <c r="F443" s="11">
        <v>0.0</v>
      </c>
      <c r="G443" s="11">
        <v>0.0</v>
      </c>
      <c r="H443" s="11" t="s">
        <v>72</v>
      </c>
      <c r="I443" s="11">
        <v>2.0</v>
      </c>
      <c r="J443" s="11">
        <v>0.0</v>
      </c>
      <c r="K443" s="11" t="s">
        <v>73</v>
      </c>
      <c r="L443" s="18" t="s">
        <v>71</v>
      </c>
    </row>
    <row r="444" ht="15.75" customHeight="1">
      <c r="A444" s="29" t="s">
        <v>1083</v>
      </c>
      <c r="B444" s="29" t="s">
        <v>852</v>
      </c>
      <c r="C444" s="25">
        <v>14.0</v>
      </c>
      <c r="D444" s="32">
        <v>5.79</v>
      </c>
      <c r="E444" s="32">
        <v>5.64</v>
      </c>
      <c r="F444" s="25">
        <v>0.0</v>
      </c>
      <c r="G444" s="25">
        <v>0.0</v>
      </c>
      <c r="H444" s="25" t="s">
        <v>72</v>
      </c>
      <c r="I444" s="25">
        <v>4.0</v>
      </c>
      <c r="J444" s="25">
        <v>0.0</v>
      </c>
      <c r="K444" s="25" t="s">
        <v>73</v>
      </c>
      <c r="L444" s="29" t="s">
        <v>71</v>
      </c>
    </row>
    <row r="445" ht="15.75" customHeight="1">
      <c r="A445" s="18" t="s">
        <v>688</v>
      </c>
      <c r="B445" s="18" t="s">
        <v>195</v>
      </c>
      <c r="C445" s="11">
        <v>11.0</v>
      </c>
      <c r="D445" s="22">
        <v>5.73</v>
      </c>
      <c r="E445" s="22">
        <v>5.64</v>
      </c>
      <c r="F445" s="11">
        <v>0.0</v>
      </c>
      <c r="G445" s="11">
        <v>1.0</v>
      </c>
      <c r="H445" s="11" t="s">
        <v>72</v>
      </c>
      <c r="I445" s="11">
        <v>2.0</v>
      </c>
      <c r="J445" s="11">
        <v>1.0</v>
      </c>
      <c r="K445" s="11" t="s">
        <v>103</v>
      </c>
      <c r="L445" s="18" t="s">
        <v>195</v>
      </c>
    </row>
    <row r="446" ht="15.75" customHeight="1">
      <c r="A446" s="29" t="s">
        <v>1084</v>
      </c>
      <c r="B446" s="29" t="s">
        <v>212</v>
      </c>
      <c r="C446" s="25">
        <v>11.0</v>
      </c>
      <c r="D446" s="32">
        <v>5.77</v>
      </c>
      <c r="E446" s="32">
        <v>5.64</v>
      </c>
      <c r="F446" s="25">
        <v>0.0</v>
      </c>
      <c r="G446" s="25">
        <v>0.0</v>
      </c>
      <c r="H446" s="25" t="s">
        <v>72</v>
      </c>
      <c r="I446" s="25">
        <v>4.0</v>
      </c>
      <c r="J446" s="25">
        <v>0.0</v>
      </c>
      <c r="K446" s="25" t="s">
        <v>103</v>
      </c>
      <c r="L446" s="29" t="s">
        <v>212</v>
      </c>
    </row>
    <row r="447" ht="15.75" customHeight="1">
      <c r="A447" s="18" t="s">
        <v>1085</v>
      </c>
      <c r="B447" s="18" t="s">
        <v>734</v>
      </c>
      <c r="C447" s="11">
        <v>7.0</v>
      </c>
      <c r="D447" s="22">
        <v>5.71</v>
      </c>
      <c r="E447" s="22">
        <v>5.64</v>
      </c>
      <c r="F447" s="11">
        <v>0.0</v>
      </c>
      <c r="G447" s="11">
        <v>0.0</v>
      </c>
      <c r="H447" s="11" t="s">
        <v>72</v>
      </c>
      <c r="I447" s="11">
        <v>1.0</v>
      </c>
      <c r="J447" s="11">
        <v>0.0</v>
      </c>
      <c r="K447" s="11" t="s">
        <v>73</v>
      </c>
      <c r="L447" s="18" t="s">
        <v>71</v>
      </c>
    </row>
    <row r="448" ht="15.75" customHeight="1">
      <c r="A448" s="29" t="s">
        <v>633</v>
      </c>
      <c r="B448" s="29" t="s">
        <v>195</v>
      </c>
      <c r="C448" s="25">
        <v>7.0</v>
      </c>
      <c r="D448" s="32">
        <v>5.64</v>
      </c>
      <c r="E448" s="32">
        <v>5.64</v>
      </c>
      <c r="F448" s="25">
        <v>0.0</v>
      </c>
      <c r="G448" s="25">
        <v>0.0</v>
      </c>
      <c r="H448" s="25" t="s">
        <v>72</v>
      </c>
      <c r="I448" s="25">
        <v>0.0</v>
      </c>
      <c r="J448" s="25">
        <v>0.0</v>
      </c>
      <c r="K448" s="25" t="s">
        <v>103</v>
      </c>
      <c r="L448" s="29" t="s">
        <v>195</v>
      </c>
    </row>
    <row r="449" ht="15.75" customHeight="1">
      <c r="A449" s="18" t="s">
        <v>1086</v>
      </c>
      <c r="B449" s="18" t="s">
        <v>283</v>
      </c>
      <c r="C449" s="11">
        <v>15.0</v>
      </c>
      <c r="D449" s="22">
        <v>5.7</v>
      </c>
      <c r="E449" s="22">
        <v>5.63</v>
      </c>
      <c r="F449" s="11">
        <v>0.0</v>
      </c>
      <c r="G449" s="11">
        <v>0.0</v>
      </c>
      <c r="H449" s="11" t="s">
        <v>72</v>
      </c>
      <c r="I449" s="11">
        <v>2.0</v>
      </c>
      <c r="J449" s="11">
        <v>0.0</v>
      </c>
      <c r="K449" s="11" t="s">
        <v>73</v>
      </c>
      <c r="L449" s="18" t="s">
        <v>71</v>
      </c>
    </row>
    <row r="450" ht="15.75" customHeight="1">
      <c r="A450" s="29" t="s">
        <v>1087</v>
      </c>
      <c r="B450" s="29" t="s">
        <v>182</v>
      </c>
      <c r="C450" s="25">
        <v>24.0</v>
      </c>
      <c r="D450" s="32">
        <v>5.65</v>
      </c>
      <c r="E450" s="32">
        <v>5.62</v>
      </c>
      <c r="F450" s="25">
        <v>0.0</v>
      </c>
      <c r="G450" s="25">
        <v>1.0</v>
      </c>
      <c r="H450" s="25" t="s">
        <v>72</v>
      </c>
      <c r="I450" s="25">
        <v>3.0</v>
      </c>
      <c r="J450" s="25">
        <v>0.0</v>
      </c>
      <c r="K450" s="25" t="s">
        <v>103</v>
      </c>
      <c r="L450" s="29" t="s">
        <v>264</v>
      </c>
    </row>
    <row r="451" ht="15.75" customHeight="1">
      <c r="A451" s="18" t="s">
        <v>805</v>
      </c>
      <c r="B451" s="18" t="s">
        <v>191</v>
      </c>
      <c r="C451" s="11">
        <v>21.0</v>
      </c>
      <c r="D451" s="22">
        <v>5.86</v>
      </c>
      <c r="E451" s="22">
        <v>5.62</v>
      </c>
      <c r="F451" s="11">
        <v>0.0</v>
      </c>
      <c r="G451" s="11">
        <v>0.0</v>
      </c>
      <c r="H451" s="11" t="s">
        <v>72</v>
      </c>
      <c r="I451" s="11">
        <v>8.0</v>
      </c>
      <c r="J451" s="11">
        <v>1.0</v>
      </c>
      <c r="K451" s="11" t="s">
        <v>103</v>
      </c>
      <c r="L451" s="18" t="s">
        <v>264</v>
      </c>
    </row>
    <row r="452" ht="15.75" customHeight="1">
      <c r="A452" s="29" t="s">
        <v>331</v>
      </c>
      <c r="B452" s="29" t="s">
        <v>182</v>
      </c>
      <c r="C452" s="25">
        <v>4.0</v>
      </c>
      <c r="D452" s="32">
        <v>6.12</v>
      </c>
      <c r="E452" s="32">
        <v>5.62</v>
      </c>
      <c r="F452" s="25">
        <v>0.0</v>
      </c>
      <c r="G452" s="25">
        <v>0.0</v>
      </c>
      <c r="H452" s="25" t="s">
        <v>72</v>
      </c>
      <c r="I452" s="25">
        <v>0.0</v>
      </c>
      <c r="J452" s="25">
        <v>0.0</v>
      </c>
      <c r="K452" s="25" t="s">
        <v>103</v>
      </c>
      <c r="L452" s="29" t="s">
        <v>182</v>
      </c>
    </row>
    <row r="453" ht="15.75" customHeight="1">
      <c r="A453" s="18" t="s">
        <v>1088</v>
      </c>
      <c r="B453" s="18" t="s">
        <v>232</v>
      </c>
      <c r="C453" s="11">
        <v>4.0</v>
      </c>
      <c r="D453" s="22">
        <v>5.62</v>
      </c>
      <c r="E453" s="22">
        <v>5.62</v>
      </c>
      <c r="F453" s="11">
        <v>0.0</v>
      </c>
      <c r="G453" s="11">
        <v>0.0</v>
      </c>
      <c r="H453" s="11" t="s">
        <v>72</v>
      </c>
      <c r="I453" s="11">
        <v>0.0</v>
      </c>
      <c r="J453" s="11">
        <v>0.0</v>
      </c>
      <c r="K453" s="11" t="s">
        <v>103</v>
      </c>
      <c r="L453" s="18" t="s">
        <v>264</v>
      </c>
    </row>
    <row r="454" ht="15.75" customHeight="1">
      <c r="A454" s="29" t="s">
        <v>1089</v>
      </c>
      <c r="B454" s="29" t="s">
        <v>212</v>
      </c>
      <c r="C454" s="25">
        <v>4.0</v>
      </c>
      <c r="D454" s="32">
        <v>5.38</v>
      </c>
      <c r="E454" s="32">
        <v>5.62</v>
      </c>
      <c r="F454" s="25">
        <v>0.0</v>
      </c>
      <c r="G454" s="25">
        <v>1.0</v>
      </c>
      <c r="H454" s="25" t="s">
        <v>72</v>
      </c>
      <c r="I454" s="25">
        <v>0.0</v>
      </c>
      <c r="J454" s="25">
        <v>0.0</v>
      </c>
      <c r="K454" s="25" t="s">
        <v>73</v>
      </c>
      <c r="L454" s="29" t="s">
        <v>71</v>
      </c>
    </row>
    <row r="455" ht="15.75" customHeight="1">
      <c r="A455" s="18" t="s">
        <v>1090</v>
      </c>
      <c r="B455" s="18" t="s">
        <v>177</v>
      </c>
      <c r="C455" s="11">
        <v>10.0</v>
      </c>
      <c r="D455" s="22">
        <v>5.7</v>
      </c>
      <c r="E455" s="22">
        <v>5.6</v>
      </c>
      <c r="F455" s="11">
        <v>0.0</v>
      </c>
      <c r="G455" s="11">
        <v>0.0</v>
      </c>
      <c r="H455" s="11" t="s">
        <v>72</v>
      </c>
      <c r="I455" s="11">
        <v>2.0</v>
      </c>
      <c r="J455" s="11">
        <v>0.0</v>
      </c>
      <c r="K455" s="11" t="s">
        <v>73</v>
      </c>
      <c r="L455" s="18" t="s">
        <v>71</v>
      </c>
    </row>
    <row r="456" ht="15.75" customHeight="1">
      <c r="A456" s="29" t="s">
        <v>1091</v>
      </c>
      <c r="B456" s="29" t="s">
        <v>361</v>
      </c>
      <c r="C456" s="25">
        <v>10.0</v>
      </c>
      <c r="D456" s="32">
        <v>5.75</v>
      </c>
      <c r="E456" s="32">
        <v>5.6</v>
      </c>
      <c r="F456" s="25">
        <v>0.0</v>
      </c>
      <c r="G456" s="25">
        <v>0.0</v>
      </c>
      <c r="H456" s="25" t="s">
        <v>72</v>
      </c>
      <c r="I456" s="25">
        <v>1.0</v>
      </c>
      <c r="J456" s="25">
        <v>1.0</v>
      </c>
      <c r="K456" s="25" t="s">
        <v>73</v>
      </c>
      <c r="L456" s="29" t="s">
        <v>71</v>
      </c>
    </row>
    <row r="457" ht="15.75" customHeight="1">
      <c r="A457" s="18" t="s">
        <v>1092</v>
      </c>
      <c r="B457" s="18" t="s">
        <v>734</v>
      </c>
      <c r="C457" s="11">
        <v>5.0</v>
      </c>
      <c r="D457" s="22">
        <v>5.6</v>
      </c>
      <c r="E457" s="22">
        <v>5.6</v>
      </c>
      <c r="F457" s="11">
        <v>0.0</v>
      </c>
      <c r="G457" s="11">
        <v>0.0</v>
      </c>
      <c r="H457" s="11" t="s">
        <v>72</v>
      </c>
      <c r="I457" s="11">
        <v>0.0</v>
      </c>
      <c r="J457" s="11">
        <v>0.0</v>
      </c>
      <c r="K457" s="11" t="s">
        <v>73</v>
      </c>
      <c r="L457" s="18" t="s">
        <v>71</v>
      </c>
    </row>
    <row r="458" ht="15.75" customHeight="1">
      <c r="A458" s="29" t="s">
        <v>1093</v>
      </c>
      <c r="B458" s="29" t="s">
        <v>361</v>
      </c>
      <c r="C458" s="25">
        <v>5.0</v>
      </c>
      <c r="D458" s="32">
        <v>5.7</v>
      </c>
      <c r="E458" s="32">
        <v>5.6</v>
      </c>
      <c r="F458" s="25">
        <v>0.0</v>
      </c>
      <c r="G458" s="25">
        <v>0.0</v>
      </c>
      <c r="H458" s="25" t="s">
        <v>72</v>
      </c>
      <c r="I458" s="25">
        <v>1.0</v>
      </c>
      <c r="J458" s="25">
        <v>0.0</v>
      </c>
      <c r="K458" s="25" t="s">
        <v>73</v>
      </c>
      <c r="L458" s="29" t="s">
        <v>71</v>
      </c>
    </row>
    <row r="459" ht="15.75" customHeight="1">
      <c r="A459" s="18" t="s">
        <v>1094</v>
      </c>
      <c r="B459" s="18" t="s">
        <v>212</v>
      </c>
      <c r="C459" s="11">
        <v>17.0</v>
      </c>
      <c r="D459" s="22">
        <v>5.65</v>
      </c>
      <c r="E459" s="22">
        <v>5.59</v>
      </c>
      <c r="F459" s="11">
        <v>0.0</v>
      </c>
      <c r="G459" s="11">
        <v>0.0</v>
      </c>
      <c r="H459" s="11" t="s">
        <v>72</v>
      </c>
      <c r="I459" s="11">
        <v>3.0</v>
      </c>
      <c r="J459" s="11">
        <v>0.0</v>
      </c>
      <c r="K459" s="11" t="s">
        <v>73</v>
      </c>
      <c r="L459" s="18" t="s">
        <v>71</v>
      </c>
    </row>
    <row r="460" ht="15.75" customHeight="1">
      <c r="A460" s="29" t="s">
        <v>1096</v>
      </c>
      <c r="B460" s="29" t="s">
        <v>361</v>
      </c>
      <c r="C460" s="25">
        <v>17.0</v>
      </c>
      <c r="D460" s="32">
        <v>5.85</v>
      </c>
      <c r="E460" s="32">
        <v>5.59</v>
      </c>
      <c r="F460" s="25">
        <v>0.0</v>
      </c>
      <c r="G460" s="25">
        <v>0.0</v>
      </c>
      <c r="H460" s="25" t="s">
        <v>72</v>
      </c>
      <c r="I460" s="25">
        <v>5.0</v>
      </c>
      <c r="J460" s="25">
        <v>0.0</v>
      </c>
      <c r="K460" s="25" t="s">
        <v>73</v>
      </c>
      <c r="L460" s="29" t="s">
        <v>71</v>
      </c>
    </row>
    <row r="461" ht="15.75" customHeight="1">
      <c r="A461" s="18" t="s">
        <v>1046</v>
      </c>
      <c r="B461" s="18" t="s">
        <v>212</v>
      </c>
      <c r="C461" s="11">
        <v>11.0</v>
      </c>
      <c r="D461" s="22">
        <v>5.59</v>
      </c>
      <c r="E461" s="22">
        <v>5.59</v>
      </c>
      <c r="F461" s="11">
        <v>0.0</v>
      </c>
      <c r="G461" s="11">
        <v>0.0</v>
      </c>
      <c r="H461" s="11" t="s">
        <v>72</v>
      </c>
      <c r="I461" s="11">
        <v>0.0</v>
      </c>
      <c r="J461" s="11">
        <v>0.0</v>
      </c>
      <c r="K461" s="11" t="s">
        <v>103</v>
      </c>
      <c r="L461" s="18" t="s">
        <v>212</v>
      </c>
    </row>
    <row r="462" ht="15.75" customHeight="1">
      <c r="A462" s="29" t="s">
        <v>142</v>
      </c>
      <c r="B462" s="29" t="s">
        <v>143</v>
      </c>
      <c r="C462" s="25">
        <v>37.0</v>
      </c>
      <c r="D462" s="32">
        <v>6.36</v>
      </c>
      <c r="E462" s="32">
        <v>5.58</v>
      </c>
      <c r="F462" s="25">
        <v>0.0</v>
      </c>
      <c r="G462" s="25">
        <v>0.0</v>
      </c>
      <c r="H462" s="25" t="s">
        <v>72</v>
      </c>
      <c r="I462" s="25">
        <v>0.0</v>
      </c>
      <c r="J462" s="25">
        <v>0.0</v>
      </c>
      <c r="K462" s="25" t="s">
        <v>103</v>
      </c>
      <c r="L462" s="29" t="s">
        <v>143</v>
      </c>
    </row>
    <row r="463" ht="15.75" customHeight="1">
      <c r="A463" s="18" t="s">
        <v>1097</v>
      </c>
      <c r="B463" s="18" t="s">
        <v>852</v>
      </c>
      <c r="C463" s="11">
        <v>25.0</v>
      </c>
      <c r="D463" s="22">
        <v>5.74</v>
      </c>
      <c r="E463" s="22">
        <v>5.58</v>
      </c>
      <c r="F463" s="11">
        <v>0.0</v>
      </c>
      <c r="G463" s="11">
        <v>0.0</v>
      </c>
      <c r="H463" s="11" t="s">
        <v>72</v>
      </c>
      <c r="I463" s="11">
        <v>8.0</v>
      </c>
      <c r="J463" s="11">
        <v>0.0</v>
      </c>
      <c r="K463" s="11" t="s">
        <v>73</v>
      </c>
      <c r="L463" s="18" t="s">
        <v>71</v>
      </c>
    </row>
    <row r="464" ht="15.75" customHeight="1">
      <c r="A464" s="29" t="s">
        <v>1098</v>
      </c>
      <c r="B464" s="29" t="s">
        <v>361</v>
      </c>
      <c r="C464" s="25">
        <v>19.0</v>
      </c>
      <c r="D464" s="32">
        <v>5.79</v>
      </c>
      <c r="E464" s="32">
        <v>5.58</v>
      </c>
      <c r="F464" s="25">
        <v>0.0</v>
      </c>
      <c r="G464" s="25">
        <v>0.0</v>
      </c>
      <c r="H464" s="25" t="s">
        <v>72</v>
      </c>
      <c r="I464" s="25">
        <v>6.0</v>
      </c>
      <c r="J464" s="25">
        <v>1.0</v>
      </c>
      <c r="K464" s="25" t="s">
        <v>73</v>
      </c>
      <c r="L464" s="29" t="s">
        <v>71</v>
      </c>
    </row>
    <row r="465" ht="15.75" customHeight="1">
      <c r="A465" s="18" t="s">
        <v>1099</v>
      </c>
      <c r="B465" s="18" t="s">
        <v>852</v>
      </c>
      <c r="C465" s="11">
        <v>12.0</v>
      </c>
      <c r="D465" s="22">
        <v>5.58</v>
      </c>
      <c r="E465" s="22">
        <v>5.58</v>
      </c>
      <c r="F465" s="11">
        <v>0.0</v>
      </c>
      <c r="G465" s="11">
        <v>0.0</v>
      </c>
      <c r="H465" s="11" t="s">
        <v>72</v>
      </c>
      <c r="I465" s="11">
        <v>0.0</v>
      </c>
      <c r="J465" s="11">
        <v>0.0</v>
      </c>
      <c r="K465" s="11" t="s">
        <v>73</v>
      </c>
      <c r="L465" s="18" t="s">
        <v>71</v>
      </c>
    </row>
    <row r="466" ht="15.75" customHeight="1">
      <c r="A466" s="29" t="s">
        <v>1100</v>
      </c>
      <c r="B466" s="29" t="s">
        <v>283</v>
      </c>
      <c r="C466" s="25">
        <v>6.0</v>
      </c>
      <c r="D466" s="32">
        <v>5.58</v>
      </c>
      <c r="E466" s="32">
        <v>5.58</v>
      </c>
      <c r="F466" s="25">
        <v>0.0</v>
      </c>
      <c r="G466" s="25">
        <v>0.0</v>
      </c>
      <c r="H466" s="25" t="s">
        <v>72</v>
      </c>
      <c r="I466" s="25">
        <v>0.0</v>
      </c>
      <c r="J466" s="25">
        <v>0.0</v>
      </c>
      <c r="K466" s="25" t="s">
        <v>73</v>
      </c>
      <c r="L466" s="29" t="s">
        <v>71</v>
      </c>
    </row>
    <row r="467" ht="15.75" customHeight="1">
      <c r="A467" s="18" t="s">
        <v>1095</v>
      </c>
      <c r="B467" s="18" t="s">
        <v>185</v>
      </c>
      <c r="C467" s="11">
        <v>6.0</v>
      </c>
      <c r="D467" s="22">
        <v>5.75</v>
      </c>
      <c r="E467" s="22">
        <v>5.58</v>
      </c>
      <c r="F467" s="11">
        <v>0.0</v>
      </c>
      <c r="G467" s="11">
        <v>0.0</v>
      </c>
      <c r="H467" s="11" t="s">
        <v>72</v>
      </c>
      <c r="I467" s="11">
        <v>2.0</v>
      </c>
      <c r="J467" s="11">
        <v>0.0</v>
      </c>
      <c r="K467" s="11" t="s">
        <v>103</v>
      </c>
      <c r="L467" s="18" t="s">
        <v>272</v>
      </c>
    </row>
    <row r="468" ht="15.75" customHeight="1">
      <c r="A468" s="29" t="s">
        <v>1101</v>
      </c>
      <c r="B468" s="29" t="s">
        <v>361</v>
      </c>
      <c r="C468" s="25">
        <v>37.0</v>
      </c>
      <c r="D468" s="32">
        <v>5.68</v>
      </c>
      <c r="E468" s="32">
        <v>5.57</v>
      </c>
      <c r="F468" s="25">
        <v>0.0</v>
      </c>
      <c r="G468" s="25">
        <v>0.0</v>
      </c>
      <c r="H468" s="25" t="s">
        <v>72</v>
      </c>
      <c r="I468" s="25">
        <v>4.0</v>
      </c>
      <c r="J468" s="25">
        <v>0.0</v>
      </c>
      <c r="K468" s="25" t="s">
        <v>73</v>
      </c>
      <c r="L468" s="29" t="s">
        <v>71</v>
      </c>
    </row>
    <row r="469" ht="15.75" customHeight="1">
      <c r="A469" s="18" t="s">
        <v>1102</v>
      </c>
      <c r="B469" s="18" t="s">
        <v>232</v>
      </c>
      <c r="C469" s="11">
        <v>15.0</v>
      </c>
      <c r="D469" s="22">
        <v>5.57</v>
      </c>
      <c r="E469" s="22">
        <v>5.57</v>
      </c>
      <c r="F469" s="11">
        <v>0.0</v>
      </c>
      <c r="G469" s="11">
        <v>1.0</v>
      </c>
      <c r="H469" s="11" t="s">
        <v>72</v>
      </c>
      <c r="I469" s="11">
        <v>2.0</v>
      </c>
      <c r="J469" s="11">
        <v>0.0</v>
      </c>
      <c r="K469" s="11" t="s">
        <v>73</v>
      </c>
      <c r="L469" s="18" t="s">
        <v>71</v>
      </c>
    </row>
    <row r="470" ht="15.75" customHeight="1">
      <c r="A470" s="29" t="s">
        <v>1103</v>
      </c>
      <c r="B470" s="29" t="s">
        <v>253</v>
      </c>
      <c r="C470" s="25">
        <v>14.0</v>
      </c>
      <c r="D470" s="32">
        <v>5.64</v>
      </c>
      <c r="E470" s="32">
        <v>5.57</v>
      </c>
      <c r="F470" s="25">
        <v>0.0</v>
      </c>
      <c r="G470" s="25">
        <v>0.0</v>
      </c>
      <c r="H470" s="25" t="s">
        <v>72</v>
      </c>
      <c r="I470" s="25">
        <v>2.0</v>
      </c>
      <c r="J470" s="25">
        <v>0.0</v>
      </c>
      <c r="K470" s="25" t="s">
        <v>73</v>
      </c>
      <c r="L470" s="29" t="s">
        <v>71</v>
      </c>
    </row>
    <row r="471" ht="15.75" customHeight="1">
      <c r="A471" s="18" t="s">
        <v>1104</v>
      </c>
      <c r="B471" s="18" t="s">
        <v>361</v>
      </c>
      <c r="C471" s="11">
        <v>14.0</v>
      </c>
      <c r="D471" s="22">
        <v>5.71</v>
      </c>
      <c r="E471" s="22">
        <v>5.57</v>
      </c>
      <c r="F471" s="11">
        <v>0.0</v>
      </c>
      <c r="G471" s="11">
        <v>1.0</v>
      </c>
      <c r="H471" s="11" t="s">
        <v>72</v>
      </c>
      <c r="I471" s="11">
        <v>4.0</v>
      </c>
      <c r="J471" s="11">
        <v>1.0</v>
      </c>
      <c r="K471" s="11" t="s">
        <v>73</v>
      </c>
      <c r="L471" s="18" t="s">
        <v>71</v>
      </c>
    </row>
    <row r="472" ht="15.75" customHeight="1">
      <c r="A472" s="29" t="s">
        <v>1105</v>
      </c>
      <c r="B472" s="29" t="s">
        <v>852</v>
      </c>
      <c r="C472" s="25">
        <v>9.0</v>
      </c>
      <c r="D472" s="32">
        <v>5.61</v>
      </c>
      <c r="E472" s="32">
        <v>5.56</v>
      </c>
      <c r="F472" s="25">
        <v>0.0</v>
      </c>
      <c r="G472" s="25">
        <v>0.0</v>
      </c>
      <c r="H472" s="25" t="s">
        <v>72</v>
      </c>
      <c r="I472" s="25">
        <v>1.0</v>
      </c>
      <c r="J472" s="25">
        <v>0.0</v>
      </c>
      <c r="K472" s="25" t="s">
        <v>73</v>
      </c>
      <c r="L472" s="29" t="s">
        <v>71</v>
      </c>
    </row>
    <row r="473" ht="15.75" customHeight="1">
      <c r="A473" s="18" t="s">
        <v>1106</v>
      </c>
      <c r="B473" s="18" t="s">
        <v>182</v>
      </c>
      <c r="C473" s="11">
        <v>8.0</v>
      </c>
      <c r="D473" s="22">
        <v>5.62</v>
      </c>
      <c r="E473" s="22">
        <v>5.56</v>
      </c>
      <c r="F473" s="11">
        <v>0.0</v>
      </c>
      <c r="G473" s="11">
        <v>1.0</v>
      </c>
      <c r="H473" s="11" t="s">
        <v>72</v>
      </c>
      <c r="I473" s="11">
        <v>3.0</v>
      </c>
      <c r="J473" s="11">
        <v>0.0</v>
      </c>
      <c r="K473" s="11" t="s">
        <v>73</v>
      </c>
      <c r="L473" s="18" t="s">
        <v>71</v>
      </c>
    </row>
    <row r="474" ht="15.75" customHeight="1">
      <c r="A474" s="29" t="s">
        <v>1107</v>
      </c>
      <c r="B474" s="29" t="s">
        <v>208</v>
      </c>
      <c r="C474" s="25">
        <v>8.0</v>
      </c>
      <c r="D474" s="32">
        <v>5.62</v>
      </c>
      <c r="E474" s="32">
        <v>5.56</v>
      </c>
      <c r="F474" s="25">
        <v>0.0</v>
      </c>
      <c r="G474" s="25">
        <v>0.0</v>
      </c>
      <c r="H474" s="25" t="s">
        <v>72</v>
      </c>
      <c r="I474" s="25">
        <v>1.0</v>
      </c>
      <c r="J474" s="25">
        <v>0.0</v>
      </c>
      <c r="K474" s="25" t="s">
        <v>73</v>
      </c>
      <c r="L474" s="29" t="s">
        <v>71</v>
      </c>
    </row>
    <row r="475" ht="15.75" customHeight="1">
      <c r="A475" s="18" t="s">
        <v>1109</v>
      </c>
      <c r="B475" s="18" t="s">
        <v>208</v>
      </c>
      <c r="C475" s="11">
        <v>8.0</v>
      </c>
      <c r="D475" s="22">
        <v>5.69</v>
      </c>
      <c r="E475" s="22">
        <v>5.56</v>
      </c>
      <c r="F475" s="11">
        <v>0.0</v>
      </c>
      <c r="G475" s="11">
        <v>0.0</v>
      </c>
      <c r="H475" s="11" t="s">
        <v>72</v>
      </c>
      <c r="I475" s="11">
        <v>2.0</v>
      </c>
      <c r="J475" s="11">
        <v>0.0</v>
      </c>
      <c r="K475" s="11" t="s">
        <v>103</v>
      </c>
      <c r="L475" s="18" t="s">
        <v>93</v>
      </c>
    </row>
    <row r="476" ht="15.75" customHeight="1">
      <c r="A476" s="29" t="s">
        <v>699</v>
      </c>
      <c r="B476" s="29" t="s">
        <v>253</v>
      </c>
      <c r="C476" s="25">
        <v>8.0</v>
      </c>
      <c r="D476" s="32">
        <v>5.69</v>
      </c>
      <c r="E476" s="32">
        <v>5.56</v>
      </c>
      <c r="F476" s="25">
        <v>0.0</v>
      </c>
      <c r="G476" s="25">
        <v>0.0</v>
      </c>
      <c r="H476" s="25" t="s">
        <v>72</v>
      </c>
      <c r="I476" s="25">
        <v>2.0</v>
      </c>
      <c r="J476" s="25">
        <v>0.0</v>
      </c>
      <c r="K476" s="25" t="s">
        <v>103</v>
      </c>
      <c r="L476" s="29" t="s">
        <v>253</v>
      </c>
    </row>
    <row r="477" ht="15.75" customHeight="1">
      <c r="A477" s="18" t="s">
        <v>1111</v>
      </c>
      <c r="B477" s="18" t="s">
        <v>734</v>
      </c>
      <c r="C477" s="11">
        <v>31.0</v>
      </c>
      <c r="D477" s="22">
        <v>5.68</v>
      </c>
      <c r="E477" s="22">
        <v>5.55</v>
      </c>
      <c r="F477" s="11">
        <v>0.0</v>
      </c>
      <c r="G477" s="11">
        <v>1.0</v>
      </c>
      <c r="H477" s="11" t="s">
        <v>72</v>
      </c>
      <c r="I477" s="11">
        <v>8.0</v>
      </c>
      <c r="J477" s="11">
        <v>1.0</v>
      </c>
      <c r="K477" s="11" t="s">
        <v>73</v>
      </c>
      <c r="L477" s="18" t="s">
        <v>71</v>
      </c>
    </row>
    <row r="478" ht="15.75" customHeight="1">
      <c r="A478" s="29" t="s">
        <v>1112</v>
      </c>
      <c r="B478" s="29" t="s">
        <v>93</v>
      </c>
      <c r="C478" s="25">
        <v>29.0</v>
      </c>
      <c r="D478" s="32">
        <v>5.64</v>
      </c>
      <c r="E478" s="32">
        <v>5.55</v>
      </c>
      <c r="F478" s="25">
        <v>0.0</v>
      </c>
      <c r="G478" s="25">
        <v>0.0</v>
      </c>
      <c r="H478" s="25" t="s">
        <v>72</v>
      </c>
      <c r="I478" s="25">
        <v>5.0</v>
      </c>
      <c r="J478" s="25">
        <v>0.0</v>
      </c>
      <c r="K478" s="25" t="s">
        <v>103</v>
      </c>
      <c r="L478" s="29" t="s">
        <v>93</v>
      </c>
    </row>
    <row r="479" ht="15.75" customHeight="1">
      <c r="A479" s="18" t="s">
        <v>1113</v>
      </c>
      <c r="B479" s="18" t="s">
        <v>175</v>
      </c>
      <c r="C479" s="11">
        <v>15.0</v>
      </c>
      <c r="D479" s="22">
        <v>5.5</v>
      </c>
      <c r="E479" s="22">
        <v>5.53</v>
      </c>
      <c r="F479" s="11">
        <v>0.0</v>
      </c>
      <c r="G479" s="11">
        <v>1.0</v>
      </c>
      <c r="H479" s="11" t="s">
        <v>72</v>
      </c>
      <c r="I479" s="11">
        <v>2.0</v>
      </c>
      <c r="J479" s="11">
        <v>0.0</v>
      </c>
      <c r="K479" s="11" t="s">
        <v>73</v>
      </c>
      <c r="L479" s="18" t="s">
        <v>71</v>
      </c>
    </row>
    <row r="480" ht="15.75" customHeight="1">
      <c r="A480" s="29" t="s">
        <v>1114</v>
      </c>
      <c r="B480" s="29" t="s">
        <v>852</v>
      </c>
      <c r="C480" s="25">
        <v>15.0</v>
      </c>
      <c r="D480" s="32">
        <v>5.57</v>
      </c>
      <c r="E480" s="32">
        <v>5.5</v>
      </c>
      <c r="F480" s="25">
        <v>0.0</v>
      </c>
      <c r="G480" s="25">
        <v>0.0</v>
      </c>
      <c r="H480" s="25" t="s">
        <v>72</v>
      </c>
      <c r="I480" s="25">
        <v>2.0</v>
      </c>
      <c r="J480" s="25">
        <v>0.0</v>
      </c>
      <c r="K480" s="25" t="s">
        <v>73</v>
      </c>
      <c r="L480" s="29" t="s">
        <v>71</v>
      </c>
    </row>
    <row r="481" ht="15.75" customHeight="1">
      <c r="A481" s="18" t="s">
        <v>1115</v>
      </c>
      <c r="B481" s="18" t="s">
        <v>232</v>
      </c>
      <c r="C481" s="11">
        <v>9.0</v>
      </c>
      <c r="D481" s="22">
        <v>5.5</v>
      </c>
      <c r="E481" s="22">
        <v>5.5</v>
      </c>
      <c r="F481" s="11">
        <v>0.0</v>
      </c>
      <c r="G481" s="11">
        <v>0.0</v>
      </c>
      <c r="H481" s="11" t="s">
        <v>72</v>
      </c>
      <c r="I481" s="11">
        <v>0.0</v>
      </c>
      <c r="J481" s="11">
        <v>0.0</v>
      </c>
      <c r="K481" s="11" t="s">
        <v>103</v>
      </c>
      <c r="L481" s="18" t="s">
        <v>232</v>
      </c>
    </row>
    <row r="482" ht="15.75" customHeight="1">
      <c r="A482" s="29" t="s">
        <v>1116</v>
      </c>
      <c r="B482" s="29" t="s">
        <v>734</v>
      </c>
      <c r="C482" s="25">
        <v>8.0</v>
      </c>
      <c r="D482" s="32">
        <v>5.56</v>
      </c>
      <c r="E482" s="32">
        <v>5.5</v>
      </c>
      <c r="F482" s="25">
        <v>0.0</v>
      </c>
      <c r="G482" s="25">
        <v>1.0</v>
      </c>
      <c r="H482" s="25" t="s">
        <v>72</v>
      </c>
      <c r="I482" s="25">
        <v>1.0</v>
      </c>
      <c r="J482" s="25">
        <v>1.0</v>
      </c>
      <c r="K482" s="25" t="s">
        <v>73</v>
      </c>
      <c r="L482" s="29" t="s">
        <v>71</v>
      </c>
    </row>
    <row r="483" ht="15.75" customHeight="1">
      <c r="A483" s="18" t="s">
        <v>1117</v>
      </c>
      <c r="B483" s="18" t="s">
        <v>182</v>
      </c>
      <c r="C483" s="11">
        <v>6.0</v>
      </c>
      <c r="D483" s="22">
        <v>5.58</v>
      </c>
      <c r="E483" s="22">
        <v>5.5</v>
      </c>
      <c r="F483" s="11">
        <v>0.0</v>
      </c>
      <c r="G483" s="11">
        <v>0.0</v>
      </c>
      <c r="H483" s="11" t="s">
        <v>72</v>
      </c>
      <c r="I483" s="11">
        <v>1.0</v>
      </c>
      <c r="J483" s="11">
        <v>0.0</v>
      </c>
      <c r="K483" s="11" t="s">
        <v>73</v>
      </c>
      <c r="L483" s="18" t="s">
        <v>71</v>
      </c>
    </row>
    <row r="484" ht="15.75" customHeight="1">
      <c r="A484" s="29" t="s">
        <v>1118</v>
      </c>
      <c r="B484" s="29" t="s">
        <v>253</v>
      </c>
      <c r="C484" s="25">
        <v>6.0</v>
      </c>
      <c r="D484" s="32">
        <v>5.58</v>
      </c>
      <c r="E484" s="32">
        <v>5.5</v>
      </c>
      <c r="F484" s="25">
        <v>0.0</v>
      </c>
      <c r="G484" s="25">
        <v>0.0</v>
      </c>
      <c r="H484" s="25" t="s">
        <v>72</v>
      </c>
      <c r="I484" s="25">
        <v>1.0</v>
      </c>
      <c r="J484" s="25">
        <v>0.0</v>
      </c>
      <c r="K484" s="25" t="s">
        <v>73</v>
      </c>
      <c r="L484" s="29" t="s">
        <v>71</v>
      </c>
    </row>
    <row r="485" ht="15.75" customHeight="1">
      <c r="A485" s="18" t="s">
        <v>1120</v>
      </c>
      <c r="B485" s="18" t="s">
        <v>232</v>
      </c>
      <c r="C485" s="11">
        <v>4.0</v>
      </c>
      <c r="D485" s="22">
        <v>5.5</v>
      </c>
      <c r="E485" s="22">
        <v>5.5</v>
      </c>
      <c r="F485" s="11">
        <v>0.0</v>
      </c>
      <c r="G485" s="11">
        <v>0.0</v>
      </c>
      <c r="H485" s="11" t="s">
        <v>72</v>
      </c>
      <c r="I485" s="11">
        <v>0.0</v>
      </c>
      <c r="J485" s="11">
        <v>0.0</v>
      </c>
      <c r="K485" s="11" t="s">
        <v>73</v>
      </c>
      <c r="L485" s="18" t="s">
        <v>71</v>
      </c>
    </row>
    <row r="486" ht="15.75" customHeight="1">
      <c r="A486" s="29" t="s">
        <v>704</v>
      </c>
      <c r="B486" s="29" t="s">
        <v>185</v>
      </c>
      <c r="C486" s="25">
        <v>4.0</v>
      </c>
      <c r="D486" s="32">
        <v>5.5</v>
      </c>
      <c r="E486" s="32">
        <v>5.5</v>
      </c>
      <c r="F486" s="25">
        <v>0.0</v>
      </c>
      <c r="G486" s="25">
        <v>0.0</v>
      </c>
      <c r="H486" s="25" t="s">
        <v>72</v>
      </c>
      <c r="I486" s="25">
        <v>0.0</v>
      </c>
      <c r="J486" s="25">
        <v>0.0</v>
      </c>
      <c r="K486" s="25" t="s">
        <v>103</v>
      </c>
      <c r="L486" s="29" t="s">
        <v>185</v>
      </c>
    </row>
    <row r="487" ht="15.75" customHeight="1">
      <c r="A487" s="18" t="s">
        <v>1123</v>
      </c>
      <c r="B487" s="18" t="s">
        <v>195</v>
      </c>
      <c r="C487" s="11">
        <v>2.0</v>
      </c>
      <c r="D487" s="22">
        <v>5.5</v>
      </c>
      <c r="E487" s="22">
        <v>5.5</v>
      </c>
      <c r="F487" s="11">
        <v>0.0</v>
      </c>
      <c r="G487" s="11">
        <v>0.0</v>
      </c>
      <c r="H487" s="11" t="s">
        <v>72</v>
      </c>
      <c r="I487" s="11">
        <v>0.0</v>
      </c>
      <c r="J487" s="11">
        <v>0.0</v>
      </c>
      <c r="K487" s="11" t="s">
        <v>73</v>
      </c>
      <c r="L487" s="18" t="s">
        <v>71</v>
      </c>
    </row>
    <row r="488" ht="15.75" customHeight="1">
      <c r="A488" s="29" t="s">
        <v>1124</v>
      </c>
      <c r="B488" s="29" t="s">
        <v>232</v>
      </c>
      <c r="C488" s="25">
        <v>2.0</v>
      </c>
      <c r="D488" s="32">
        <v>5.5</v>
      </c>
      <c r="E488" s="32">
        <v>5.5</v>
      </c>
      <c r="F488" s="25">
        <v>0.0</v>
      </c>
      <c r="G488" s="25">
        <v>0.0</v>
      </c>
      <c r="H488" s="25" t="s">
        <v>72</v>
      </c>
      <c r="I488" s="25">
        <v>0.0</v>
      </c>
      <c r="J488" s="25">
        <v>0.0</v>
      </c>
      <c r="K488" s="25" t="s">
        <v>103</v>
      </c>
      <c r="L488" s="29" t="s">
        <v>232</v>
      </c>
    </row>
    <row r="489" ht="15.75" customHeight="1">
      <c r="A489" s="18" t="s">
        <v>1125</v>
      </c>
      <c r="B489" s="18" t="s">
        <v>239</v>
      </c>
      <c r="C489" s="11">
        <v>1.0</v>
      </c>
      <c r="D489" s="22">
        <v>5.5</v>
      </c>
      <c r="E489" s="22">
        <v>5.5</v>
      </c>
      <c r="F489" s="11">
        <v>0.0</v>
      </c>
      <c r="G489" s="11">
        <v>0.0</v>
      </c>
      <c r="H489" s="11" t="s">
        <v>72</v>
      </c>
      <c r="I489" s="11">
        <v>0.0</v>
      </c>
      <c r="J489" s="11">
        <v>0.0</v>
      </c>
      <c r="K489" s="11" t="s">
        <v>73</v>
      </c>
      <c r="L489" s="18" t="s">
        <v>71</v>
      </c>
    </row>
    <row r="490" ht="15.75" customHeight="1">
      <c r="A490" s="29" t="s">
        <v>1126</v>
      </c>
      <c r="B490" s="29" t="s">
        <v>208</v>
      </c>
      <c r="C490" s="25">
        <v>1.0</v>
      </c>
      <c r="D490" s="32">
        <v>5.5</v>
      </c>
      <c r="E490" s="32">
        <v>5.5</v>
      </c>
      <c r="F490" s="25">
        <v>0.0</v>
      </c>
      <c r="G490" s="25">
        <v>0.0</v>
      </c>
      <c r="H490" s="25" t="s">
        <v>72</v>
      </c>
      <c r="I490" s="25">
        <v>0.0</v>
      </c>
      <c r="J490" s="25">
        <v>0.0</v>
      </c>
      <c r="K490" s="25" t="s">
        <v>73</v>
      </c>
      <c r="L490" s="29" t="s">
        <v>71</v>
      </c>
    </row>
    <row r="491" ht="15.75" customHeight="1">
      <c r="A491" s="18" t="s">
        <v>1128</v>
      </c>
      <c r="B491" s="18" t="s">
        <v>208</v>
      </c>
      <c r="C491" s="11">
        <v>1.0</v>
      </c>
      <c r="D491" s="22">
        <v>5.5</v>
      </c>
      <c r="E491" s="22">
        <v>5.5</v>
      </c>
      <c r="F491" s="11">
        <v>0.0</v>
      </c>
      <c r="G491" s="11">
        <v>0.0</v>
      </c>
      <c r="H491" s="11" t="s">
        <v>72</v>
      </c>
      <c r="I491" s="11">
        <v>0.0</v>
      </c>
      <c r="J491" s="11">
        <v>0.0</v>
      </c>
      <c r="K491" s="11" t="s">
        <v>73</v>
      </c>
      <c r="L491" s="18" t="s">
        <v>71</v>
      </c>
    </row>
    <row r="492" ht="15.75" customHeight="1">
      <c r="A492" s="29" t="s">
        <v>1129</v>
      </c>
      <c r="B492" s="29" t="s">
        <v>175</v>
      </c>
      <c r="C492" s="25">
        <v>1.0</v>
      </c>
      <c r="D492" s="32">
        <v>5.5</v>
      </c>
      <c r="E492" s="32">
        <v>5.5</v>
      </c>
      <c r="F492" s="25">
        <v>0.0</v>
      </c>
      <c r="G492" s="25">
        <v>0.0</v>
      </c>
      <c r="H492" s="25" t="s">
        <v>72</v>
      </c>
      <c r="I492" s="25">
        <v>0.0</v>
      </c>
      <c r="J492" s="25">
        <v>0.0</v>
      </c>
      <c r="K492" s="25" t="s">
        <v>103</v>
      </c>
      <c r="L492" s="29" t="s">
        <v>175</v>
      </c>
    </row>
    <row r="493" ht="15.75" customHeight="1">
      <c r="A493" s="18" t="s">
        <v>1130</v>
      </c>
      <c r="B493" s="18" t="s">
        <v>177</v>
      </c>
      <c r="C493" s="11">
        <v>1.0</v>
      </c>
      <c r="D493" s="22">
        <v>5.5</v>
      </c>
      <c r="E493" s="22">
        <v>5.5</v>
      </c>
      <c r="F493" s="11">
        <v>0.0</v>
      </c>
      <c r="G493" s="11">
        <v>0.0</v>
      </c>
      <c r="H493" s="11" t="s">
        <v>72</v>
      </c>
      <c r="I493" s="11">
        <v>0.0</v>
      </c>
      <c r="J493" s="11">
        <v>0.0</v>
      </c>
      <c r="K493" s="11" t="s">
        <v>103</v>
      </c>
      <c r="L493" s="18" t="s">
        <v>261</v>
      </c>
    </row>
    <row r="494" ht="15.75" customHeight="1">
      <c r="A494" s="29" t="s">
        <v>1131</v>
      </c>
      <c r="B494" s="29" t="s">
        <v>232</v>
      </c>
      <c r="C494" s="25">
        <v>1.0</v>
      </c>
      <c r="D494" s="32">
        <v>5.5</v>
      </c>
      <c r="E494" s="32">
        <v>5.5</v>
      </c>
      <c r="F494" s="25">
        <v>0.0</v>
      </c>
      <c r="G494" s="25">
        <v>0.0</v>
      </c>
      <c r="H494" s="25" t="s">
        <v>72</v>
      </c>
      <c r="I494" s="25">
        <v>0.0</v>
      </c>
      <c r="J494" s="25">
        <v>0.0</v>
      </c>
      <c r="K494" s="25" t="s">
        <v>103</v>
      </c>
      <c r="L494" s="29" t="s">
        <v>232</v>
      </c>
    </row>
    <row r="495" ht="15.75" customHeight="1">
      <c r="A495" s="18" t="s">
        <v>1133</v>
      </c>
      <c r="B495" s="18" t="s">
        <v>852</v>
      </c>
      <c r="C495" s="11">
        <v>1.0</v>
      </c>
      <c r="D495" s="22">
        <v>5.5</v>
      </c>
      <c r="E495" s="22">
        <v>5.5</v>
      </c>
      <c r="F495" s="11">
        <v>0.0</v>
      </c>
      <c r="G495" s="11">
        <v>0.0</v>
      </c>
      <c r="H495" s="11" t="s">
        <v>72</v>
      </c>
      <c r="I495" s="11">
        <v>0.0</v>
      </c>
      <c r="J495" s="11">
        <v>0.0</v>
      </c>
      <c r="K495" s="11" t="s">
        <v>73</v>
      </c>
      <c r="L495" s="18" t="s">
        <v>71</v>
      </c>
    </row>
    <row r="496" ht="15.75" customHeight="1">
      <c r="A496" s="29" t="s">
        <v>1134</v>
      </c>
      <c r="B496" s="29" t="s">
        <v>191</v>
      </c>
      <c r="C496" s="25">
        <v>1.0</v>
      </c>
      <c r="D496" s="32">
        <v>5.5</v>
      </c>
      <c r="E496" s="32">
        <v>5.5</v>
      </c>
      <c r="F496" s="25">
        <v>0.0</v>
      </c>
      <c r="G496" s="25">
        <v>0.0</v>
      </c>
      <c r="H496" s="25" t="s">
        <v>72</v>
      </c>
      <c r="I496" s="25">
        <v>0.0</v>
      </c>
      <c r="J496" s="25">
        <v>0.0</v>
      </c>
      <c r="K496" s="25" t="s">
        <v>73</v>
      </c>
      <c r="L496" s="29" t="s">
        <v>71</v>
      </c>
    </row>
    <row r="497" ht="15.75" customHeight="1">
      <c r="A497" s="18" t="s">
        <v>59</v>
      </c>
      <c r="B497" s="18" t="s">
        <v>60</v>
      </c>
      <c r="C497" s="11">
        <v>38.0</v>
      </c>
      <c r="D497" s="22">
        <v>6.26</v>
      </c>
      <c r="E497" s="22">
        <v>5.45</v>
      </c>
      <c r="F497" s="11">
        <v>0.0</v>
      </c>
      <c r="G497" s="11">
        <v>0.0</v>
      </c>
      <c r="H497" s="11" t="s">
        <v>72</v>
      </c>
      <c r="I497" s="11">
        <v>0.0</v>
      </c>
      <c r="J497" s="11">
        <v>0.0</v>
      </c>
      <c r="K497" s="11" t="s">
        <v>103</v>
      </c>
      <c r="L497" s="18" t="s">
        <v>60</v>
      </c>
    </row>
    <row r="498" ht="15.75" customHeight="1">
      <c r="A498" s="29" t="s">
        <v>172</v>
      </c>
      <c r="B498" s="29" t="s">
        <v>175</v>
      </c>
      <c r="C498" s="25">
        <v>37.0</v>
      </c>
      <c r="D498" s="32">
        <v>6.26</v>
      </c>
      <c r="E498" s="32">
        <v>5.42</v>
      </c>
      <c r="F498" s="25">
        <v>0.0</v>
      </c>
      <c r="G498" s="25">
        <v>0.0</v>
      </c>
      <c r="H498" s="25" t="s">
        <v>72</v>
      </c>
      <c r="I498" s="25">
        <v>4.0</v>
      </c>
      <c r="J498" s="25">
        <v>0.0</v>
      </c>
      <c r="K498" s="25" t="s">
        <v>103</v>
      </c>
      <c r="L498" s="29" t="s">
        <v>175</v>
      </c>
    </row>
    <row r="499" ht="15.75" customHeight="1">
      <c r="A499" s="18" t="s">
        <v>181</v>
      </c>
      <c r="B499" s="18" t="s">
        <v>133</v>
      </c>
      <c r="C499" s="11">
        <v>38.0</v>
      </c>
      <c r="D499" s="22">
        <v>6.07</v>
      </c>
      <c r="E499" s="22">
        <v>5.37</v>
      </c>
      <c r="F499" s="11">
        <v>0.0</v>
      </c>
      <c r="G499" s="11">
        <v>1.0</v>
      </c>
      <c r="H499" s="11" t="s">
        <v>72</v>
      </c>
      <c r="I499" s="11">
        <v>3.0</v>
      </c>
      <c r="J499" s="11">
        <v>0.0</v>
      </c>
      <c r="K499" s="11" t="s">
        <v>103</v>
      </c>
      <c r="L499" s="18" t="s">
        <v>133</v>
      </c>
    </row>
    <row r="500" ht="15.75" customHeight="1">
      <c r="A500" s="29" t="s">
        <v>1127</v>
      </c>
      <c r="B500" s="29" t="s">
        <v>283</v>
      </c>
      <c r="C500" s="25">
        <v>11.0</v>
      </c>
      <c r="D500" s="32">
        <v>5.59</v>
      </c>
      <c r="E500" s="32">
        <v>5.36</v>
      </c>
      <c r="F500" s="25">
        <v>0.0</v>
      </c>
      <c r="G500" s="25">
        <v>0.0</v>
      </c>
      <c r="H500" s="25" t="s">
        <v>72</v>
      </c>
      <c r="I500" s="25">
        <v>3.0</v>
      </c>
      <c r="J500" s="25">
        <v>1.0</v>
      </c>
      <c r="K500" s="25" t="s">
        <v>103</v>
      </c>
      <c r="L500" s="29" t="s">
        <v>283</v>
      </c>
    </row>
    <row r="501" ht="15.75" customHeight="1">
      <c r="A501" s="18" t="s">
        <v>313</v>
      </c>
      <c r="B501" s="18" t="s">
        <v>195</v>
      </c>
      <c r="C501" s="11">
        <v>27.0</v>
      </c>
      <c r="D501" s="22">
        <v>6.26</v>
      </c>
      <c r="E501" s="22">
        <v>5.35</v>
      </c>
      <c r="F501" s="11">
        <v>0.0</v>
      </c>
      <c r="G501" s="11">
        <v>0.0</v>
      </c>
      <c r="H501" s="11" t="s">
        <v>72</v>
      </c>
      <c r="I501" s="11">
        <v>1.0</v>
      </c>
      <c r="J501" s="11">
        <v>0.0</v>
      </c>
      <c r="K501" s="11" t="s">
        <v>103</v>
      </c>
      <c r="L501" s="18" t="s">
        <v>64</v>
      </c>
    </row>
    <row r="502" ht="15.75" customHeight="1">
      <c r="A502" s="29" t="s">
        <v>1138</v>
      </c>
      <c r="B502" s="29" t="s">
        <v>177</v>
      </c>
      <c r="C502" s="25">
        <v>10.0</v>
      </c>
      <c r="D502" s="32">
        <v>5.6</v>
      </c>
      <c r="E502" s="32">
        <v>5.35</v>
      </c>
      <c r="F502" s="25">
        <v>0.0</v>
      </c>
      <c r="G502" s="25">
        <v>0.0</v>
      </c>
      <c r="H502" s="25" t="s">
        <v>72</v>
      </c>
      <c r="I502" s="25">
        <v>1.0</v>
      </c>
      <c r="J502" s="25">
        <v>0.0</v>
      </c>
      <c r="K502" s="25" t="s">
        <v>103</v>
      </c>
      <c r="L502" s="29" t="s">
        <v>177</v>
      </c>
    </row>
    <row r="503" ht="15.75" customHeight="1">
      <c r="A503" s="18" t="s">
        <v>1139</v>
      </c>
      <c r="B503" s="18" t="s">
        <v>93</v>
      </c>
      <c r="C503" s="11">
        <v>30.0</v>
      </c>
      <c r="D503" s="22">
        <v>6.08</v>
      </c>
      <c r="E503" s="22">
        <v>5.33</v>
      </c>
      <c r="F503" s="11">
        <v>0.0</v>
      </c>
      <c r="G503" s="11">
        <v>0.0</v>
      </c>
      <c r="H503" s="11" t="s">
        <v>72</v>
      </c>
      <c r="I503" s="11">
        <v>1.0</v>
      </c>
      <c r="J503" s="11">
        <v>0.0</v>
      </c>
      <c r="K503" s="11" t="s">
        <v>73</v>
      </c>
      <c r="L503" s="18" t="s">
        <v>71</v>
      </c>
    </row>
    <row r="504" ht="15.75" customHeight="1">
      <c r="A504" s="29" t="s">
        <v>1140</v>
      </c>
      <c r="B504" s="29" t="s">
        <v>208</v>
      </c>
      <c r="C504" s="25">
        <v>6.0</v>
      </c>
      <c r="D504" s="32">
        <v>5.58</v>
      </c>
      <c r="E504" s="32">
        <v>5.33</v>
      </c>
      <c r="F504" s="25">
        <v>0.0</v>
      </c>
      <c r="G504" s="25">
        <v>0.0</v>
      </c>
      <c r="H504" s="25" t="s">
        <v>72</v>
      </c>
      <c r="I504" s="25">
        <v>1.0</v>
      </c>
      <c r="J504" s="25">
        <v>1.0</v>
      </c>
      <c r="K504" s="25" t="s">
        <v>73</v>
      </c>
      <c r="L504" s="29" t="s">
        <v>71</v>
      </c>
    </row>
    <row r="505" ht="15.75" customHeight="1">
      <c r="A505" s="18" t="s">
        <v>984</v>
      </c>
      <c r="B505" s="18" t="s">
        <v>182</v>
      </c>
      <c r="C505" s="11">
        <v>6.0</v>
      </c>
      <c r="D505" s="22">
        <v>5.5</v>
      </c>
      <c r="E505" s="22">
        <v>5.33</v>
      </c>
      <c r="F505" s="11">
        <v>0.0</v>
      </c>
      <c r="G505" s="11">
        <v>0.0</v>
      </c>
      <c r="H505" s="11" t="s">
        <v>72</v>
      </c>
      <c r="I505" s="11">
        <v>2.0</v>
      </c>
      <c r="J505" s="11">
        <v>0.0</v>
      </c>
      <c r="K505" s="11" t="s">
        <v>103</v>
      </c>
      <c r="L505" s="18" t="s">
        <v>182</v>
      </c>
    </row>
    <row r="506" ht="15.75" customHeight="1">
      <c r="A506" s="29" t="s">
        <v>1141</v>
      </c>
      <c r="B506" s="29" t="s">
        <v>208</v>
      </c>
      <c r="C506" s="25">
        <v>10.0</v>
      </c>
      <c r="D506" s="32">
        <v>5.45</v>
      </c>
      <c r="E506" s="32">
        <v>5.3</v>
      </c>
      <c r="F506" s="25">
        <v>0.0</v>
      </c>
      <c r="G506" s="25">
        <v>0.0</v>
      </c>
      <c r="H506" s="25" t="s">
        <v>72</v>
      </c>
      <c r="I506" s="25">
        <v>3.0</v>
      </c>
      <c r="J506" s="25">
        <v>0.0</v>
      </c>
      <c r="K506" s="25" t="s">
        <v>73</v>
      </c>
      <c r="L506" s="29" t="s">
        <v>71</v>
      </c>
    </row>
    <row r="507" ht="15.75" customHeight="1">
      <c r="A507" s="18" t="s">
        <v>200</v>
      </c>
      <c r="B507" s="18" t="s">
        <v>182</v>
      </c>
      <c r="C507" s="11">
        <v>18.0</v>
      </c>
      <c r="D507" s="22">
        <v>6.19</v>
      </c>
      <c r="E507" s="22">
        <v>5.28</v>
      </c>
      <c r="F507" s="11">
        <v>0.0</v>
      </c>
      <c r="G507" s="11">
        <v>0.0</v>
      </c>
      <c r="H507" s="11" t="s">
        <v>72</v>
      </c>
      <c r="I507" s="11">
        <v>1.0</v>
      </c>
      <c r="J507" s="11">
        <v>1.0</v>
      </c>
      <c r="K507" s="11" t="s">
        <v>103</v>
      </c>
      <c r="L507" s="18" t="s">
        <v>182</v>
      </c>
    </row>
    <row r="508" ht="15.75" customHeight="1">
      <c r="A508" s="29" t="s">
        <v>1143</v>
      </c>
      <c r="B508" s="29" t="s">
        <v>212</v>
      </c>
      <c r="C508" s="25">
        <v>14.0</v>
      </c>
      <c r="D508" s="32">
        <v>5.57</v>
      </c>
      <c r="E508" s="32">
        <v>5.25</v>
      </c>
      <c r="F508" s="25">
        <v>0.0</v>
      </c>
      <c r="G508" s="25">
        <v>0.0</v>
      </c>
      <c r="H508" s="25" t="s">
        <v>202</v>
      </c>
      <c r="I508" s="25">
        <v>3.0</v>
      </c>
      <c r="J508" s="25">
        <v>0.0</v>
      </c>
      <c r="K508" s="25" t="s">
        <v>73</v>
      </c>
      <c r="L508" s="29" t="s">
        <v>71</v>
      </c>
    </row>
    <row r="509" ht="15.75" customHeight="1">
      <c r="A509" s="18" t="s">
        <v>1144</v>
      </c>
      <c r="B509" s="18" t="s">
        <v>177</v>
      </c>
      <c r="C509" s="11">
        <v>2.0</v>
      </c>
      <c r="D509" s="22">
        <v>5.5</v>
      </c>
      <c r="E509" s="22">
        <v>5.25</v>
      </c>
      <c r="F509" s="11">
        <v>0.0</v>
      </c>
      <c r="G509" s="11">
        <v>0.0</v>
      </c>
      <c r="H509" s="11" t="s">
        <v>72</v>
      </c>
      <c r="I509" s="11">
        <v>1.0</v>
      </c>
      <c r="J509" s="11">
        <v>0.0</v>
      </c>
      <c r="K509" s="11" t="s">
        <v>73</v>
      </c>
      <c r="L509" s="18" t="s">
        <v>71</v>
      </c>
    </row>
    <row r="510" ht="15.75" customHeight="1">
      <c r="A510" s="29" t="s">
        <v>462</v>
      </c>
      <c r="B510" s="29" t="s">
        <v>185</v>
      </c>
      <c r="C510" s="25">
        <v>2.0</v>
      </c>
      <c r="D510" s="32">
        <v>6.25</v>
      </c>
      <c r="E510" s="32">
        <v>5.25</v>
      </c>
      <c r="F510" s="25">
        <v>0.0</v>
      </c>
      <c r="G510" s="25">
        <v>0.0</v>
      </c>
      <c r="H510" s="25" t="s">
        <v>72</v>
      </c>
      <c r="I510" s="25">
        <v>0.0</v>
      </c>
      <c r="J510" s="25">
        <v>0.0</v>
      </c>
      <c r="K510" s="25" t="s">
        <v>103</v>
      </c>
      <c r="L510" s="29" t="s">
        <v>185</v>
      </c>
    </row>
    <row r="511" ht="15.75" customHeight="1">
      <c r="A511" s="18" t="s">
        <v>1145</v>
      </c>
      <c r="B511" s="18" t="s">
        <v>852</v>
      </c>
      <c r="C511" s="11">
        <v>2.0</v>
      </c>
      <c r="D511" s="22">
        <v>5.5</v>
      </c>
      <c r="E511" s="22">
        <v>5.25</v>
      </c>
      <c r="F511" s="11">
        <v>0.0</v>
      </c>
      <c r="G511" s="11">
        <v>0.0</v>
      </c>
      <c r="H511" s="11" t="s">
        <v>72</v>
      </c>
      <c r="I511" s="11">
        <v>1.0</v>
      </c>
      <c r="J511" s="11">
        <v>0.0</v>
      </c>
      <c r="K511" s="11" t="s">
        <v>73</v>
      </c>
      <c r="L511" s="18" t="s">
        <v>71</v>
      </c>
    </row>
    <row r="512" ht="15.75" customHeight="1">
      <c r="A512" s="29" t="s">
        <v>231</v>
      </c>
      <c r="B512" s="29" t="s">
        <v>232</v>
      </c>
      <c r="C512" s="25">
        <v>38.0</v>
      </c>
      <c r="D512" s="32">
        <v>6.41</v>
      </c>
      <c r="E512" s="32">
        <v>5.22</v>
      </c>
      <c r="F512" s="25">
        <v>0.0</v>
      </c>
      <c r="G512" s="25">
        <v>0.0</v>
      </c>
      <c r="H512" s="25" t="s">
        <v>72</v>
      </c>
      <c r="I512" s="25">
        <v>2.0</v>
      </c>
      <c r="J512" s="25">
        <v>0.0</v>
      </c>
      <c r="K512" s="25" t="s">
        <v>103</v>
      </c>
      <c r="L512" s="29" t="s">
        <v>232</v>
      </c>
    </row>
    <row r="513" ht="15.75" customHeight="1">
      <c r="A513" s="18" t="s">
        <v>1146</v>
      </c>
      <c r="B513" s="18" t="s">
        <v>133</v>
      </c>
      <c r="C513" s="11">
        <v>17.0</v>
      </c>
      <c r="D513" s="22">
        <v>5.5</v>
      </c>
      <c r="E513" s="22">
        <v>5.21</v>
      </c>
      <c r="F513" s="11">
        <v>0.0</v>
      </c>
      <c r="G513" s="11">
        <v>0.0</v>
      </c>
      <c r="H513" s="11" t="s">
        <v>202</v>
      </c>
      <c r="I513" s="11">
        <v>2.0</v>
      </c>
      <c r="J513" s="11">
        <v>1.0</v>
      </c>
      <c r="K513" s="11" t="s">
        <v>73</v>
      </c>
      <c r="L513" s="18" t="s">
        <v>71</v>
      </c>
    </row>
    <row r="514" ht="15.75" customHeight="1">
      <c r="A514" s="29" t="s">
        <v>110</v>
      </c>
      <c r="B514" s="29" t="s">
        <v>64</v>
      </c>
      <c r="C514" s="25">
        <v>5.0</v>
      </c>
      <c r="D514" s="32">
        <v>6.0</v>
      </c>
      <c r="E514" s="32">
        <v>5.2</v>
      </c>
      <c r="F514" s="25">
        <v>0.0</v>
      </c>
      <c r="G514" s="25">
        <v>0.0</v>
      </c>
      <c r="H514" s="25" t="s">
        <v>72</v>
      </c>
      <c r="I514" s="25">
        <v>0.0</v>
      </c>
      <c r="J514" s="25">
        <v>0.0</v>
      </c>
      <c r="K514" s="25" t="s">
        <v>103</v>
      </c>
      <c r="L514" s="29" t="s">
        <v>64</v>
      </c>
    </row>
    <row r="515" ht="15.75" customHeight="1">
      <c r="A515" s="18" t="s">
        <v>189</v>
      </c>
      <c r="B515" s="18" t="s">
        <v>191</v>
      </c>
      <c r="C515" s="11">
        <v>11.0</v>
      </c>
      <c r="D515" s="22">
        <v>6.23</v>
      </c>
      <c r="E515" s="22">
        <v>5.18</v>
      </c>
      <c r="F515" s="11">
        <v>0.0</v>
      </c>
      <c r="G515" s="11">
        <v>1.0</v>
      </c>
      <c r="H515" s="11" t="s">
        <v>72</v>
      </c>
      <c r="I515" s="11">
        <v>1.0</v>
      </c>
      <c r="J515" s="11">
        <v>0.0</v>
      </c>
      <c r="K515" s="11" t="s">
        <v>103</v>
      </c>
      <c r="L515" s="18" t="s">
        <v>191</v>
      </c>
    </row>
    <row r="516" ht="15.75" customHeight="1">
      <c r="A516" s="29" t="s">
        <v>475</v>
      </c>
      <c r="B516" s="29" t="s">
        <v>195</v>
      </c>
      <c r="C516" s="25">
        <v>9.0</v>
      </c>
      <c r="D516" s="32">
        <v>6.0</v>
      </c>
      <c r="E516" s="32">
        <v>5.17</v>
      </c>
      <c r="F516" s="25">
        <v>0.0</v>
      </c>
      <c r="G516" s="25">
        <v>0.0</v>
      </c>
      <c r="H516" s="25" t="s">
        <v>72</v>
      </c>
      <c r="I516" s="25">
        <v>1.0</v>
      </c>
      <c r="J516" s="25">
        <v>0.0</v>
      </c>
      <c r="K516" s="25" t="s">
        <v>103</v>
      </c>
      <c r="L516" s="29" t="s">
        <v>195</v>
      </c>
    </row>
    <row r="517" ht="15.75" customHeight="1">
      <c r="A517" s="18" t="s">
        <v>1148</v>
      </c>
      <c r="B517" s="18" t="s">
        <v>361</v>
      </c>
      <c r="C517" s="11">
        <v>3.0</v>
      </c>
      <c r="D517" s="22">
        <v>5.17</v>
      </c>
      <c r="E517" s="22">
        <v>5.17</v>
      </c>
      <c r="F517" s="11">
        <v>0.0</v>
      </c>
      <c r="G517" s="11">
        <v>0.0</v>
      </c>
      <c r="H517" s="11" t="s">
        <v>72</v>
      </c>
      <c r="I517" s="11">
        <v>0.0</v>
      </c>
      <c r="J517" s="11">
        <v>0.0</v>
      </c>
      <c r="K517" s="11" t="s">
        <v>73</v>
      </c>
      <c r="L517" s="18" t="s">
        <v>71</v>
      </c>
    </row>
    <row r="518" ht="15.75" customHeight="1">
      <c r="A518" s="29" t="s">
        <v>1149</v>
      </c>
      <c r="B518" s="29" t="s">
        <v>93</v>
      </c>
      <c r="C518" s="25">
        <v>9.0</v>
      </c>
      <c r="D518" s="32">
        <v>6.11</v>
      </c>
      <c r="E518" s="32">
        <v>5.11</v>
      </c>
      <c r="F518" s="25">
        <v>0.0</v>
      </c>
      <c r="G518" s="25">
        <v>0.0</v>
      </c>
      <c r="H518" s="25" t="s">
        <v>72</v>
      </c>
      <c r="I518" s="25">
        <v>0.0</v>
      </c>
      <c r="J518" s="25">
        <v>0.0</v>
      </c>
      <c r="K518" s="25" t="s">
        <v>73</v>
      </c>
      <c r="L518" s="29" t="s">
        <v>71</v>
      </c>
    </row>
    <row r="519" ht="15.75" customHeight="1">
      <c r="A519" s="18" t="s">
        <v>286</v>
      </c>
      <c r="B519" s="18" t="s">
        <v>283</v>
      </c>
      <c r="C519" s="11">
        <v>17.0</v>
      </c>
      <c r="D519" s="22">
        <v>6.18</v>
      </c>
      <c r="E519" s="22">
        <v>5.09</v>
      </c>
      <c r="F519" s="11">
        <v>0.0</v>
      </c>
      <c r="G519" s="11">
        <v>0.0</v>
      </c>
      <c r="H519" s="11" t="s">
        <v>72</v>
      </c>
      <c r="I519" s="11">
        <v>1.0</v>
      </c>
      <c r="J519" s="11">
        <v>0.0</v>
      </c>
      <c r="K519" s="11" t="s">
        <v>103</v>
      </c>
      <c r="L519" s="18" t="s">
        <v>283</v>
      </c>
    </row>
    <row r="520" ht="15.75" customHeight="1">
      <c r="A520" s="29" t="s">
        <v>218</v>
      </c>
      <c r="B520" s="29" t="s">
        <v>185</v>
      </c>
      <c r="C520" s="25">
        <v>30.0</v>
      </c>
      <c r="D520" s="32">
        <v>6.07</v>
      </c>
      <c r="E520" s="32">
        <v>5.08</v>
      </c>
      <c r="F520" s="25">
        <v>0.0</v>
      </c>
      <c r="G520" s="25">
        <v>1.0</v>
      </c>
      <c r="H520" s="25" t="s">
        <v>72</v>
      </c>
      <c r="I520" s="25">
        <v>1.0</v>
      </c>
      <c r="J520" s="25">
        <v>1.0</v>
      </c>
      <c r="K520" s="25" t="s">
        <v>103</v>
      </c>
      <c r="L520" s="29" t="s">
        <v>185</v>
      </c>
    </row>
    <row r="521" ht="15.75" customHeight="1">
      <c r="A521" s="18" t="s">
        <v>1150</v>
      </c>
      <c r="B521" s="18" t="s">
        <v>852</v>
      </c>
      <c r="C521" s="11">
        <v>8.0</v>
      </c>
      <c r="D521" s="22">
        <v>5.25</v>
      </c>
      <c r="E521" s="22">
        <v>5.06</v>
      </c>
      <c r="F521" s="11">
        <v>0.0</v>
      </c>
      <c r="G521" s="11">
        <v>0.0</v>
      </c>
      <c r="H521" s="11" t="s">
        <v>72</v>
      </c>
      <c r="I521" s="11">
        <v>1.0</v>
      </c>
      <c r="J521" s="11">
        <v>1.0</v>
      </c>
      <c r="K521" s="11" t="s">
        <v>73</v>
      </c>
      <c r="L521" s="18" t="s">
        <v>71</v>
      </c>
    </row>
    <row r="522" ht="15.75" customHeight="1">
      <c r="A522" s="29" t="s">
        <v>1152</v>
      </c>
      <c r="B522" s="29" t="s">
        <v>64</v>
      </c>
      <c r="C522" s="25">
        <v>33.0</v>
      </c>
      <c r="D522" s="32">
        <v>5.92</v>
      </c>
      <c r="E522" s="32">
        <v>5.02</v>
      </c>
      <c r="F522" s="25">
        <v>0.0</v>
      </c>
      <c r="G522" s="25">
        <v>0.0</v>
      </c>
      <c r="H522" s="25" t="s">
        <v>72</v>
      </c>
      <c r="I522" s="25">
        <v>0.0</v>
      </c>
      <c r="J522" s="25">
        <v>0.0</v>
      </c>
      <c r="K522" s="25" t="s">
        <v>73</v>
      </c>
      <c r="L522" s="29" t="s">
        <v>71</v>
      </c>
    </row>
    <row r="523" ht="15.75" customHeight="1">
      <c r="A523" s="18" t="s">
        <v>207</v>
      </c>
      <c r="B523" s="18" t="s">
        <v>208</v>
      </c>
      <c r="C523" s="11">
        <v>37.0</v>
      </c>
      <c r="D523" s="22">
        <v>6.24</v>
      </c>
      <c r="E523" s="22">
        <v>5.0</v>
      </c>
      <c r="F523" s="11">
        <v>0.0</v>
      </c>
      <c r="G523" s="11">
        <v>0.0</v>
      </c>
      <c r="H523" s="11" t="s">
        <v>72</v>
      </c>
      <c r="I523" s="11">
        <v>0.0</v>
      </c>
      <c r="J523" s="11">
        <v>0.0</v>
      </c>
      <c r="K523" s="11" t="s">
        <v>103</v>
      </c>
      <c r="L523" s="18" t="s">
        <v>208</v>
      </c>
    </row>
    <row r="524" ht="15.75" customHeight="1">
      <c r="A524" s="29" t="s">
        <v>489</v>
      </c>
      <c r="B524" s="29" t="s">
        <v>253</v>
      </c>
      <c r="C524" s="25">
        <v>6.0</v>
      </c>
      <c r="D524" s="32">
        <v>6.17</v>
      </c>
      <c r="E524" s="32">
        <v>5.0</v>
      </c>
      <c r="F524" s="25">
        <v>0.0</v>
      </c>
      <c r="G524" s="25">
        <v>0.0</v>
      </c>
      <c r="H524" s="25" t="s">
        <v>72</v>
      </c>
      <c r="I524" s="25">
        <v>0.0</v>
      </c>
      <c r="J524" s="25">
        <v>0.0</v>
      </c>
      <c r="K524" s="25" t="s">
        <v>103</v>
      </c>
      <c r="L524" s="29" t="s">
        <v>253</v>
      </c>
    </row>
    <row r="525" ht="15.75" customHeight="1">
      <c r="A525" s="18" t="s">
        <v>1153</v>
      </c>
      <c r="B525" s="18" t="s">
        <v>195</v>
      </c>
      <c r="C525" s="11">
        <v>2.0</v>
      </c>
      <c r="D525" s="22">
        <v>6.5</v>
      </c>
      <c r="E525" s="22">
        <v>5.0</v>
      </c>
      <c r="F525" s="11">
        <v>0.0</v>
      </c>
      <c r="G525" s="11">
        <v>0.0</v>
      </c>
      <c r="H525" s="11" t="s">
        <v>72</v>
      </c>
      <c r="I525" s="11">
        <v>0.0</v>
      </c>
      <c r="J525" s="11">
        <v>0.0</v>
      </c>
      <c r="K525" s="11" t="s">
        <v>73</v>
      </c>
      <c r="L525" s="18" t="s">
        <v>71</v>
      </c>
    </row>
    <row r="526" ht="15.75" customHeight="1">
      <c r="A526" s="29" t="s">
        <v>456</v>
      </c>
      <c r="B526" s="29" t="s">
        <v>64</v>
      </c>
      <c r="C526" s="25">
        <v>1.0</v>
      </c>
      <c r="D526" s="32">
        <v>6.0</v>
      </c>
      <c r="E526" s="32">
        <v>5.0</v>
      </c>
      <c r="F526" s="25">
        <v>0.0</v>
      </c>
      <c r="G526" s="25">
        <v>0.0</v>
      </c>
      <c r="H526" s="25" t="s">
        <v>72</v>
      </c>
      <c r="I526" s="25">
        <v>0.0</v>
      </c>
      <c r="J526" s="25">
        <v>0.0</v>
      </c>
      <c r="K526" s="25" t="s">
        <v>103</v>
      </c>
      <c r="L526" s="29" t="s">
        <v>64</v>
      </c>
    </row>
    <row r="527" ht="15.75" customHeight="1">
      <c r="A527" s="18" t="s">
        <v>1154</v>
      </c>
      <c r="B527" s="18" t="s">
        <v>232</v>
      </c>
      <c r="C527" s="11">
        <v>1.0</v>
      </c>
      <c r="D527" s="22">
        <v>5.0</v>
      </c>
      <c r="E527" s="22">
        <v>5.0</v>
      </c>
      <c r="F527" s="11">
        <v>0.0</v>
      </c>
      <c r="G527" s="11">
        <v>0.0</v>
      </c>
      <c r="H527" s="11" t="s">
        <v>72</v>
      </c>
      <c r="I527" s="11">
        <v>0.0</v>
      </c>
      <c r="J527" s="11">
        <v>0.0</v>
      </c>
      <c r="K527" s="11" t="s">
        <v>73</v>
      </c>
      <c r="L527" s="18" t="s">
        <v>71</v>
      </c>
    </row>
    <row r="528" ht="15.75" customHeight="1">
      <c r="A528" s="29" t="s">
        <v>798</v>
      </c>
      <c r="B528" s="29" t="s">
        <v>175</v>
      </c>
      <c r="C528" s="25">
        <v>1.0</v>
      </c>
      <c r="D528" s="32">
        <v>5.5</v>
      </c>
      <c r="E528" s="32">
        <v>5.0</v>
      </c>
      <c r="F528" s="25">
        <v>0.0</v>
      </c>
      <c r="G528" s="25">
        <v>0.0</v>
      </c>
      <c r="H528" s="25" t="s">
        <v>72</v>
      </c>
      <c r="I528" s="25">
        <v>1.0</v>
      </c>
      <c r="J528" s="25">
        <v>0.0</v>
      </c>
      <c r="K528" s="25" t="s">
        <v>103</v>
      </c>
      <c r="L528" s="29" t="s">
        <v>208</v>
      </c>
    </row>
    <row r="529" ht="15.75" customHeight="1">
      <c r="A529" s="18" t="s">
        <v>1155</v>
      </c>
      <c r="B529" s="18" t="s">
        <v>212</v>
      </c>
      <c r="C529" s="11">
        <v>1.0</v>
      </c>
      <c r="D529" s="22">
        <v>5.0</v>
      </c>
      <c r="E529" s="22">
        <v>5.0</v>
      </c>
      <c r="F529" s="11">
        <v>0.0</v>
      </c>
      <c r="G529" s="11">
        <v>0.0</v>
      </c>
      <c r="H529" s="11" t="s">
        <v>72</v>
      </c>
      <c r="I529" s="11">
        <v>0.0</v>
      </c>
      <c r="J529" s="11">
        <v>0.0</v>
      </c>
      <c r="K529" s="11" t="s">
        <v>103</v>
      </c>
      <c r="L529" s="18" t="s">
        <v>232</v>
      </c>
    </row>
    <row r="530" ht="15.75" customHeight="1">
      <c r="A530" s="29" t="s">
        <v>471</v>
      </c>
      <c r="B530" s="29" t="s">
        <v>361</v>
      </c>
      <c r="C530" s="25">
        <v>35.0</v>
      </c>
      <c r="D530" s="32">
        <v>6.2</v>
      </c>
      <c r="E530" s="32">
        <v>4.94</v>
      </c>
      <c r="F530" s="25">
        <v>0.0</v>
      </c>
      <c r="G530" s="25">
        <v>1.0</v>
      </c>
      <c r="H530" s="25" t="s">
        <v>72</v>
      </c>
      <c r="I530" s="25">
        <v>0.0</v>
      </c>
      <c r="J530" s="25">
        <v>0.0</v>
      </c>
      <c r="K530" s="25" t="s">
        <v>103</v>
      </c>
      <c r="L530" s="29" t="s">
        <v>264</v>
      </c>
    </row>
    <row r="531" ht="15.75" customHeight="1">
      <c r="A531" s="18" t="s">
        <v>1156</v>
      </c>
      <c r="B531" s="18" t="s">
        <v>734</v>
      </c>
      <c r="C531" s="11">
        <v>34.0</v>
      </c>
      <c r="D531" s="22">
        <v>6.21</v>
      </c>
      <c r="E531" s="22">
        <v>4.91</v>
      </c>
      <c r="F531" s="11">
        <v>0.0</v>
      </c>
      <c r="G531" s="11">
        <v>0.0</v>
      </c>
      <c r="H531" s="11" t="s">
        <v>72</v>
      </c>
      <c r="I531" s="11">
        <v>0.0</v>
      </c>
      <c r="J531" s="11">
        <v>0.0</v>
      </c>
      <c r="K531" s="11" t="s">
        <v>73</v>
      </c>
      <c r="L531" s="18" t="s">
        <v>71</v>
      </c>
    </row>
    <row r="532" ht="15.75" customHeight="1">
      <c r="A532" s="29" t="s">
        <v>1157</v>
      </c>
      <c r="B532" s="29" t="s">
        <v>852</v>
      </c>
      <c r="C532" s="25">
        <v>5.0</v>
      </c>
      <c r="D532" s="32">
        <v>5.1</v>
      </c>
      <c r="E532" s="32">
        <v>4.9</v>
      </c>
      <c r="F532" s="25">
        <v>0.0</v>
      </c>
      <c r="G532" s="25">
        <v>0.0</v>
      </c>
      <c r="H532" s="25" t="s">
        <v>72</v>
      </c>
      <c r="I532" s="25">
        <v>3.0</v>
      </c>
      <c r="J532" s="25">
        <v>0.0</v>
      </c>
      <c r="K532" s="25" t="s">
        <v>73</v>
      </c>
      <c r="L532" s="29" t="s">
        <v>71</v>
      </c>
    </row>
    <row r="533" ht="15.75" customHeight="1">
      <c r="A533" s="18" t="s">
        <v>238</v>
      </c>
      <c r="B533" s="18" t="s">
        <v>239</v>
      </c>
      <c r="C533" s="11">
        <v>38.0</v>
      </c>
      <c r="D533" s="22">
        <v>6.29</v>
      </c>
      <c r="E533" s="22">
        <v>4.87</v>
      </c>
      <c r="F533" s="11">
        <v>0.0</v>
      </c>
      <c r="G533" s="11">
        <v>0.0</v>
      </c>
      <c r="H533" s="11" t="s">
        <v>72</v>
      </c>
      <c r="I533" s="11">
        <v>2.0</v>
      </c>
      <c r="J533" s="11">
        <v>0.0</v>
      </c>
      <c r="K533" s="11" t="s">
        <v>103</v>
      </c>
      <c r="L533" s="18" t="s">
        <v>239</v>
      </c>
    </row>
    <row r="534" ht="15.75" customHeight="1">
      <c r="A534" s="29" t="s">
        <v>1158</v>
      </c>
      <c r="B534" s="29" t="s">
        <v>177</v>
      </c>
      <c r="C534" s="25">
        <v>22.0</v>
      </c>
      <c r="D534" s="32">
        <v>6.16</v>
      </c>
      <c r="E534" s="32">
        <v>4.84</v>
      </c>
      <c r="F534" s="25">
        <v>0.0</v>
      </c>
      <c r="G534" s="25">
        <v>0.0</v>
      </c>
      <c r="H534" s="25" t="s">
        <v>72</v>
      </c>
      <c r="I534" s="25">
        <v>2.0</v>
      </c>
      <c r="J534" s="25">
        <v>1.0</v>
      </c>
      <c r="K534" s="25" t="s">
        <v>73</v>
      </c>
      <c r="L534" s="29" t="s">
        <v>71</v>
      </c>
    </row>
    <row r="535" ht="15.75" customHeight="1">
      <c r="A535" s="18" t="s">
        <v>243</v>
      </c>
      <c r="B535" s="18" t="s">
        <v>177</v>
      </c>
      <c r="C535" s="11">
        <v>16.0</v>
      </c>
      <c r="D535" s="22">
        <v>6.06</v>
      </c>
      <c r="E535" s="22">
        <v>4.78</v>
      </c>
      <c r="F535" s="11">
        <v>0.0</v>
      </c>
      <c r="G535" s="11">
        <v>0.0</v>
      </c>
      <c r="H535" s="11" t="s">
        <v>72</v>
      </c>
      <c r="I535" s="11">
        <v>1.0</v>
      </c>
      <c r="J535" s="11">
        <v>0.0</v>
      </c>
      <c r="K535" s="11" t="s">
        <v>103</v>
      </c>
      <c r="L535" s="18" t="s">
        <v>177</v>
      </c>
    </row>
    <row r="536" ht="15.75" customHeight="1">
      <c r="A536" s="29" t="s">
        <v>252</v>
      </c>
      <c r="B536" s="29" t="s">
        <v>253</v>
      </c>
      <c r="C536" s="25">
        <v>32.0</v>
      </c>
      <c r="D536" s="32">
        <v>6.08</v>
      </c>
      <c r="E536" s="32">
        <v>4.77</v>
      </c>
      <c r="F536" s="25">
        <v>0.0</v>
      </c>
      <c r="G536" s="25">
        <v>0.0</v>
      </c>
      <c r="H536" s="25" t="s">
        <v>72</v>
      </c>
      <c r="I536" s="25">
        <v>4.0</v>
      </c>
      <c r="J536" s="25">
        <v>0.0</v>
      </c>
      <c r="K536" s="25" t="s">
        <v>103</v>
      </c>
      <c r="L536" s="29" t="s">
        <v>253</v>
      </c>
    </row>
    <row r="537" ht="15.75" customHeight="1">
      <c r="A537" s="18" t="s">
        <v>1159</v>
      </c>
      <c r="B537" s="18" t="s">
        <v>283</v>
      </c>
      <c r="C537" s="11">
        <v>20.0</v>
      </c>
      <c r="D537" s="22">
        <v>6.02</v>
      </c>
      <c r="E537" s="22">
        <v>4.75</v>
      </c>
      <c r="F537" s="11">
        <v>0.0</v>
      </c>
      <c r="G537" s="11">
        <v>0.0</v>
      </c>
      <c r="H537" s="11" t="s">
        <v>72</v>
      </c>
      <c r="I537" s="11">
        <v>1.0</v>
      </c>
      <c r="J537" s="11">
        <v>0.0</v>
      </c>
      <c r="K537" s="11" t="s">
        <v>73</v>
      </c>
      <c r="L537" s="18" t="s">
        <v>71</v>
      </c>
    </row>
    <row r="538" ht="15.75" customHeight="1">
      <c r="A538" s="29" t="s">
        <v>1161</v>
      </c>
      <c r="B538" s="29" t="s">
        <v>177</v>
      </c>
      <c r="C538" s="25">
        <v>4.0</v>
      </c>
      <c r="D538" s="32">
        <v>5.5</v>
      </c>
      <c r="E538" s="32">
        <v>4.75</v>
      </c>
      <c r="F538" s="25">
        <v>0.0</v>
      </c>
      <c r="G538" s="25">
        <v>0.0</v>
      </c>
      <c r="H538" s="25" t="s">
        <v>202</v>
      </c>
      <c r="I538" s="25">
        <v>0.0</v>
      </c>
      <c r="J538" s="25">
        <v>0.0</v>
      </c>
      <c r="K538" s="25" t="s">
        <v>73</v>
      </c>
      <c r="L538" s="29" t="s">
        <v>71</v>
      </c>
    </row>
    <row r="539" ht="15.75" customHeight="1">
      <c r="A539" s="18" t="s">
        <v>1162</v>
      </c>
      <c r="B539" s="18" t="s">
        <v>734</v>
      </c>
      <c r="C539" s="11">
        <v>4.0</v>
      </c>
      <c r="D539" s="22">
        <v>6.38</v>
      </c>
      <c r="E539" s="22">
        <v>4.62</v>
      </c>
      <c r="F539" s="11">
        <v>0.0</v>
      </c>
      <c r="G539" s="11">
        <v>0.0</v>
      </c>
      <c r="H539" s="11" t="s">
        <v>72</v>
      </c>
      <c r="I539" s="11">
        <v>0.0</v>
      </c>
      <c r="J539" s="11">
        <v>0.0</v>
      </c>
      <c r="K539" s="11" t="s">
        <v>73</v>
      </c>
      <c r="L539" s="18" t="s">
        <v>71</v>
      </c>
    </row>
    <row r="540" ht="15.75" customHeight="1">
      <c r="A540" s="29" t="s">
        <v>482</v>
      </c>
      <c r="B540" s="29" t="s">
        <v>212</v>
      </c>
      <c r="C540" s="25">
        <v>29.0</v>
      </c>
      <c r="D540" s="32">
        <v>6.09</v>
      </c>
      <c r="E540" s="32">
        <v>4.52</v>
      </c>
      <c r="F540" s="25">
        <v>0.0</v>
      </c>
      <c r="G540" s="25">
        <v>0.0</v>
      </c>
      <c r="H540" s="25" t="s">
        <v>72</v>
      </c>
      <c r="I540" s="25">
        <v>1.0</v>
      </c>
      <c r="J540" s="25">
        <v>0.0</v>
      </c>
      <c r="K540" s="25" t="s">
        <v>103</v>
      </c>
      <c r="L540" s="29" t="s">
        <v>212</v>
      </c>
    </row>
    <row r="541" ht="15.75" customHeight="1">
      <c r="A541" s="18" t="s">
        <v>1163</v>
      </c>
      <c r="B541" s="18" t="s">
        <v>177</v>
      </c>
      <c r="C541" s="11">
        <v>5.0</v>
      </c>
      <c r="D541" s="22">
        <v>5.1</v>
      </c>
      <c r="E541" s="22">
        <v>4.5</v>
      </c>
      <c r="F541" s="11">
        <v>0.0</v>
      </c>
      <c r="G541" s="11">
        <v>0.0</v>
      </c>
      <c r="H541" s="11" t="s">
        <v>202</v>
      </c>
      <c r="I541" s="11">
        <v>0.0</v>
      </c>
      <c r="J541" s="11">
        <v>0.0</v>
      </c>
      <c r="K541" s="11" t="s">
        <v>73</v>
      </c>
      <c r="L541" s="18" t="s">
        <v>71</v>
      </c>
    </row>
    <row r="542" ht="15.75" customHeight="1">
      <c r="A542" s="29" t="s">
        <v>466</v>
      </c>
      <c r="B542" s="29" t="s">
        <v>143</v>
      </c>
      <c r="C542" s="25">
        <v>1.0</v>
      </c>
      <c r="D542" s="32">
        <v>5.5</v>
      </c>
      <c r="E542" s="32">
        <v>4.5</v>
      </c>
      <c r="F542" s="25">
        <v>0.0</v>
      </c>
      <c r="G542" s="25">
        <v>0.0</v>
      </c>
      <c r="H542" s="25" t="s">
        <v>72</v>
      </c>
      <c r="I542" s="25">
        <v>0.0</v>
      </c>
      <c r="J542" s="25">
        <v>0.0</v>
      </c>
      <c r="K542" s="25" t="s">
        <v>103</v>
      </c>
      <c r="L542" s="29" t="s">
        <v>143</v>
      </c>
    </row>
    <row r="543" ht="15.75" customHeight="1">
      <c r="A543" s="18" t="s">
        <v>1164</v>
      </c>
      <c r="B543" s="18" t="s">
        <v>852</v>
      </c>
      <c r="C543" s="11">
        <v>25.0</v>
      </c>
      <c r="D543" s="22">
        <v>6.06</v>
      </c>
      <c r="E543" s="22">
        <v>4.38</v>
      </c>
      <c r="F543" s="11">
        <v>0.0</v>
      </c>
      <c r="G543" s="11">
        <v>0.0</v>
      </c>
      <c r="H543" s="11" t="s">
        <v>72</v>
      </c>
      <c r="I543" s="11">
        <v>0.0</v>
      </c>
      <c r="J543" s="11">
        <v>0.0</v>
      </c>
      <c r="K543" s="11" t="s">
        <v>73</v>
      </c>
      <c r="L543" s="18" t="s">
        <v>71</v>
      </c>
    </row>
    <row r="544" ht="15.75" customHeight="1">
      <c r="A544" s="29" t="s">
        <v>1165</v>
      </c>
      <c r="B544" s="29" t="s">
        <v>182</v>
      </c>
      <c r="C544" s="25">
        <v>17.0</v>
      </c>
      <c r="D544" s="32">
        <v>6.21</v>
      </c>
      <c r="E544" s="32">
        <v>4.38</v>
      </c>
      <c r="F544" s="25">
        <v>0.0</v>
      </c>
      <c r="G544" s="25">
        <v>0.0</v>
      </c>
      <c r="H544" s="25" t="s">
        <v>72</v>
      </c>
      <c r="I544" s="25">
        <v>4.0</v>
      </c>
      <c r="J544" s="25">
        <v>0.0</v>
      </c>
      <c r="K544" s="25" t="s">
        <v>73</v>
      </c>
      <c r="L544" s="29" t="s">
        <v>71</v>
      </c>
    </row>
    <row r="545" ht="15.75" customHeight="1">
      <c r="A545" s="18" t="s">
        <v>1166</v>
      </c>
      <c r="B545" s="18" t="s">
        <v>852</v>
      </c>
      <c r="C545" s="11">
        <v>7.0</v>
      </c>
      <c r="D545" s="22">
        <v>6.21</v>
      </c>
      <c r="E545" s="22">
        <v>4.07</v>
      </c>
      <c r="F545" s="11">
        <v>0.0</v>
      </c>
      <c r="G545" s="11">
        <v>0.0</v>
      </c>
      <c r="H545" s="11" t="s">
        <v>72</v>
      </c>
      <c r="I545" s="11">
        <v>0.0</v>
      </c>
      <c r="J545" s="11">
        <v>0.0</v>
      </c>
      <c r="K545" s="11" t="s">
        <v>73</v>
      </c>
      <c r="L545" s="18" t="s">
        <v>71</v>
      </c>
    </row>
    <row r="546" ht="15.75" customHeight="1">
      <c r="A546" s="29" t="s">
        <v>1167</v>
      </c>
      <c r="B546" s="29" t="s">
        <v>212</v>
      </c>
      <c r="C546" s="25">
        <v>9.0</v>
      </c>
      <c r="D546" s="32">
        <v>5.89</v>
      </c>
      <c r="E546" s="32">
        <v>3.83</v>
      </c>
      <c r="F546" s="25">
        <v>0.0</v>
      </c>
      <c r="G546" s="25">
        <v>0.0</v>
      </c>
      <c r="H546" s="25" t="s">
        <v>72</v>
      </c>
      <c r="I546" s="25">
        <v>1.0</v>
      </c>
      <c r="J546" s="25">
        <v>0.0</v>
      </c>
      <c r="K546" s="25" t="s">
        <v>73</v>
      </c>
      <c r="L546" s="29" t="s">
        <v>71</v>
      </c>
    </row>
    <row r="547" ht="15.75" customHeight="1">
      <c r="A547" s="18" t="s">
        <v>1169</v>
      </c>
      <c r="B547" s="18" t="s">
        <v>361</v>
      </c>
      <c r="C547" s="11">
        <v>3.0</v>
      </c>
      <c r="D547" s="22">
        <v>6.17</v>
      </c>
      <c r="E547" s="22">
        <v>3.83</v>
      </c>
      <c r="F547" s="11">
        <v>0.0</v>
      </c>
      <c r="G547" s="11">
        <v>0.0</v>
      </c>
      <c r="H547" s="11" t="s">
        <v>72</v>
      </c>
      <c r="I547" s="11">
        <v>0.0</v>
      </c>
      <c r="J547" s="11">
        <v>0.0</v>
      </c>
      <c r="K547" s="11" t="s">
        <v>73</v>
      </c>
      <c r="L547" s="18" t="s">
        <v>71</v>
      </c>
    </row>
    <row r="548" ht="15.75" customHeight="1">
      <c r="A548" s="29" t="s">
        <v>486</v>
      </c>
      <c r="B548" s="29" t="s">
        <v>177</v>
      </c>
      <c r="C548" s="25">
        <v>2.0</v>
      </c>
      <c r="D548" s="32">
        <v>5.75</v>
      </c>
      <c r="E548" s="32">
        <v>3.75</v>
      </c>
      <c r="F548" s="25">
        <v>0.0</v>
      </c>
      <c r="G548" s="25">
        <v>0.0</v>
      </c>
      <c r="H548" s="25" t="s">
        <v>72</v>
      </c>
      <c r="I548" s="25">
        <v>0.0</v>
      </c>
      <c r="J548" s="25">
        <v>0.0</v>
      </c>
      <c r="K548" s="25" t="s">
        <v>103</v>
      </c>
      <c r="L548" s="29" t="s">
        <v>177</v>
      </c>
    </row>
    <row r="549" ht="15.75" customHeight="1">
      <c r="A549" s="18" t="s">
        <v>1170</v>
      </c>
      <c r="B549" s="18" t="s">
        <v>852</v>
      </c>
      <c r="C549" s="11">
        <v>6.0</v>
      </c>
      <c r="D549" s="22">
        <v>5.92</v>
      </c>
      <c r="E549" s="22">
        <v>3.58</v>
      </c>
      <c r="F549" s="11">
        <v>0.0</v>
      </c>
      <c r="G549" s="11">
        <v>0.0</v>
      </c>
      <c r="H549" s="11" t="s">
        <v>72</v>
      </c>
      <c r="I549" s="11">
        <v>0.0</v>
      </c>
      <c r="J549" s="11">
        <v>0.0</v>
      </c>
      <c r="K549" s="11" t="s">
        <v>73</v>
      </c>
      <c r="L549" s="18" t="s">
        <v>71</v>
      </c>
    </row>
    <row r="550" ht="15.75" customHeight="1">
      <c r="A550" s="29" t="s">
        <v>1171</v>
      </c>
      <c r="B550" s="29" t="s">
        <v>185</v>
      </c>
      <c r="C550" s="25">
        <v>7.0</v>
      </c>
      <c r="D550" s="32">
        <v>5.57</v>
      </c>
      <c r="E550" s="32">
        <v>3.5</v>
      </c>
      <c r="F550" s="25">
        <v>0.0</v>
      </c>
      <c r="G550" s="25">
        <v>0.0</v>
      </c>
      <c r="H550" s="25" t="s">
        <v>72</v>
      </c>
      <c r="I550" s="25">
        <v>1.0</v>
      </c>
      <c r="J550" s="25">
        <v>0.0</v>
      </c>
      <c r="K550" s="25" t="s">
        <v>73</v>
      </c>
      <c r="L550" s="29" t="s">
        <v>71</v>
      </c>
    </row>
    <row r="551" ht="15.75" customHeight="1">
      <c r="A551" s="18" t="s">
        <v>1172</v>
      </c>
      <c r="B551" s="18" t="s">
        <v>143</v>
      </c>
      <c r="C551" s="11">
        <v>0.0</v>
      </c>
      <c r="D551" s="22">
        <v>0.0</v>
      </c>
      <c r="E551" s="22">
        <v>0.0</v>
      </c>
      <c r="F551" s="11">
        <v>0.0</v>
      </c>
      <c r="G551" s="11">
        <v>0.0</v>
      </c>
      <c r="H551" s="11" t="s">
        <v>72</v>
      </c>
      <c r="I551" s="11">
        <v>0.0</v>
      </c>
      <c r="J551" s="11">
        <v>0.0</v>
      </c>
      <c r="K551" s="11" t="s">
        <v>73</v>
      </c>
      <c r="L551" s="18" t="s">
        <v>71</v>
      </c>
    </row>
    <row r="552" ht="15.75" customHeight="1">
      <c r="A552" s="29" t="s">
        <v>514</v>
      </c>
      <c r="B552" s="29" t="s">
        <v>143</v>
      </c>
      <c r="C552" s="25">
        <v>0.0</v>
      </c>
      <c r="D552" s="32">
        <v>0.0</v>
      </c>
      <c r="E552" s="32">
        <v>0.0</v>
      </c>
      <c r="F552" s="25">
        <v>0.0</v>
      </c>
      <c r="G552" s="25">
        <v>0.0</v>
      </c>
      <c r="H552" s="25" t="s">
        <v>72</v>
      </c>
      <c r="I552" s="25">
        <v>0.0</v>
      </c>
      <c r="J552" s="25">
        <v>0.0</v>
      </c>
      <c r="K552" s="25" t="s">
        <v>103</v>
      </c>
      <c r="L552" s="29" t="s">
        <v>283</v>
      </c>
    </row>
    <row r="553" ht="15.75" customHeight="1">
      <c r="A553" s="18" t="s">
        <v>1173</v>
      </c>
      <c r="B553" s="18" t="s">
        <v>239</v>
      </c>
      <c r="C553" s="11">
        <v>0.0</v>
      </c>
      <c r="D553" s="22">
        <v>0.0</v>
      </c>
      <c r="E553" s="22">
        <v>0.0</v>
      </c>
      <c r="F553" s="11">
        <v>0.0</v>
      </c>
      <c r="G553" s="11">
        <v>0.0</v>
      </c>
      <c r="H553" s="11" t="s">
        <v>72</v>
      </c>
      <c r="I553" s="11">
        <v>0.0</v>
      </c>
      <c r="J553" s="11">
        <v>0.0</v>
      </c>
      <c r="K553" s="11" t="s">
        <v>73</v>
      </c>
      <c r="L553" s="18" t="s">
        <v>71</v>
      </c>
    </row>
    <row r="554" ht="15.75" customHeight="1">
      <c r="A554" s="29" t="s">
        <v>413</v>
      </c>
      <c r="B554" s="29" t="s">
        <v>239</v>
      </c>
      <c r="C554" s="25">
        <v>0.0</v>
      </c>
      <c r="D554" s="32">
        <v>0.0</v>
      </c>
      <c r="E554" s="32">
        <v>0.0</v>
      </c>
      <c r="F554" s="25">
        <v>0.0</v>
      </c>
      <c r="G554" s="25">
        <v>0.0</v>
      </c>
      <c r="H554" s="25" t="s">
        <v>72</v>
      </c>
      <c r="I554" s="25">
        <v>0.0</v>
      </c>
      <c r="J554" s="25">
        <v>0.0</v>
      </c>
      <c r="K554" s="25" t="s">
        <v>103</v>
      </c>
      <c r="L554" s="29" t="s">
        <v>239</v>
      </c>
    </row>
    <row r="555" ht="15.75" customHeight="1">
      <c r="A555" s="18" t="s">
        <v>451</v>
      </c>
      <c r="B555" s="18" t="s">
        <v>133</v>
      </c>
      <c r="C555" s="11">
        <v>0.0</v>
      </c>
      <c r="D555" s="22">
        <v>0.0</v>
      </c>
      <c r="E555" s="22">
        <v>0.0</v>
      </c>
      <c r="F555" s="11">
        <v>0.0</v>
      </c>
      <c r="G555" s="11">
        <v>0.0</v>
      </c>
      <c r="H555" s="11" t="s">
        <v>72</v>
      </c>
      <c r="I555" s="11">
        <v>0.0</v>
      </c>
      <c r="J555" s="11">
        <v>0.0</v>
      </c>
      <c r="K555" s="11" t="s">
        <v>103</v>
      </c>
      <c r="L555" s="18" t="s">
        <v>133</v>
      </c>
    </row>
    <row r="556" ht="15.75" customHeight="1">
      <c r="A556" s="29" t="s">
        <v>1174</v>
      </c>
      <c r="B556" s="29" t="s">
        <v>133</v>
      </c>
      <c r="C556" s="25">
        <v>0.0</v>
      </c>
      <c r="D556" s="32">
        <v>0.0</v>
      </c>
      <c r="E556" s="32">
        <v>0.0</v>
      </c>
      <c r="F556" s="25">
        <v>0.0</v>
      </c>
      <c r="G556" s="25">
        <v>0.0</v>
      </c>
      <c r="H556" s="25" t="s">
        <v>72</v>
      </c>
      <c r="I556" s="25">
        <v>0.0</v>
      </c>
      <c r="J556" s="25">
        <v>0.0</v>
      </c>
      <c r="K556" s="25" t="s">
        <v>103</v>
      </c>
      <c r="L556" s="29" t="s">
        <v>133</v>
      </c>
    </row>
    <row r="557" ht="15.75" customHeight="1">
      <c r="A557" s="18" t="s">
        <v>1175</v>
      </c>
      <c r="B557" s="18" t="s">
        <v>133</v>
      </c>
      <c r="C557" s="11">
        <v>0.0</v>
      </c>
      <c r="D557" s="22">
        <v>0.0</v>
      </c>
      <c r="E557" s="22">
        <v>0.0</v>
      </c>
      <c r="F557" s="11">
        <v>0.0</v>
      </c>
      <c r="G557" s="11">
        <v>0.0</v>
      </c>
      <c r="H557" s="11" t="s">
        <v>72</v>
      </c>
      <c r="I557" s="11">
        <v>0.0</v>
      </c>
      <c r="J557" s="11">
        <v>0.0</v>
      </c>
      <c r="K557" s="11" t="s">
        <v>73</v>
      </c>
      <c r="L557" s="18" t="s">
        <v>71</v>
      </c>
    </row>
    <row r="558" ht="15.75" customHeight="1">
      <c r="A558" s="29" t="s">
        <v>1176</v>
      </c>
      <c r="B558" s="29" t="s">
        <v>133</v>
      </c>
      <c r="C558" s="25">
        <v>0.0</v>
      </c>
      <c r="D558" s="32">
        <v>0.0</v>
      </c>
      <c r="E558" s="32">
        <v>0.0</v>
      </c>
      <c r="F558" s="25">
        <v>0.0</v>
      </c>
      <c r="G558" s="25">
        <v>0.0</v>
      </c>
      <c r="H558" s="25" t="s">
        <v>72</v>
      </c>
      <c r="I558" s="25">
        <v>0.0</v>
      </c>
      <c r="J558" s="25">
        <v>0.0</v>
      </c>
      <c r="K558" s="25" t="s">
        <v>73</v>
      </c>
      <c r="L558" s="29" t="s">
        <v>71</v>
      </c>
    </row>
    <row r="559" ht="15.75" customHeight="1">
      <c r="A559" s="18" t="s">
        <v>1177</v>
      </c>
      <c r="B559" s="18" t="s">
        <v>177</v>
      </c>
      <c r="C559" s="11">
        <v>0.0</v>
      </c>
      <c r="D559" s="22">
        <v>0.0</v>
      </c>
      <c r="E559" s="22">
        <v>0.0</v>
      </c>
      <c r="F559" s="11">
        <v>0.0</v>
      </c>
      <c r="G559" s="11">
        <v>0.0</v>
      </c>
      <c r="H559" s="11" t="s">
        <v>72</v>
      </c>
      <c r="I559" s="11">
        <v>0.0</v>
      </c>
      <c r="J559" s="11">
        <v>0.0</v>
      </c>
      <c r="K559" s="11" t="s">
        <v>73</v>
      </c>
      <c r="L559" s="18" t="s">
        <v>71</v>
      </c>
    </row>
    <row r="560" ht="15.75" customHeight="1">
      <c r="A560" s="29" t="s">
        <v>1178</v>
      </c>
      <c r="B560" s="29" t="s">
        <v>177</v>
      </c>
      <c r="C560" s="25">
        <v>0.0</v>
      </c>
      <c r="D560" s="32">
        <v>0.0</v>
      </c>
      <c r="E560" s="32">
        <v>0.0</v>
      </c>
      <c r="F560" s="25">
        <v>0.0</v>
      </c>
      <c r="G560" s="25">
        <v>0.0</v>
      </c>
      <c r="H560" s="25" t="s">
        <v>72</v>
      </c>
      <c r="I560" s="25">
        <v>0.0</v>
      </c>
      <c r="J560" s="25">
        <v>0.0</v>
      </c>
      <c r="K560" s="25" t="s">
        <v>73</v>
      </c>
      <c r="L560" s="29" t="s">
        <v>71</v>
      </c>
    </row>
    <row r="561" ht="15.75" customHeight="1">
      <c r="A561" s="18" t="s">
        <v>399</v>
      </c>
      <c r="B561" s="18" t="s">
        <v>93</v>
      </c>
      <c r="C561" s="11">
        <v>0.0</v>
      </c>
      <c r="D561" s="22">
        <v>0.0</v>
      </c>
      <c r="E561" s="22">
        <v>0.0</v>
      </c>
      <c r="F561" s="11">
        <v>0.0</v>
      </c>
      <c r="G561" s="11">
        <v>0.0</v>
      </c>
      <c r="H561" s="11" t="s">
        <v>72</v>
      </c>
      <c r="I561" s="11">
        <v>0.0</v>
      </c>
      <c r="J561" s="11">
        <v>0.0</v>
      </c>
      <c r="K561" s="11" t="s">
        <v>103</v>
      </c>
      <c r="L561" s="18" t="s">
        <v>93</v>
      </c>
    </row>
    <row r="562" ht="15.75" customHeight="1">
      <c r="A562" s="29" t="s">
        <v>1179</v>
      </c>
      <c r="B562" s="29" t="s">
        <v>93</v>
      </c>
      <c r="C562" s="25">
        <v>0.0</v>
      </c>
      <c r="D562" s="32">
        <v>0.0</v>
      </c>
      <c r="E562" s="32">
        <v>0.0</v>
      </c>
      <c r="F562" s="25">
        <v>0.0</v>
      </c>
      <c r="G562" s="25">
        <v>0.0</v>
      </c>
      <c r="H562" s="25" t="s">
        <v>72</v>
      </c>
      <c r="I562" s="25">
        <v>0.0</v>
      </c>
      <c r="J562" s="25">
        <v>0.0</v>
      </c>
      <c r="K562" s="25" t="s">
        <v>103</v>
      </c>
      <c r="L562" s="29" t="s">
        <v>93</v>
      </c>
    </row>
    <row r="563" ht="15.75" customHeight="1">
      <c r="A563" s="18" t="s">
        <v>907</v>
      </c>
      <c r="B563" s="18" t="s">
        <v>93</v>
      </c>
      <c r="C563" s="11">
        <v>0.0</v>
      </c>
      <c r="D563" s="22">
        <v>0.0</v>
      </c>
      <c r="E563" s="22">
        <v>0.0</v>
      </c>
      <c r="F563" s="11">
        <v>0.0</v>
      </c>
      <c r="G563" s="11">
        <v>0.0</v>
      </c>
      <c r="H563" s="11" t="s">
        <v>72</v>
      </c>
      <c r="I563" s="11">
        <v>0.0</v>
      </c>
      <c r="J563" s="11">
        <v>0.0</v>
      </c>
      <c r="K563" s="11" t="s">
        <v>103</v>
      </c>
      <c r="L563" s="18" t="s">
        <v>93</v>
      </c>
    </row>
    <row r="564" ht="15.75" customHeight="1">
      <c r="A564" s="29" t="s">
        <v>194</v>
      </c>
      <c r="B564" s="29" t="s">
        <v>195</v>
      </c>
      <c r="C564" s="25">
        <v>0.0</v>
      </c>
      <c r="D564" s="32">
        <v>0.0</v>
      </c>
      <c r="E564" s="32">
        <v>0.0</v>
      </c>
      <c r="F564" s="25">
        <v>0.0</v>
      </c>
      <c r="G564" s="25">
        <v>0.0</v>
      </c>
      <c r="H564" s="25" t="s">
        <v>72</v>
      </c>
      <c r="I564" s="25">
        <v>0.0</v>
      </c>
      <c r="J564" s="25">
        <v>0.0</v>
      </c>
      <c r="K564" s="25" t="s">
        <v>103</v>
      </c>
      <c r="L564" s="29" t="s">
        <v>195</v>
      </c>
    </row>
    <row r="565" ht="15.75" customHeight="1">
      <c r="A565" s="18" t="s">
        <v>1180</v>
      </c>
      <c r="B565" s="18" t="s">
        <v>232</v>
      </c>
      <c r="C565" s="11">
        <v>0.0</v>
      </c>
      <c r="D565" s="22">
        <v>0.0</v>
      </c>
      <c r="E565" s="22">
        <v>0.0</v>
      </c>
      <c r="F565" s="11">
        <v>0.0</v>
      </c>
      <c r="G565" s="11">
        <v>0.0</v>
      </c>
      <c r="H565" s="11" t="s">
        <v>72</v>
      </c>
      <c r="I565" s="11">
        <v>0.0</v>
      </c>
      <c r="J565" s="11">
        <v>0.0</v>
      </c>
      <c r="K565" s="11" t="s">
        <v>73</v>
      </c>
      <c r="L565" s="18" t="s">
        <v>71</v>
      </c>
    </row>
    <row r="566" ht="15.75" customHeight="1">
      <c r="A566" s="29" t="s">
        <v>1181</v>
      </c>
      <c r="B566" s="29" t="s">
        <v>232</v>
      </c>
      <c r="C566" s="25">
        <v>0.0</v>
      </c>
      <c r="D566" s="32">
        <v>0.0</v>
      </c>
      <c r="E566" s="32">
        <v>0.0</v>
      </c>
      <c r="F566" s="25">
        <v>0.0</v>
      </c>
      <c r="G566" s="25">
        <v>0.0</v>
      </c>
      <c r="H566" s="25" t="s">
        <v>72</v>
      </c>
      <c r="I566" s="25">
        <v>0.0</v>
      </c>
      <c r="J566" s="25">
        <v>0.0</v>
      </c>
      <c r="K566" s="25" t="s">
        <v>73</v>
      </c>
      <c r="L566" s="29" t="s">
        <v>71</v>
      </c>
    </row>
    <row r="567" ht="15.75" customHeight="1">
      <c r="A567" s="18" t="s">
        <v>447</v>
      </c>
      <c r="B567" s="18" t="s">
        <v>175</v>
      </c>
      <c r="C567" s="11">
        <v>0.0</v>
      </c>
      <c r="D567" s="22">
        <v>0.0</v>
      </c>
      <c r="E567" s="22">
        <v>0.0</v>
      </c>
      <c r="F567" s="11">
        <v>0.0</v>
      </c>
      <c r="G567" s="11">
        <v>0.0</v>
      </c>
      <c r="H567" s="11" t="s">
        <v>72</v>
      </c>
      <c r="I567" s="11">
        <v>0.0</v>
      </c>
      <c r="J567" s="11">
        <v>0.0</v>
      </c>
      <c r="K567" s="11" t="s">
        <v>103</v>
      </c>
      <c r="L567" s="18" t="s">
        <v>175</v>
      </c>
    </row>
    <row r="568" ht="15.75" customHeight="1">
      <c r="A568" s="29" t="s">
        <v>341</v>
      </c>
      <c r="B568" s="29" t="s">
        <v>191</v>
      </c>
      <c r="C568" s="25">
        <v>0.0</v>
      </c>
      <c r="D568" s="32">
        <v>0.0</v>
      </c>
      <c r="E568" s="32">
        <v>0.0</v>
      </c>
      <c r="F568" s="25">
        <v>0.0</v>
      </c>
      <c r="G568" s="25">
        <v>0.0</v>
      </c>
      <c r="H568" s="25" t="s">
        <v>72</v>
      </c>
      <c r="I568" s="25">
        <v>0.0</v>
      </c>
      <c r="J568" s="25">
        <v>0.0</v>
      </c>
      <c r="K568" s="25" t="s">
        <v>103</v>
      </c>
      <c r="L568" s="29" t="s">
        <v>191</v>
      </c>
    </row>
    <row r="569" ht="15.75" customHeight="1">
      <c r="A569" s="18" t="s">
        <v>360</v>
      </c>
      <c r="B569" s="18" t="s">
        <v>60</v>
      </c>
      <c r="C569" s="11">
        <v>0.0</v>
      </c>
      <c r="D569" s="22">
        <v>0.0</v>
      </c>
      <c r="E569" s="22">
        <v>0.0</v>
      </c>
      <c r="F569" s="11">
        <v>0.0</v>
      </c>
      <c r="G569" s="11">
        <v>0.0</v>
      </c>
      <c r="H569" s="11" t="s">
        <v>72</v>
      </c>
      <c r="I569" s="11">
        <v>0.0</v>
      </c>
      <c r="J569" s="11">
        <v>0.0</v>
      </c>
      <c r="K569" s="11" t="s">
        <v>103</v>
      </c>
      <c r="L569" s="18" t="s">
        <v>60</v>
      </c>
    </row>
    <row r="570" ht="15.75" customHeight="1">
      <c r="A570" s="29" t="s">
        <v>422</v>
      </c>
      <c r="B570" s="29" t="s">
        <v>253</v>
      </c>
      <c r="C570" s="25">
        <v>0.0</v>
      </c>
      <c r="D570" s="32">
        <v>0.0</v>
      </c>
      <c r="E570" s="32">
        <v>0.0</v>
      </c>
      <c r="F570" s="25">
        <v>0.0</v>
      </c>
      <c r="G570" s="25">
        <v>0.0</v>
      </c>
      <c r="H570" s="25" t="s">
        <v>72</v>
      </c>
      <c r="I570" s="25">
        <v>0.0</v>
      </c>
      <c r="J570" s="25">
        <v>0.0</v>
      </c>
      <c r="K570" s="25" t="s">
        <v>103</v>
      </c>
      <c r="L570" s="29" t="s">
        <v>253</v>
      </c>
    </row>
    <row r="571" ht="15.75" customHeight="1">
      <c r="A571" s="18" t="s">
        <v>426</v>
      </c>
      <c r="B571" s="18" t="s">
        <v>253</v>
      </c>
      <c r="C571" s="11">
        <v>0.0</v>
      </c>
      <c r="D571" s="22">
        <v>0.0</v>
      </c>
      <c r="E571" s="22">
        <v>0.0</v>
      </c>
      <c r="F571" s="11">
        <v>0.0</v>
      </c>
      <c r="G571" s="11">
        <v>0.0</v>
      </c>
      <c r="H571" s="11" t="s">
        <v>72</v>
      </c>
      <c r="I571" s="11">
        <v>0.0</v>
      </c>
      <c r="J571" s="11">
        <v>0.0</v>
      </c>
      <c r="K571" s="11" t="s">
        <v>103</v>
      </c>
      <c r="L571" s="18" t="s">
        <v>253</v>
      </c>
    </row>
    <row r="572" ht="15.75" customHeight="1">
      <c r="A572" s="29" t="s">
        <v>1023</v>
      </c>
      <c r="B572" s="29" t="s">
        <v>253</v>
      </c>
      <c r="C572" s="25">
        <v>0.0</v>
      </c>
      <c r="D572" s="32">
        <v>0.0</v>
      </c>
      <c r="E572" s="32">
        <v>0.0</v>
      </c>
      <c r="F572" s="25">
        <v>0.0</v>
      </c>
      <c r="G572" s="25">
        <v>0.0</v>
      </c>
      <c r="H572" s="25" t="s">
        <v>72</v>
      </c>
      <c r="I572" s="25">
        <v>0.0</v>
      </c>
      <c r="J572" s="25">
        <v>0.0</v>
      </c>
      <c r="K572" s="25" t="s">
        <v>103</v>
      </c>
      <c r="L572" s="29" t="s">
        <v>253</v>
      </c>
    </row>
    <row r="573" ht="15.75" customHeight="1">
      <c r="A573" s="18" t="s">
        <v>1183</v>
      </c>
      <c r="B573" s="18" t="s">
        <v>253</v>
      </c>
      <c r="C573" s="11">
        <v>0.0</v>
      </c>
      <c r="D573" s="22">
        <v>0.0</v>
      </c>
      <c r="E573" s="22">
        <v>0.0</v>
      </c>
      <c r="F573" s="11">
        <v>0.0</v>
      </c>
      <c r="G573" s="11">
        <v>0.0</v>
      </c>
      <c r="H573" s="11" t="s">
        <v>72</v>
      </c>
      <c r="I573" s="11">
        <v>0.0</v>
      </c>
      <c r="J573" s="11">
        <v>0.0</v>
      </c>
      <c r="K573" s="11" t="s">
        <v>73</v>
      </c>
      <c r="L573" s="18" t="s">
        <v>71</v>
      </c>
    </row>
    <row r="574" ht="15.75" customHeight="1">
      <c r="A574" s="29" t="s">
        <v>675</v>
      </c>
      <c r="B574" s="29" t="s">
        <v>253</v>
      </c>
      <c r="C574" s="25">
        <v>0.0</v>
      </c>
      <c r="D574" s="32">
        <v>0.0</v>
      </c>
      <c r="E574" s="32">
        <v>0.0</v>
      </c>
      <c r="F574" s="25">
        <v>0.0</v>
      </c>
      <c r="G574" s="25">
        <v>0.0</v>
      </c>
      <c r="H574" s="25" t="s">
        <v>72</v>
      </c>
      <c r="I574" s="25">
        <v>0.0</v>
      </c>
      <c r="J574" s="25">
        <v>0.0</v>
      </c>
      <c r="K574" s="25" t="s">
        <v>103</v>
      </c>
      <c r="L574" s="29" t="s">
        <v>253</v>
      </c>
    </row>
    <row r="575" ht="15.75" customHeight="1">
      <c r="A575" s="18" t="s">
        <v>435</v>
      </c>
      <c r="B575" s="18" t="s">
        <v>212</v>
      </c>
      <c r="C575" s="11">
        <v>0.0</v>
      </c>
      <c r="D575" s="22">
        <v>0.0</v>
      </c>
      <c r="E575" s="22">
        <v>0.0</v>
      </c>
      <c r="F575" s="11">
        <v>0.0</v>
      </c>
      <c r="G575" s="11">
        <v>0.0</v>
      </c>
      <c r="H575" s="11" t="s">
        <v>72</v>
      </c>
      <c r="I575" s="11">
        <v>0.0</v>
      </c>
      <c r="J575" s="11">
        <v>0.0</v>
      </c>
      <c r="K575" s="11" t="s">
        <v>103</v>
      </c>
      <c r="L575" s="18" t="s">
        <v>212</v>
      </c>
    </row>
    <row r="576" ht="15.75" customHeight="1">
      <c r="A576" s="29" t="s">
        <v>380</v>
      </c>
      <c r="B576" s="29" t="s">
        <v>208</v>
      </c>
      <c r="C576" s="25">
        <v>0.0</v>
      </c>
      <c r="D576" s="32">
        <v>0.0</v>
      </c>
      <c r="E576" s="32">
        <v>0.0</v>
      </c>
      <c r="F576" s="25">
        <v>0.0</v>
      </c>
      <c r="G576" s="25">
        <v>0.0</v>
      </c>
      <c r="H576" s="25" t="s">
        <v>72</v>
      </c>
      <c r="I576" s="25">
        <v>0.0</v>
      </c>
      <c r="J576" s="25">
        <v>0.0</v>
      </c>
      <c r="K576" s="25" t="s">
        <v>103</v>
      </c>
      <c r="L576" s="29" t="s">
        <v>208</v>
      </c>
    </row>
    <row r="577" ht="15.75" customHeight="1">
      <c r="A577" s="18" t="s">
        <v>726</v>
      </c>
      <c r="B577" s="18" t="s">
        <v>283</v>
      </c>
      <c r="C577" s="11">
        <v>0.0</v>
      </c>
      <c r="D577" s="22">
        <v>0.0</v>
      </c>
      <c r="E577" s="22">
        <v>0.0</v>
      </c>
      <c r="F577" s="11">
        <v>0.0</v>
      </c>
      <c r="G577" s="11">
        <v>0.0</v>
      </c>
      <c r="H577" s="11" t="s">
        <v>72</v>
      </c>
      <c r="I577" s="11">
        <v>0.0</v>
      </c>
      <c r="J577" s="11">
        <v>0.0</v>
      </c>
      <c r="K577" s="11" t="s">
        <v>103</v>
      </c>
      <c r="L577" s="18" t="s">
        <v>283</v>
      </c>
    </row>
    <row r="578" ht="15.75" customHeight="1">
      <c r="A578" s="29" t="s">
        <v>430</v>
      </c>
      <c r="B578" s="29" t="s">
        <v>239</v>
      </c>
      <c r="C578" s="25">
        <v>0.0</v>
      </c>
      <c r="D578" s="32">
        <v>0.0</v>
      </c>
      <c r="E578" s="32">
        <v>0.0</v>
      </c>
      <c r="F578" s="25">
        <v>0.0</v>
      </c>
      <c r="G578" s="25">
        <v>0.0</v>
      </c>
      <c r="H578" s="25" t="s">
        <v>72</v>
      </c>
      <c r="I578" s="25">
        <v>0.0</v>
      </c>
      <c r="J578" s="25">
        <v>0.0</v>
      </c>
      <c r="K578" s="25" t="s">
        <v>103</v>
      </c>
      <c r="L578" s="29" t="s">
        <v>239</v>
      </c>
    </row>
    <row r="579" ht="15.75" customHeight="1">
      <c r="A579" s="18" t="s">
        <v>1184</v>
      </c>
      <c r="B579" s="18" t="s">
        <v>195</v>
      </c>
      <c r="C579" s="11">
        <v>0.0</v>
      </c>
      <c r="D579" s="22">
        <v>0.0</v>
      </c>
      <c r="E579" s="22">
        <v>0.0</v>
      </c>
      <c r="F579" s="11">
        <v>0.0</v>
      </c>
      <c r="G579" s="11">
        <v>0.0</v>
      </c>
      <c r="H579" s="11" t="s">
        <v>72</v>
      </c>
      <c r="I579" s="11">
        <v>0.0</v>
      </c>
      <c r="J579" s="11">
        <v>0.0</v>
      </c>
      <c r="K579" s="11" t="s">
        <v>103</v>
      </c>
      <c r="L579" s="18" t="s">
        <v>195</v>
      </c>
    </row>
    <row r="580" ht="15.75" customHeight="1">
      <c r="A580" s="29" t="s">
        <v>1185</v>
      </c>
      <c r="B580" s="29" t="s">
        <v>239</v>
      </c>
      <c r="C580" s="25">
        <v>0.0</v>
      </c>
      <c r="D580" s="32">
        <v>0.0</v>
      </c>
      <c r="E580" s="32">
        <v>0.0</v>
      </c>
      <c r="F580" s="25">
        <v>0.0</v>
      </c>
      <c r="G580" s="25">
        <v>0.0</v>
      </c>
      <c r="H580" s="25" t="s">
        <v>72</v>
      </c>
      <c r="I580" s="25">
        <v>0.0</v>
      </c>
      <c r="J580" s="25">
        <v>0.0</v>
      </c>
      <c r="K580" s="25" t="s">
        <v>73</v>
      </c>
      <c r="L580" s="29" t="s">
        <v>71</v>
      </c>
    </row>
    <row r="581" ht="15.75" customHeight="1">
      <c r="A581" s="18" t="s">
        <v>1187</v>
      </c>
      <c r="B581" s="18" t="s">
        <v>133</v>
      </c>
      <c r="C581" s="11">
        <v>0.0</v>
      </c>
      <c r="D581" s="22">
        <v>0.0</v>
      </c>
      <c r="E581" s="22">
        <v>0.0</v>
      </c>
      <c r="F581" s="11">
        <v>0.0</v>
      </c>
      <c r="G581" s="11">
        <v>0.0</v>
      </c>
      <c r="H581" s="11" t="s">
        <v>72</v>
      </c>
      <c r="I581" s="11">
        <v>0.0</v>
      </c>
      <c r="J581" s="11">
        <v>0.0</v>
      </c>
      <c r="K581" s="11" t="s">
        <v>103</v>
      </c>
      <c r="L581" s="18" t="s">
        <v>133</v>
      </c>
    </row>
    <row r="582" ht="15.75" customHeight="1">
      <c r="A582" s="29" t="s">
        <v>1188</v>
      </c>
      <c r="B582" s="29" t="s">
        <v>175</v>
      </c>
      <c r="C582" s="25">
        <v>0.0</v>
      </c>
      <c r="D582" s="32">
        <v>0.0</v>
      </c>
      <c r="E582" s="32">
        <v>0.0</v>
      </c>
      <c r="F582" s="25">
        <v>0.0</v>
      </c>
      <c r="G582" s="25">
        <v>0.0</v>
      </c>
      <c r="H582" s="25" t="s">
        <v>72</v>
      </c>
      <c r="I582" s="25">
        <v>0.0</v>
      </c>
      <c r="J582" s="25">
        <v>0.0</v>
      </c>
      <c r="K582" s="25" t="s">
        <v>103</v>
      </c>
      <c r="L582" s="29" t="s">
        <v>133</v>
      </c>
    </row>
    <row r="583" ht="15.75" customHeight="1">
      <c r="A583" s="18" t="s">
        <v>885</v>
      </c>
      <c r="B583" s="18" t="s">
        <v>283</v>
      </c>
      <c r="C583" s="11">
        <v>0.0</v>
      </c>
      <c r="D583" s="22">
        <v>0.0</v>
      </c>
      <c r="E583" s="22">
        <v>0.0</v>
      </c>
      <c r="F583" s="11">
        <v>0.0</v>
      </c>
      <c r="G583" s="11">
        <v>0.0</v>
      </c>
      <c r="H583" s="11" t="s">
        <v>72</v>
      </c>
      <c r="I583" s="11">
        <v>0.0</v>
      </c>
      <c r="J583" s="11">
        <v>0.0</v>
      </c>
      <c r="K583" s="11" t="s">
        <v>103</v>
      </c>
      <c r="L583" s="18" t="s">
        <v>264</v>
      </c>
    </row>
    <row r="584" ht="15.75" customHeight="1">
      <c r="A584" s="29" t="s">
        <v>1194</v>
      </c>
      <c r="B584" s="29" t="s">
        <v>283</v>
      </c>
      <c r="C584" s="25">
        <v>0.0</v>
      </c>
      <c r="D584" s="32">
        <v>0.0</v>
      </c>
      <c r="E584" s="32">
        <v>0.0</v>
      </c>
      <c r="F584" s="25">
        <v>0.0</v>
      </c>
      <c r="G584" s="25">
        <v>0.0</v>
      </c>
      <c r="H584" s="25" t="s">
        <v>72</v>
      </c>
      <c r="I584" s="25">
        <v>0.0</v>
      </c>
      <c r="J584" s="25">
        <v>0.0</v>
      </c>
      <c r="K584" s="25" t="s">
        <v>73</v>
      </c>
      <c r="L584" s="29" t="s">
        <v>71</v>
      </c>
    </row>
    <row r="585" ht="15.75" customHeight="1">
      <c r="A585" s="18" t="s">
        <v>1195</v>
      </c>
      <c r="B585" s="18" t="s">
        <v>60</v>
      </c>
      <c r="C585" s="11">
        <v>0.0</v>
      </c>
      <c r="D585" s="22">
        <v>0.0</v>
      </c>
      <c r="E585" s="22">
        <v>0.0</v>
      </c>
      <c r="F585" s="11">
        <v>0.0</v>
      </c>
      <c r="G585" s="11">
        <v>0.0</v>
      </c>
      <c r="H585" s="11" t="s">
        <v>72</v>
      </c>
      <c r="I585" s="11">
        <v>0.0</v>
      </c>
      <c r="J585" s="11">
        <v>0.0</v>
      </c>
      <c r="K585" s="11" t="s">
        <v>73</v>
      </c>
      <c r="L585" s="18" t="s">
        <v>71</v>
      </c>
    </row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L$585"/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31" width="8.71"/>
  </cols>
  <sheetData>
    <row r="1">
      <c r="A1" s="6" t="s">
        <v>1189</v>
      </c>
      <c r="B1" s="6" t="s">
        <v>1190</v>
      </c>
      <c r="C1" s="6" t="s">
        <v>1191</v>
      </c>
      <c r="D1" s="6" t="s">
        <v>1192</v>
      </c>
      <c r="E1" s="6" t="s">
        <v>1193</v>
      </c>
      <c r="F1" s="6" t="s">
        <v>11</v>
      </c>
      <c r="G1" s="6" t="s">
        <v>659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44</v>
      </c>
      <c r="M1" s="6" t="s">
        <v>9</v>
      </c>
      <c r="N1" s="6" t="s">
        <v>7</v>
      </c>
      <c r="O1" s="6" t="s">
        <v>766</v>
      </c>
      <c r="P1" s="6" t="s">
        <v>1196</v>
      </c>
      <c r="Q1" s="6" t="s">
        <v>1197</v>
      </c>
      <c r="R1" s="6" t="s">
        <v>23</v>
      </c>
      <c r="S1" s="6" t="s">
        <v>1198</v>
      </c>
      <c r="T1" s="6" t="s">
        <v>19</v>
      </c>
      <c r="U1" s="6" t="s">
        <v>1199</v>
      </c>
      <c r="V1" s="6" t="s">
        <v>768</v>
      </c>
      <c r="W1" s="6" t="s">
        <v>1200</v>
      </c>
      <c r="AB1" s="70" t="s">
        <v>1201</v>
      </c>
      <c r="AC1" s="70" t="s">
        <v>1202</v>
      </c>
      <c r="AD1" s="70" t="s">
        <v>1203</v>
      </c>
      <c r="AE1" s="70" t="s">
        <v>1204</v>
      </c>
    </row>
    <row r="2">
      <c r="A2" s="71" t="s">
        <v>105</v>
      </c>
      <c r="B2" s="71" t="s">
        <v>58</v>
      </c>
      <c r="C2" s="71">
        <v>4.0</v>
      </c>
      <c r="D2" s="71" t="s">
        <v>59</v>
      </c>
      <c r="E2" s="71" t="s">
        <v>1205</v>
      </c>
      <c r="F2" s="71" t="s">
        <v>60</v>
      </c>
      <c r="G2" s="71" t="s">
        <v>61</v>
      </c>
      <c r="H2" s="71">
        <v>18.0</v>
      </c>
      <c r="I2" s="71">
        <v>19.0</v>
      </c>
      <c r="J2" s="71">
        <v>85.0</v>
      </c>
      <c r="K2" s="72">
        <f>Portieri!I4</f>
        <v>20</v>
      </c>
      <c r="L2" s="73">
        <f>Portieri!AE4</f>
        <v>5.45</v>
      </c>
      <c r="M2" s="74">
        <f>Portieri!B4</f>
        <v>60.8</v>
      </c>
      <c r="N2" s="71">
        <f>Portieri!A4</f>
        <v>1</v>
      </c>
      <c r="O2" s="71" t="s">
        <v>68</v>
      </c>
      <c r="P2" s="71">
        <v>38.0</v>
      </c>
      <c r="Q2" s="71">
        <v>5.45</v>
      </c>
      <c r="R2" s="71" t="s">
        <v>71</v>
      </c>
      <c r="S2" s="71" t="s">
        <v>75</v>
      </c>
      <c r="T2" s="71" t="str">
        <f>Portieri!K4</f>
        <v>2a fascia</v>
      </c>
      <c r="U2" s="71" t="s">
        <v>70</v>
      </c>
      <c r="V2" s="71">
        <v>2.0</v>
      </c>
      <c r="W2" s="71">
        <f t="shared" ref="W2:W536" si="1">RANK(J2,$J$2:$J$536)</f>
        <v>31</v>
      </c>
      <c r="AB2" s="71" t="s">
        <v>105</v>
      </c>
      <c r="AC2" s="71" t="s">
        <v>196</v>
      </c>
      <c r="AD2" s="71" t="s">
        <v>216</v>
      </c>
      <c r="AE2" s="71" t="s">
        <v>266</v>
      </c>
    </row>
    <row r="3">
      <c r="A3" s="71" t="s">
        <v>215</v>
      </c>
      <c r="B3" s="71" t="s">
        <v>58</v>
      </c>
      <c r="C3" s="71">
        <v>5.0</v>
      </c>
      <c r="D3" s="71" t="s">
        <v>90</v>
      </c>
      <c r="E3" s="71" t="s">
        <v>1207</v>
      </c>
      <c r="F3" s="71" t="s">
        <v>93</v>
      </c>
      <c r="G3" s="71" t="s">
        <v>61</v>
      </c>
      <c r="H3" s="71">
        <v>16.0</v>
      </c>
      <c r="I3" s="71">
        <v>17.0</v>
      </c>
      <c r="J3" s="71">
        <v>70.0</v>
      </c>
      <c r="K3" s="72">
        <f>Portieri!I5</f>
        <v>17</v>
      </c>
      <c r="L3" s="73">
        <f>Portieri!AE5</f>
        <v>5.5</v>
      </c>
      <c r="M3" s="74">
        <f>Portieri!B5</f>
        <v>51</v>
      </c>
      <c r="N3" s="71">
        <f>Portieri!A5</f>
        <v>2</v>
      </c>
      <c r="O3" s="71" t="s">
        <v>68</v>
      </c>
      <c r="P3" s="71">
        <v>0.0</v>
      </c>
      <c r="R3" s="71" t="s">
        <v>71</v>
      </c>
      <c r="S3" s="71" t="s">
        <v>105</v>
      </c>
      <c r="T3" s="71" t="str">
        <f>Portieri!K5</f>
        <v>2a fascia</v>
      </c>
      <c r="U3" s="71" t="s">
        <v>100</v>
      </c>
      <c r="V3" s="71">
        <v>2.0</v>
      </c>
      <c r="W3" s="71">
        <f t="shared" si="1"/>
        <v>41</v>
      </c>
      <c r="AB3" s="71" t="s">
        <v>215</v>
      </c>
      <c r="AC3" s="71" t="s">
        <v>223</v>
      </c>
      <c r="AD3" s="71" t="s">
        <v>303</v>
      </c>
      <c r="AE3" s="71" t="s">
        <v>291</v>
      </c>
    </row>
    <row r="4">
      <c r="A4" s="71" t="s">
        <v>178</v>
      </c>
      <c r="B4" s="71" t="s">
        <v>58</v>
      </c>
      <c r="C4" s="71">
        <v>6.0</v>
      </c>
      <c r="D4" s="71" t="s">
        <v>110</v>
      </c>
      <c r="E4" s="71" t="s">
        <v>1209</v>
      </c>
      <c r="F4" s="71" t="s">
        <v>64</v>
      </c>
      <c r="G4" s="71" t="s">
        <v>61</v>
      </c>
      <c r="H4" s="71">
        <v>17.0</v>
      </c>
      <c r="I4" s="71">
        <v>17.0</v>
      </c>
      <c r="J4" s="71">
        <v>68.0</v>
      </c>
      <c r="K4" s="72">
        <f>Portieri!I6</f>
        <v>17</v>
      </c>
      <c r="L4" s="73">
        <f>Portieri!AE6</f>
        <v>5.44</v>
      </c>
      <c r="M4" s="74">
        <f>Portieri!B6</f>
        <v>48.6</v>
      </c>
      <c r="N4" s="71">
        <f>Portieri!A6</f>
        <v>3</v>
      </c>
      <c r="O4" s="71" t="s">
        <v>68</v>
      </c>
      <c r="P4" s="71">
        <v>5.0</v>
      </c>
      <c r="Q4" s="71">
        <v>5.2</v>
      </c>
      <c r="R4" s="71" t="s">
        <v>71</v>
      </c>
      <c r="S4" s="71" t="s">
        <v>124</v>
      </c>
      <c r="T4" s="71" t="str">
        <f>Portieri!K6</f>
        <v>2a fascia</v>
      </c>
      <c r="U4" s="71" t="s">
        <v>70</v>
      </c>
      <c r="V4" s="71">
        <v>2.0</v>
      </c>
      <c r="W4" s="71">
        <f t="shared" si="1"/>
        <v>44</v>
      </c>
      <c r="AB4" s="71" t="s">
        <v>178</v>
      </c>
      <c r="AC4" s="71" t="s">
        <v>179</v>
      </c>
      <c r="AD4" s="71" t="s">
        <v>203</v>
      </c>
      <c r="AE4" s="71" t="s">
        <v>244</v>
      </c>
    </row>
    <row r="5">
      <c r="A5" s="71" t="s">
        <v>204</v>
      </c>
      <c r="B5" s="71" t="s">
        <v>58</v>
      </c>
      <c r="C5" s="71">
        <v>7.0</v>
      </c>
      <c r="D5" s="71" t="s">
        <v>142</v>
      </c>
      <c r="E5" s="71" t="s">
        <v>1210</v>
      </c>
      <c r="F5" s="71" t="s">
        <v>143</v>
      </c>
      <c r="G5" s="71" t="s">
        <v>61</v>
      </c>
      <c r="H5" s="71">
        <v>16.0</v>
      </c>
      <c r="I5" s="71">
        <v>17.0</v>
      </c>
      <c r="J5" s="71">
        <v>55.0</v>
      </c>
      <c r="K5" s="72">
        <f>Portieri!I7</f>
        <v>15</v>
      </c>
      <c r="L5" s="73">
        <f>Portieri!AE7</f>
        <v>5.58</v>
      </c>
      <c r="M5" s="74">
        <f>Portieri!B7</f>
        <v>41.6</v>
      </c>
      <c r="N5" s="71">
        <f>Portieri!A7</f>
        <v>4</v>
      </c>
      <c r="O5" s="71" t="s">
        <v>68</v>
      </c>
      <c r="P5" s="71">
        <v>37.0</v>
      </c>
      <c r="Q5" s="71">
        <v>5.58</v>
      </c>
      <c r="R5" s="71" t="s">
        <v>71</v>
      </c>
      <c r="S5" s="71" t="s">
        <v>105</v>
      </c>
      <c r="T5" s="71" t="str">
        <f>Portieri!K7</f>
        <v>2a fascia</v>
      </c>
      <c r="U5" s="71" t="s">
        <v>70</v>
      </c>
      <c r="V5" s="71">
        <v>2.0</v>
      </c>
      <c r="W5" s="71">
        <f t="shared" si="1"/>
        <v>49</v>
      </c>
      <c r="AB5" s="71" t="s">
        <v>204</v>
      </c>
      <c r="AC5" s="71" t="s">
        <v>158</v>
      </c>
      <c r="AD5" s="71" t="s">
        <v>176</v>
      </c>
      <c r="AE5" s="71" t="s">
        <v>1212</v>
      </c>
    </row>
    <row r="6">
      <c r="A6" s="71" t="s">
        <v>124</v>
      </c>
      <c r="B6" s="71" t="s">
        <v>58</v>
      </c>
      <c r="C6" s="71">
        <v>8.0</v>
      </c>
      <c r="D6" s="71" t="s">
        <v>172</v>
      </c>
      <c r="E6" s="71" t="s">
        <v>1213</v>
      </c>
      <c r="F6" s="71" t="s">
        <v>175</v>
      </c>
      <c r="G6" s="71" t="s">
        <v>61</v>
      </c>
      <c r="H6" s="71">
        <v>15.0</v>
      </c>
      <c r="I6" s="71">
        <v>15.0</v>
      </c>
      <c r="J6" s="71">
        <v>52.0</v>
      </c>
      <c r="K6" s="72">
        <f>Portieri!I8</f>
        <v>15</v>
      </c>
      <c r="L6" s="73">
        <f>Portieri!AE8</f>
        <v>5.42</v>
      </c>
      <c r="M6" s="74">
        <f>Portieri!B8</f>
        <v>37</v>
      </c>
      <c r="N6" s="71">
        <f>Portieri!A8</f>
        <v>5</v>
      </c>
      <c r="O6" s="71" t="s">
        <v>68</v>
      </c>
      <c r="P6" s="71">
        <v>37.0</v>
      </c>
      <c r="Q6" s="71">
        <v>5.42</v>
      </c>
      <c r="R6" s="71" t="s">
        <v>71</v>
      </c>
      <c r="S6" s="71" t="s">
        <v>178</v>
      </c>
      <c r="T6" s="71" t="str">
        <f>Portieri!K8</f>
        <v>2a fascia</v>
      </c>
      <c r="U6" s="71" t="s">
        <v>70</v>
      </c>
      <c r="V6" s="71">
        <v>2.0</v>
      </c>
      <c r="W6" s="71">
        <f t="shared" si="1"/>
        <v>52</v>
      </c>
      <c r="AB6" s="71" t="s">
        <v>124</v>
      </c>
      <c r="AC6" s="71" t="s">
        <v>1214</v>
      </c>
      <c r="AD6" s="71" t="s">
        <v>106</v>
      </c>
      <c r="AE6" s="71" t="s">
        <v>404</v>
      </c>
    </row>
    <row r="7">
      <c r="A7" s="71" t="s">
        <v>210</v>
      </c>
      <c r="B7" s="71" t="s">
        <v>58</v>
      </c>
      <c r="C7" s="71">
        <v>9.0</v>
      </c>
      <c r="D7" s="71" t="s">
        <v>181</v>
      </c>
      <c r="E7" s="71" t="s">
        <v>1215</v>
      </c>
      <c r="F7" s="71" t="s">
        <v>133</v>
      </c>
      <c r="G7" s="71" t="s">
        <v>61</v>
      </c>
      <c r="H7" s="71">
        <v>16.0</v>
      </c>
      <c r="I7" s="71">
        <v>15.0</v>
      </c>
      <c r="J7" s="71">
        <v>50.0</v>
      </c>
      <c r="K7" s="72">
        <f>Portieri!I9</f>
        <v>14</v>
      </c>
      <c r="L7" s="73">
        <f>Portieri!AE9</f>
        <v>5.37</v>
      </c>
      <c r="M7" s="74">
        <f>Portieri!B9</f>
        <v>35.3</v>
      </c>
      <c r="N7" s="71">
        <f>Portieri!A9</f>
        <v>6</v>
      </c>
      <c r="O7" s="71" t="s">
        <v>68</v>
      </c>
      <c r="P7" s="71">
        <v>38.0</v>
      </c>
      <c r="Q7" s="71">
        <v>5.37</v>
      </c>
      <c r="R7" s="71" t="s">
        <v>71</v>
      </c>
      <c r="S7" s="71" t="s">
        <v>186</v>
      </c>
      <c r="T7" s="71" t="str">
        <f>Portieri!K9</f>
        <v>3a fascia</v>
      </c>
      <c r="U7" s="71" t="s">
        <v>70</v>
      </c>
      <c r="V7" s="71">
        <v>2.0</v>
      </c>
      <c r="W7" s="71">
        <f t="shared" si="1"/>
        <v>56</v>
      </c>
      <c r="AB7" s="71" t="s">
        <v>210</v>
      </c>
      <c r="AC7" s="71" t="s">
        <v>85</v>
      </c>
      <c r="AD7" s="71" t="s">
        <v>1216</v>
      </c>
      <c r="AE7" s="71" t="s">
        <v>306</v>
      </c>
    </row>
    <row r="8">
      <c r="A8" s="71" t="s">
        <v>75</v>
      </c>
      <c r="B8" s="71" t="s">
        <v>58</v>
      </c>
      <c r="C8" s="71">
        <v>10.0</v>
      </c>
      <c r="D8" s="71" t="s">
        <v>189</v>
      </c>
      <c r="E8" s="71" t="s">
        <v>1217</v>
      </c>
      <c r="F8" s="71" t="s">
        <v>191</v>
      </c>
      <c r="G8" s="71" t="s">
        <v>61</v>
      </c>
      <c r="H8" s="71">
        <v>11.0</v>
      </c>
      <c r="I8" s="71">
        <v>11.0</v>
      </c>
      <c r="J8" s="71">
        <v>48.0</v>
      </c>
      <c r="K8" s="72">
        <f>Portieri!I10</f>
        <v>14</v>
      </c>
      <c r="L8" s="73">
        <f>Portieri!AE10</f>
        <v>5.36</v>
      </c>
      <c r="M8" s="74">
        <f>Portieri!B10</f>
        <v>33.9</v>
      </c>
      <c r="N8" s="71">
        <f>Portieri!A10</f>
        <v>7</v>
      </c>
      <c r="O8" s="71" t="s">
        <v>68</v>
      </c>
      <c r="P8" s="71">
        <v>11.0</v>
      </c>
      <c r="Q8" s="71">
        <v>5.18</v>
      </c>
      <c r="R8" s="71" t="s">
        <v>71</v>
      </c>
      <c r="S8" s="71" t="s">
        <v>105</v>
      </c>
      <c r="T8" s="71" t="str">
        <f>Portieri!K10</f>
        <v>3a fascia</v>
      </c>
      <c r="U8" s="71" t="s">
        <v>70</v>
      </c>
      <c r="V8" s="71">
        <v>2.0</v>
      </c>
      <c r="W8" s="71">
        <f t="shared" si="1"/>
        <v>63</v>
      </c>
      <c r="AB8" s="71" t="s">
        <v>75</v>
      </c>
      <c r="AC8" s="71" t="s">
        <v>432</v>
      </c>
      <c r="AD8" s="71" t="s">
        <v>1218</v>
      </c>
      <c r="AE8" s="71" t="s">
        <v>439</v>
      </c>
    </row>
    <row r="9">
      <c r="A9" s="71" t="s">
        <v>606</v>
      </c>
      <c r="B9" s="71" t="s">
        <v>58</v>
      </c>
      <c r="C9" s="71">
        <v>11.0</v>
      </c>
      <c r="D9" s="71" t="s">
        <v>194</v>
      </c>
      <c r="E9" s="71" t="s">
        <v>1219</v>
      </c>
      <c r="F9" s="71" t="s">
        <v>195</v>
      </c>
      <c r="G9" s="71" t="s">
        <v>61</v>
      </c>
      <c r="H9" s="71">
        <v>9.0</v>
      </c>
      <c r="I9" s="71">
        <v>10.0</v>
      </c>
      <c r="J9" s="71">
        <v>36.0</v>
      </c>
      <c r="K9" s="72">
        <f>Portieri!I11</f>
        <v>12</v>
      </c>
      <c r="L9" s="73">
        <f>Portieri!AE11</f>
        <v>5.5</v>
      </c>
      <c r="M9" s="74">
        <f>Portieri!B11</f>
        <v>27</v>
      </c>
      <c r="N9" s="71">
        <f>Portieri!A11</f>
        <v>8</v>
      </c>
      <c r="O9" s="71" t="s">
        <v>68</v>
      </c>
      <c r="P9" s="71">
        <v>0.0</v>
      </c>
      <c r="R9" s="71" t="s">
        <v>71</v>
      </c>
      <c r="S9" s="71" t="s">
        <v>105</v>
      </c>
      <c r="T9" s="71" t="str">
        <f>Portieri!K11</f>
        <v>3a fascia</v>
      </c>
      <c r="U9" s="71" t="s">
        <v>70</v>
      </c>
      <c r="V9" s="71">
        <v>2.0</v>
      </c>
      <c r="W9" s="71">
        <f t="shared" si="1"/>
        <v>94</v>
      </c>
      <c r="AB9" s="71" t="s">
        <v>606</v>
      </c>
      <c r="AC9" s="71" t="s">
        <v>438</v>
      </c>
      <c r="AD9" s="71" t="s">
        <v>1220</v>
      </c>
      <c r="AE9" s="71" t="s">
        <v>1221</v>
      </c>
    </row>
    <row r="10">
      <c r="A10" s="71" t="s">
        <v>237</v>
      </c>
      <c r="B10" s="71" t="s">
        <v>58</v>
      </c>
      <c r="C10" s="71">
        <v>12.0</v>
      </c>
      <c r="D10" s="71" t="s">
        <v>200</v>
      </c>
      <c r="E10" s="71" t="s">
        <v>1222</v>
      </c>
      <c r="F10" s="71" t="s">
        <v>182</v>
      </c>
      <c r="G10" s="71" t="s">
        <v>61</v>
      </c>
      <c r="H10" s="71">
        <v>10.0</v>
      </c>
      <c r="I10" s="71">
        <v>10.0</v>
      </c>
      <c r="J10" s="71">
        <v>32.0</v>
      </c>
      <c r="K10" s="72">
        <f>Portieri!I12</f>
        <v>11</v>
      </c>
      <c r="L10" s="73">
        <f>Portieri!AE12</f>
        <v>5.34</v>
      </c>
      <c r="M10" s="74">
        <f>Portieri!B12</f>
        <v>22.6</v>
      </c>
      <c r="N10" s="71">
        <f>Portieri!A12</f>
        <v>9</v>
      </c>
      <c r="O10" s="71" t="s">
        <v>68</v>
      </c>
      <c r="P10" s="71">
        <v>18.0</v>
      </c>
      <c r="Q10" s="71">
        <v>5.28</v>
      </c>
      <c r="R10" s="71" t="s">
        <v>71</v>
      </c>
      <c r="S10" s="71" t="s">
        <v>204</v>
      </c>
      <c r="T10" s="71" t="str">
        <f>Portieri!K12</f>
        <v>3a fascia</v>
      </c>
      <c r="U10" s="71" t="s">
        <v>70</v>
      </c>
      <c r="V10" s="71">
        <v>2.0</v>
      </c>
      <c r="W10" s="71">
        <f t="shared" si="1"/>
        <v>104</v>
      </c>
      <c r="AB10" s="71" t="s">
        <v>237</v>
      </c>
      <c r="AC10" s="71" t="s">
        <v>1223</v>
      </c>
      <c r="AD10" s="71" t="s">
        <v>1224</v>
      </c>
      <c r="AE10" s="71" t="s">
        <v>354</v>
      </c>
    </row>
    <row r="11">
      <c r="A11" s="71" t="s">
        <v>186</v>
      </c>
      <c r="B11" s="71" t="s">
        <v>58</v>
      </c>
      <c r="C11" s="71">
        <v>13.0</v>
      </c>
      <c r="D11" s="71" t="s">
        <v>207</v>
      </c>
      <c r="E11" s="71" t="s">
        <v>1225</v>
      </c>
      <c r="F11" s="71" t="s">
        <v>208</v>
      </c>
      <c r="G11" s="71" t="s">
        <v>61</v>
      </c>
      <c r="H11" s="71">
        <v>13.0</v>
      </c>
      <c r="I11" s="71">
        <v>11.0</v>
      </c>
      <c r="J11" s="71">
        <v>30.0</v>
      </c>
      <c r="K11" s="72">
        <f>Portieri!I13</f>
        <v>10</v>
      </c>
      <c r="L11" s="73">
        <f>Portieri!AE13</f>
        <v>5</v>
      </c>
      <c r="M11" s="74">
        <f>Portieri!B13</f>
        <v>21.2</v>
      </c>
      <c r="N11" s="71">
        <f>Portieri!A13</f>
        <v>10</v>
      </c>
      <c r="O11" s="71" t="s">
        <v>68</v>
      </c>
      <c r="P11" s="71">
        <v>37.0</v>
      </c>
      <c r="Q11" s="71">
        <v>5.0</v>
      </c>
      <c r="R11" s="71" t="s">
        <v>71</v>
      </c>
      <c r="S11" s="71" t="s">
        <v>210</v>
      </c>
      <c r="T11" s="71" t="str">
        <f>Portieri!K13</f>
        <v>3a fascia</v>
      </c>
      <c r="U11" s="71" t="s">
        <v>70</v>
      </c>
      <c r="V11" s="71">
        <v>2.0</v>
      </c>
      <c r="W11" s="71">
        <f t="shared" si="1"/>
        <v>111</v>
      </c>
      <c r="AB11" s="71" t="s">
        <v>186</v>
      </c>
      <c r="AC11" s="71" t="s">
        <v>113</v>
      </c>
      <c r="AD11" s="71" t="s">
        <v>363</v>
      </c>
      <c r="AE11" s="71" t="s">
        <v>1227</v>
      </c>
    </row>
    <row r="12">
      <c r="A12" s="71" t="s">
        <v>401</v>
      </c>
      <c r="B12" s="71" t="s">
        <v>58</v>
      </c>
      <c r="C12" s="71">
        <v>14.0</v>
      </c>
      <c r="D12" s="71" t="s">
        <v>211</v>
      </c>
      <c r="E12" s="71" t="s">
        <v>1228</v>
      </c>
      <c r="F12" s="71" t="s">
        <v>212</v>
      </c>
      <c r="G12" s="71" t="s">
        <v>61</v>
      </c>
      <c r="H12" s="71">
        <v>9.0</v>
      </c>
      <c r="I12" s="71">
        <v>9.0</v>
      </c>
      <c r="J12" s="71">
        <v>26.0</v>
      </c>
      <c r="K12" s="72">
        <f>Portieri!I14</f>
        <v>10</v>
      </c>
      <c r="L12" s="73">
        <f>Portieri!AE14</f>
        <v>5.5</v>
      </c>
      <c r="M12" s="74">
        <f>Portieri!B14</f>
        <v>19.9</v>
      </c>
      <c r="N12" s="71">
        <f>Portieri!A14</f>
        <v>11</v>
      </c>
      <c r="O12" s="71" t="s">
        <v>68</v>
      </c>
      <c r="P12" s="71">
        <v>0.0</v>
      </c>
      <c r="R12" s="71" t="s">
        <v>71</v>
      </c>
      <c r="S12" s="71" t="s">
        <v>215</v>
      </c>
      <c r="T12" s="71" t="str">
        <f>Portieri!K14</f>
        <v>3a fascia</v>
      </c>
      <c r="U12" s="71" t="s">
        <v>214</v>
      </c>
      <c r="V12" s="71">
        <v>0.0</v>
      </c>
      <c r="W12" s="71">
        <f t="shared" si="1"/>
        <v>129</v>
      </c>
      <c r="AB12" s="71" t="s">
        <v>401</v>
      </c>
      <c r="AC12" s="71" t="s">
        <v>1229</v>
      </c>
      <c r="AD12" s="71" t="s">
        <v>1230</v>
      </c>
      <c r="AE12" s="71" t="s">
        <v>1231</v>
      </c>
    </row>
    <row r="13">
      <c r="A13" s="71" t="s">
        <v>1232</v>
      </c>
      <c r="B13" s="71" t="s">
        <v>58</v>
      </c>
      <c r="C13" s="71">
        <v>15.0</v>
      </c>
      <c r="D13" s="71" t="s">
        <v>218</v>
      </c>
      <c r="E13" s="71" t="s">
        <v>1233</v>
      </c>
      <c r="F13" s="71" t="s">
        <v>185</v>
      </c>
      <c r="G13" s="71" t="s">
        <v>61</v>
      </c>
      <c r="H13" s="71">
        <v>9.0</v>
      </c>
      <c r="I13" s="71">
        <v>9.0</v>
      </c>
      <c r="J13" s="71">
        <v>28.0</v>
      </c>
      <c r="K13" s="72">
        <f>Portieri!I15</f>
        <v>10</v>
      </c>
      <c r="L13" s="73">
        <f>Portieri!AE15</f>
        <v>5.08</v>
      </c>
      <c r="M13" s="74">
        <f>Portieri!B15</f>
        <v>19.8</v>
      </c>
      <c r="N13" s="71">
        <f>Portieri!A15</f>
        <v>12</v>
      </c>
      <c r="O13" s="71" t="s">
        <v>68</v>
      </c>
      <c r="P13" s="71">
        <v>30.0</v>
      </c>
      <c r="Q13" s="71">
        <v>5.08</v>
      </c>
      <c r="R13" s="71" t="s">
        <v>71</v>
      </c>
      <c r="S13" s="71" t="s">
        <v>124</v>
      </c>
      <c r="T13" s="71" t="str">
        <f>Portieri!K15</f>
        <v>3a fascia</v>
      </c>
      <c r="U13" s="71" t="s">
        <v>70</v>
      </c>
      <c r="V13" s="71">
        <v>2.0</v>
      </c>
      <c r="W13" s="71">
        <f t="shared" si="1"/>
        <v>117</v>
      </c>
      <c r="AB13" s="71" t="s">
        <v>1232</v>
      </c>
      <c r="AC13" s="71" t="s">
        <v>469</v>
      </c>
      <c r="AD13" s="71" t="s">
        <v>254</v>
      </c>
      <c r="AE13" s="71" t="s">
        <v>256</v>
      </c>
    </row>
    <row r="14">
      <c r="A14" s="71" t="s">
        <v>1234</v>
      </c>
      <c r="B14" s="71" t="s">
        <v>58</v>
      </c>
      <c r="C14" s="71">
        <v>16.0</v>
      </c>
      <c r="D14" s="71" t="s">
        <v>224</v>
      </c>
      <c r="E14" s="71" t="s">
        <v>1215</v>
      </c>
      <c r="F14" s="71" t="s">
        <v>133</v>
      </c>
      <c r="G14" s="71" t="s">
        <v>61</v>
      </c>
      <c r="H14" s="71">
        <v>8.0</v>
      </c>
      <c r="I14" s="71">
        <v>8.0</v>
      </c>
      <c r="J14" s="71">
        <v>25.0</v>
      </c>
      <c r="K14" s="72">
        <f>Portieri!I16</f>
        <v>9</v>
      </c>
      <c r="L14" s="73">
        <f>Portieri!AE16</f>
        <v>5.5</v>
      </c>
      <c r="M14" s="74">
        <f>Portieri!B16</f>
        <v>19.2</v>
      </c>
      <c r="N14" s="71">
        <f>Portieri!A16</f>
        <v>13</v>
      </c>
      <c r="O14" s="71" t="s">
        <v>226</v>
      </c>
      <c r="P14" s="71">
        <v>0.0</v>
      </c>
      <c r="R14" s="71" t="s">
        <v>71</v>
      </c>
      <c r="S14" s="71" t="s">
        <v>186</v>
      </c>
      <c r="T14" s="71" t="str">
        <f>Portieri!K16</f>
        <v>3a fascia</v>
      </c>
      <c r="U14" s="71" t="s">
        <v>227</v>
      </c>
      <c r="V14" s="71">
        <v>0.0</v>
      </c>
      <c r="W14" s="71">
        <f t="shared" si="1"/>
        <v>133</v>
      </c>
      <c r="AB14" s="71" t="s">
        <v>1234</v>
      </c>
      <c r="AC14" s="71" t="s">
        <v>463</v>
      </c>
      <c r="AD14" s="71" t="s">
        <v>434</v>
      </c>
      <c r="AE14" s="71" t="s">
        <v>533</v>
      </c>
    </row>
    <row r="15">
      <c r="A15" s="71" t="s">
        <v>276</v>
      </c>
      <c r="B15" s="71" t="s">
        <v>58</v>
      </c>
      <c r="C15" s="71">
        <v>17.0</v>
      </c>
      <c r="D15" s="71" t="s">
        <v>231</v>
      </c>
      <c r="E15" s="71" t="s">
        <v>1236</v>
      </c>
      <c r="F15" s="71" t="s">
        <v>232</v>
      </c>
      <c r="G15" s="71" t="s">
        <v>61</v>
      </c>
      <c r="H15" s="71">
        <v>8.0</v>
      </c>
      <c r="I15" s="71">
        <v>8.0</v>
      </c>
      <c r="J15" s="71">
        <v>26.0</v>
      </c>
      <c r="K15" s="72">
        <f>Portieri!I17</f>
        <v>10</v>
      </c>
      <c r="L15" s="73">
        <f>Portieri!AE17</f>
        <v>5.22</v>
      </c>
      <c r="M15" s="74">
        <f>Portieri!B17</f>
        <v>18.4</v>
      </c>
      <c r="N15" s="71">
        <f>Portieri!A17</f>
        <v>14</v>
      </c>
      <c r="O15" s="71" t="s">
        <v>68</v>
      </c>
      <c r="P15" s="71">
        <v>38.0</v>
      </c>
      <c r="Q15" s="71">
        <v>5.22</v>
      </c>
      <c r="R15" s="71" t="s">
        <v>71</v>
      </c>
      <c r="S15" s="71" t="s">
        <v>237</v>
      </c>
      <c r="T15" s="71" t="str">
        <f>Portieri!K17</f>
        <v>3a fascia</v>
      </c>
      <c r="U15" s="71" t="s">
        <v>70</v>
      </c>
      <c r="V15" s="71">
        <v>2.0</v>
      </c>
      <c r="W15" s="71">
        <f t="shared" si="1"/>
        <v>129</v>
      </c>
      <c r="AB15" s="71" t="s">
        <v>276</v>
      </c>
      <c r="AC15" s="71" t="s">
        <v>481</v>
      </c>
      <c r="AD15" s="71" t="s">
        <v>623</v>
      </c>
      <c r="AE15" s="71" t="s">
        <v>516</v>
      </c>
    </row>
    <row r="16">
      <c r="A16" s="71" t="s">
        <v>268</v>
      </c>
      <c r="B16" s="71" t="s">
        <v>58</v>
      </c>
      <c r="C16" s="71">
        <v>18.0</v>
      </c>
      <c r="D16" s="71" t="s">
        <v>238</v>
      </c>
      <c r="E16" s="71" t="s">
        <v>1237</v>
      </c>
      <c r="F16" s="71" t="s">
        <v>239</v>
      </c>
      <c r="G16" s="71" t="s">
        <v>61</v>
      </c>
      <c r="H16" s="71">
        <v>9.0</v>
      </c>
      <c r="I16" s="71">
        <v>10.0</v>
      </c>
      <c r="J16" s="71">
        <v>25.0</v>
      </c>
      <c r="K16" s="72">
        <f>Portieri!I18</f>
        <v>9</v>
      </c>
      <c r="L16" s="73">
        <f>Portieri!AE18</f>
        <v>4.87</v>
      </c>
      <c r="M16" s="74">
        <f>Portieri!B18</f>
        <v>17.6</v>
      </c>
      <c r="N16" s="71">
        <f>Portieri!A18</f>
        <v>15</v>
      </c>
      <c r="O16" s="71" t="s">
        <v>68</v>
      </c>
      <c r="P16" s="71">
        <v>38.0</v>
      </c>
      <c r="Q16" s="71">
        <v>4.87</v>
      </c>
      <c r="R16" s="71" t="s">
        <v>71</v>
      </c>
      <c r="S16" s="71" t="s">
        <v>204</v>
      </c>
      <c r="T16" s="71" t="str">
        <f>Portieri!K18</f>
        <v>3a fascia</v>
      </c>
      <c r="U16" s="71" t="s">
        <v>70</v>
      </c>
      <c r="V16" s="71">
        <v>2.0</v>
      </c>
      <c r="W16" s="71">
        <f t="shared" si="1"/>
        <v>133</v>
      </c>
      <c r="AB16" s="71" t="s">
        <v>268</v>
      </c>
      <c r="AC16" s="71" t="s">
        <v>1238</v>
      </c>
      <c r="AD16" s="71" t="s">
        <v>1239</v>
      </c>
      <c r="AE16" s="71" t="s">
        <v>316</v>
      </c>
    </row>
    <row r="17">
      <c r="A17" s="71" t="s">
        <v>1240</v>
      </c>
      <c r="B17" s="71" t="s">
        <v>58</v>
      </c>
      <c r="C17" s="71">
        <v>19.0</v>
      </c>
      <c r="D17" s="71" t="s">
        <v>243</v>
      </c>
      <c r="E17" s="71" t="s">
        <v>1241</v>
      </c>
      <c r="F17" s="71" t="s">
        <v>177</v>
      </c>
      <c r="G17" s="71" t="s">
        <v>61</v>
      </c>
      <c r="H17" s="71">
        <v>8.0</v>
      </c>
      <c r="I17" s="71">
        <v>8.0</v>
      </c>
      <c r="J17" s="71">
        <v>15.0</v>
      </c>
      <c r="K17" s="72">
        <f>Portieri!I19</f>
        <v>7</v>
      </c>
      <c r="L17" s="73">
        <f>Portieri!AE19</f>
        <v>5.04</v>
      </c>
      <c r="M17" s="74">
        <f>Portieri!B19</f>
        <v>10.6</v>
      </c>
      <c r="N17" s="71">
        <f>Portieri!A19</f>
        <v>16</v>
      </c>
      <c r="O17" s="71" t="s">
        <v>68</v>
      </c>
      <c r="P17" s="71">
        <v>16.0</v>
      </c>
      <c r="Q17" s="71">
        <v>4.78</v>
      </c>
      <c r="R17" s="71" t="s">
        <v>71</v>
      </c>
      <c r="S17" s="71" t="s">
        <v>124</v>
      </c>
      <c r="T17" s="71" t="str">
        <f>Portieri!K19</f>
        <v>3a fascia</v>
      </c>
      <c r="U17" s="71" t="s">
        <v>70</v>
      </c>
      <c r="V17" s="71">
        <v>2.0</v>
      </c>
      <c r="W17" s="71">
        <f t="shared" si="1"/>
        <v>224</v>
      </c>
      <c r="AB17" s="71" t="s">
        <v>1240</v>
      </c>
      <c r="AC17" s="71" t="s">
        <v>311</v>
      </c>
      <c r="AD17" s="71" t="s">
        <v>638</v>
      </c>
      <c r="AE17" s="71" t="s">
        <v>1242</v>
      </c>
    </row>
    <row r="18">
      <c r="A18" s="71" t="s">
        <v>319</v>
      </c>
      <c r="B18" s="71" t="s">
        <v>58</v>
      </c>
      <c r="C18" s="71">
        <v>20.0</v>
      </c>
      <c r="D18" s="71" t="s">
        <v>252</v>
      </c>
      <c r="E18" s="71" t="s">
        <v>1243</v>
      </c>
      <c r="F18" s="71" t="s">
        <v>253</v>
      </c>
      <c r="G18" s="71" t="s">
        <v>61</v>
      </c>
      <c r="H18" s="71">
        <v>7.0</v>
      </c>
      <c r="I18" s="71">
        <v>7.0</v>
      </c>
      <c r="J18" s="71">
        <v>15.0</v>
      </c>
      <c r="K18" s="72">
        <f>Portieri!I20</f>
        <v>7</v>
      </c>
      <c r="L18" s="73">
        <f>Portieri!AE20</f>
        <v>4.77</v>
      </c>
      <c r="M18" s="74">
        <f>Portieri!B20</f>
        <v>10.6</v>
      </c>
      <c r="N18" s="71">
        <f>Portieri!A20</f>
        <v>16</v>
      </c>
      <c r="O18" s="71" t="s">
        <v>68</v>
      </c>
      <c r="P18" s="71">
        <v>32.0</v>
      </c>
      <c r="Q18" s="71">
        <v>4.77</v>
      </c>
      <c r="R18" s="71" t="s">
        <v>71</v>
      </c>
      <c r="S18" s="71" t="s">
        <v>255</v>
      </c>
      <c r="T18" s="71" t="str">
        <f>Portieri!K20</f>
        <v>3a fascia</v>
      </c>
      <c r="U18" s="71" t="s">
        <v>70</v>
      </c>
      <c r="V18" s="71">
        <v>2.0</v>
      </c>
      <c r="W18" s="71">
        <f t="shared" si="1"/>
        <v>224</v>
      </c>
      <c r="AB18" s="71" t="s">
        <v>319</v>
      </c>
      <c r="AC18" s="71" t="s">
        <v>491</v>
      </c>
      <c r="AD18" s="71" t="s">
        <v>275</v>
      </c>
      <c r="AE18" s="71" t="s">
        <v>553</v>
      </c>
    </row>
    <row r="19">
      <c r="A19" s="71" t="s">
        <v>468</v>
      </c>
      <c r="B19" s="71" t="s">
        <v>58</v>
      </c>
      <c r="C19" s="71">
        <v>21.0</v>
      </c>
      <c r="D19" s="71" t="s">
        <v>260</v>
      </c>
      <c r="E19" s="71" t="s">
        <v>1245</v>
      </c>
      <c r="F19" s="71" t="s">
        <v>261</v>
      </c>
      <c r="G19" s="71" t="s">
        <v>61</v>
      </c>
      <c r="H19" s="71">
        <v>4.0</v>
      </c>
      <c r="I19" s="71">
        <v>5.0</v>
      </c>
      <c r="J19" s="71">
        <v>12.0</v>
      </c>
      <c r="K19" s="72">
        <f>Portieri!I21</f>
        <v>6</v>
      </c>
      <c r="L19" s="73">
        <f>Portieri!AE21</f>
        <v>5.5</v>
      </c>
      <c r="M19" s="74">
        <f>Portieri!B21</f>
        <v>10</v>
      </c>
      <c r="N19" s="71">
        <f>Portieri!A21</f>
        <v>18</v>
      </c>
      <c r="O19" s="71" t="s">
        <v>68</v>
      </c>
      <c r="P19" s="71">
        <v>0.0</v>
      </c>
      <c r="R19" s="71" t="s">
        <v>71</v>
      </c>
      <c r="S19" s="71" t="s">
        <v>210</v>
      </c>
      <c r="T19" s="71" t="str">
        <f>Portieri!K21</f>
        <v>4a fascia</v>
      </c>
      <c r="U19" s="71" t="s">
        <v>100</v>
      </c>
      <c r="V19" s="71">
        <v>2.0</v>
      </c>
      <c r="W19" s="71">
        <f t="shared" si="1"/>
        <v>282</v>
      </c>
      <c r="AB19" s="71" t="s">
        <v>468</v>
      </c>
      <c r="AC19" s="71" t="s">
        <v>417</v>
      </c>
      <c r="AD19" s="71" t="s">
        <v>1246</v>
      </c>
      <c r="AE19" s="71" t="s">
        <v>529</v>
      </c>
    </row>
    <row r="20">
      <c r="A20" s="71" t="s">
        <v>343</v>
      </c>
      <c r="B20" s="71" t="s">
        <v>58</v>
      </c>
      <c r="C20" s="71">
        <v>22.0</v>
      </c>
      <c r="D20" s="71" t="s">
        <v>263</v>
      </c>
      <c r="E20" s="71" t="s">
        <v>1247</v>
      </c>
      <c r="F20" s="71" t="s">
        <v>264</v>
      </c>
      <c r="G20" s="71" t="s">
        <v>61</v>
      </c>
      <c r="H20" s="71">
        <v>6.0</v>
      </c>
      <c r="I20" s="71">
        <v>6.0</v>
      </c>
      <c r="J20" s="71">
        <v>11.0</v>
      </c>
      <c r="K20" s="72">
        <f>Portieri!I22</f>
        <v>6</v>
      </c>
      <c r="L20" s="73">
        <f>Portieri!AE22</f>
        <v>5.5</v>
      </c>
      <c r="M20" s="74">
        <f>Portieri!B22</f>
        <v>9.3</v>
      </c>
      <c r="N20" s="71">
        <f>Portieri!A22</f>
        <v>19</v>
      </c>
      <c r="O20" s="71" t="s">
        <v>68</v>
      </c>
      <c r="P20" s="71">
        <v>0.0</v>
      </c>
      <c r="R20" s="71" t="s">
        <v>71</v>
      </c>
      <c r="S20" s="71" t="s">
        <v>268</v>
      </c>
      <c r="T20" s="71" t="str">
        <f>Portieri!K22</f>
        <v>4a fascia</v>
      </c>
      <c r="U20" s="71" t="s">
        <v>100</v>
      </c>
      <c r="V20" s="71">
        <v>2.0</v>
      </c>
      <c r="W20" s="71">
        <f t="shared" si="1"/>
        <v>323</v>
      </c>
      <c r="AB20" s="71" t="s">
        <v>343</v>
      </c>
      <c r="AC20" s="71" t="s">
        <v>1248</v>
      </c>
      <c r="AD20" s="71" t="s">
        <v>1249</v>
      </c>
      <c r="AE20" s="71" t="s">
        <v>1250</v>
      </c>
    </row>
    <row r="21" ht="15.75" customHeight="1">
      <c r="A21" s="71" t="s">
        <v>1251</v>
      </c>
      <c r="B21" s="71" t="s">
        <v>58</v>
      </c>
      <c r="C21" s="71">
        <v>23.0</v>
      </c>
      <c r="D21" s="71" t="s">
        <v>271</v>
      </c>
      <c r="E21" s="71" t="s">
        <v>1252</v>
      </c>
      <c r="F21" s="71" t="s">
        <v>272</v>
      </c>
      <c r="G21" s="71" t="s">
        <v>61</v>
      </c>
      <c r="H21" s="71">
        <v>1.0</v>
      </c>
      <c r="I21" s="71">
        <v>1.0</v>
      </c>
      <c r="J21" s="71">
        <v>10.0</v>
      </c>
      <c r="K21" s="72">
        <f>Portieri!I23</f>
        <v>5</v>
      </c>
      <c r="L21" s="73">
        <f>Portieri!AE23</f>
        <v>5.5</v>
      </c>
      <c r="M21" s="74">
        <f>Portieri!B23</f>
        <v>8.6</v>
      </c>
      <c r="N21" s="71">
        <f>Portieri!A23</f>
        <v>20</v>
      </c>
      <c r="O21" s="71" t="s">
        <v>226</v>
      </c>
      <c r="P21" s="71">
        <v>0.0</v>
      </c>
      <c r="R21" s="71" t="s">
        <v>71</v>
      </c>
      <c r="S21" s="71" t="s">
        <v>276</v>
      </c>
      <c r="T21" s="71" t="str">
        <f>Portieri!K23</f>
        <v>4a fascia</v>
      </c>
      <c r="U21" s="71" t="s">
        <v>227</v>
      </c>
      <c r="V21" s="71">
        <v>0.0</v>
      </c>
      <c r="W21" s="71">
        <f t="shared" si="1"/>
        <v>342</v>
      </c>
      <c r="AB21" s="71" t="s">
        <v>1251</v>
      </c>
      <c r="AC21" s="71" t="s">
        <v>412</v>
      </c>
      <c r="AD21" s="71" t="s">
        <v>1253</v>
      </c>
      <c r="AE21" s="71" t="s">
        <v>1254</v>
      </c>
    </row>
    <row r="22" ht="15.75" customHeight="1">
      <c r="A22" s="71" t="s">
        <v>349</v>
      </c>
      <c r="B22" s="71" t="s">
        <v>58</v>
      </c>
      <c r="C22" s="71">
        <v>24.0</v>
      </c>
      <c r="D22" s="71" t="s">
        <v>279</v>
      </c>
      <c r="E22" s="71" t="s">
        <v>1217</v>
      </c>
      <c r="F22" s="71" t="s">
        <v>191</v>
      </c>
      <c r="G22" s="71" t="s">
        <v>61</v>
      </c>
      <c r="H22" s="71">
        <v>5.0</v>
      </c>
      <c r="I22" s="71">
        <v>5.0</v>
      </c>
      <c r="J22" s="71">
        <v>5.0</v>
      </c>
      <c r="K22" s="72">
        <f>Portieri!I24</f>
        <v>4</v>
      </c>
      <c r="L22" s="73">
        <f>Portieri!AE24</f>
        <v>5.65</v>
      </c>
      <c r="M22" s="74">
        <f>Portieri!B24</f>
        <v>7.4</v>
      </c>
      <c r="N22" s="71">
        <f>Portieri!A24</f>
        <v>21</v>
      </c>
      <c r="O22" s="71" t="s">
        <v>226</v>
      </c>
      <c r="P22" s="71">
        <v>27.0</v>
      </c>
      <c r="Q22" s="71">
        <v>5.65</v>
      </c>
      <c r="R22" s="71" t="s">
        <v>71</v>
      </c>
      <c r="S22" s="71" t="s">
        <v>237</v>
      </c>
      <c r="T22" s="71" t="str">
        <f>Portieri!K24</f>
        <v>4a fascia</v>
      </c>
      <c r="U22" s="71" t="s">
        <v>281</v>
      </c>
      <c r="V22" s="71">
        <v>0.0</v>
      </c>
      <c r="W22" s="71">
        <f t="shared" si="1"/>
        <v>427</v>
      </c>
      <c r="AB22" s="71" t="s">
        <v>349</v>
      </c>
      <c r="AC22" s="71" t="s">
        <v>270</v>
      </c>
      <c r="AD22" s="71" t="s">
        <v>609</v>
      </c>
      <c r="AE22" s="71" t="s">
        <v>1255</v>
      </c>
    </row>
    <row r="23" ht="15.75" customHeight="1">
      <c r="A23" s="71" t="s">
        <v>255</v>
      </c>
      <c r="B23" s="71" t="s">
        <v>58</v>
      </c>
      <c r="C23" s="71">
        <v>25.0</v>
      </c>
      <c r="D23" s="71" t="s">
        <v>286</v>
      </c>
      <c r="E23" s="71" t="s">
        <v>1256</v>
      </c>
      <c r="F23" s="71" t="s">
        <v>283</v>
      </c>
      <c r="G23" s="71" t="s">
        <v>61</v>
      </c>
      <c r="H23" s="71">
        <v>1.0</v>
      </c>
      <c r="I23" s="71">
        <v>2.0</v>
      </c>
      <c r="J23" s="71">
        <v>10.0</v>
      </c>
      <c r="K23" s="72">
        <f>Portieri!I25</f>
        <v>5</v>
      </c>
      <c r="L23" s="73">
        <f>Portieri!AE25</f>
        <v>5.22</v>
      </c>
      <c r="M23" s="74">
        <f>Portieri!B25</f>
        <v>7.1</v>
      </c>
      <c r="N23" s="71">
        <f>Portieri!A25</f>
        <v>22</v>
      </c>
      <c r="O23" s="71" t="s">
        <v>226</v>
      </c>
      <c r="P23" s="71">
        <v>17.0</v>
      </c>
      <c r="Q23" s="71">
        <v>5.09</v>
      </c>
      <c r="R23" s="71" t="s">
        <v>71</v>
      </c>
      <c r="S23" s="71" t="s">
        <v>276</v>
      </c>
      <c r="T23" s="71" t="str">
        <f>Portieri!K25</f>
        <v>4a fascia</v>
      </c>
      <c r="U23" s="71" t="s">
        <v>277</v>
      </c>
      <c r="V23" s="71">
        <v>2.0</v>
      </c>
      <c r="W23" s="71">
        <f t="shared" si="1"/>
        <v>342</v>
      </c>
      <c r="AB23" s="71" t="s">
        <v>255</v>
      </c>
      <c r="AC23" s="71" t="s">
        <v>1257</v>
      </c>
      <c r="AD23" s="71" t="s">
        <v>616</v>
      </c>
      <c r="AE23" s="71" t="s">
        <v>1258</v>
      </c>
    </row>
    <row r="24" ht="15.75" customHeight="1">
      <c r="A24" s="71" t="s">
        <v>364</v>
      </c>
      <c r="B24" s="71" t="s">
        <v>58</v>
      </c>
      <c r="C24" s="71">
        <v>26.0</v>
      </c>
      <c r="D24" s="71" t="s">
        <v>293</v>
      </c>
      <c r="E24" s="71" t="s">
        <v>1256</v>
      </c>
      <c r="F24" s="71" t="s">
        <v>283</v>
      </c>
      <c r="G24" s="71" t="s">
        <v>61</v>
      </c>
      <c r="H24" s="71">
        <v>7.0</v>
      </c>
      <c r="I24" s="71">
        <v>6.0</v>
      </c>
      <c r="J24" s="71">
        <v>7.0</v>
      </c>
      <c r="K24" s="72">
        <f>Portieri!I26</f>
        <v>4</v>
      </c>
      <c r="L24" s="73">
        <f>Portieri!AE26</f>
        <v>5.5</v>
      </c>
      <c r="M24" s="74">
        <f>Portieri!B26</f>
        <v>6.5</v>
      </c>
      <c r="N24" s="71">
        <f>Portieri!A26</f>
        <v>23</v>
      </c>
      <c r="O24" s="71" t="s">
        <v>68</v>
      </c>
      <c r="P24" s="71">
        <v>0.0</v>
      </c>
      <c r="R24" s="71" t="s">
        <v>71</v>
      </c>
      <c r="S24" s="71" t="s">
        <v>276</v>
      </c>
      <c r="T24" s="71" t="str">
        <f>Portieri!K26</f>
        <v>4a fascia</v>
      </c>
      <c r="U24" s="71" t="s">
        <v>214</v>
      </c>
      <c r="V24" s="71">
        <v>0.0</v>
      </c>
      <c r="W24" s="71">
        <f t="shared" si="1"/>
        <v>408</v>
      </c>
      <c r="AB24" s="71" t="s">
        <v>364</v>
      </c>
      <c r="AC24" s="71" t="s">
        <v>458</v>
      </c>
      <c r="AD24" s="71" t="s">
        <v>563</v>
      </c>
      <c r="AE24" s="71" t="s">
        <v>340</v>
      </c>
    </row>
    <row r="25" ht="15.75" customHeight="1">
      <c r="A25" s="71" t="s">
        <v>359</v>
      </c>
      <c r="B25" s="71" t="s">
        <v>58</v>
      </c>
      <c r="C25" s="71">
        <v>27.0</v>
      </c>
      <c r="D25" s="71" t="s">
        <v>299</v>
      </c>
      <c r="E25" s="71" t="s">
        <v>1228</v>
      </c>
      <c r="F25" s="71" t="s">
        <v>212</v>
      </c>
      <c r="G25" s="71" t="s">
        <v>61</v>
      </c>
      <c r="H25" s="71">
        <v>1.0</v>
      </c>
      <c r="I25" s="71">
        <v>1.0</v>
      </c>
      <c r="J25" s="71">
        <v>5.0</v>
      </c>
      <c r="K25" s="72">
        <f>Portieri!I27</f>
        <v>4</v>
      </c>
      <c r="L25" s="73">
        <f>Portieri!AE27</f>
        <v>5.5</v>
      </c>
      <c r="M25" s="74">
        <f>Portieri!B27</f>
        <v>5.1</v>
      </c>
      <c r="N25" s="71">
        <f>Portieri!A27</f>
        <v>24</v>
      </c>
      <c r="O25" s="71" t="s">
        <v>226</v>
      </c>
      <c r="P25" s="71">
        <v>0.0</v>
      </c>
      <c r="R25" s="71" t="s">
        <v>71</v>
      </c>
      <c r="S25" s="71" t="s">
        <v>276</v>
      </c>
      <c r="T25" s="71" t="str">
        <f>Portieri!K27</f>
        <v>4a fascia</v>
      </c>
      <c r="U25" s="71" t="s">
        <v>300</v>
      </c>
      <c r="V25" s="71">
        <v>2.0</v>
      </c>
      <c r="W25" s="71">
        <f t="shared" si="1"/>
        <v>427</v>
      </c>
      <c r="AB25" s="71" t="s">
        <v>359</v>
      </c>
      <c r="AC25" s="71" t="s">
        <v>1259</v>
      </c>
      <c r="AD25" s="71" t="s">
        <v>1260</v>
      </c>
      <c r="AE25" s="71" t="s">
        <v>480</v>
      </c>
    </row>
    <row r="26" ht="15.75" customHeight="1">
      <c r="A26" s="71" t="s">
        <v>1261</v>
      </c>
      <c r="B26" s="71" t="s">
        <v>58</v>
      </c>
      <c r="C26" s="71">
        <v>28.0</v>
      </c>
      <c r="D26" s="71" t="s">
        <v>305</v>
      </c>
      <c r="E26" s="71" t="s">
        <v>1252</v>
      </c>
      <c r="F26" s="71" t="s">
        <v>272</v>
      </c>
      <c r="G26" s="71" t="s">
        <v>61</v>
      </c>
      <c r="H26" s="71">
        <v>5.0</v>
      </c>
      <c r="I26" s="71">
        <v>4.0</v>
      </c>
      <c r="J26" s="71">
        <v>5.0</v>
      </c>
      <c r="K26" s="72">
        <f>Portieri!I28</f>
        <v>4</v>
      </c>
      <c r="L26" s="73">
        <f>Portieri!AE28</f>
        <v>5.5</v>
      </c>
      <c r="M26" s="74">
        <f>Portieri!B28</f>
        <v>5.1</v>
      </c>
      <c r="N26" s="71">
        <f>Portieri!A28</f>
        <v>24</v>
      </c>
      <c r="O26" s="71" t="s">
        <v>68</v>
      </c>
      <c r="P26" s="71">
        <v>0.0</v>
      </c>
      <c r="R26" s="71" t="s">
        <v>71</v>
      </c>
      <c r="S26" s="71" t="s">
        <v>276</v>
      </c>
      <c r="T26" s="71" t="str">
        <f>Portieri!K28</f>
        <v>4a fascia</v>
      </c>
      <c r="U26" s="71" t="s">
        <v>294</v>
      </c>
      <c r="V26" s="71">
        <v>1.0</v>
      </c>
      <c r="W26" s="71">
        <f t="shared" si="1"/>
        <v>427</v>
      </c>
      <c r="AB26" s="71" t="s">
        <v>1261</v>
      </c>
      <c r="AC26" s="71" t="s">
        <v>534</v>
      </c>
      <c r="AD26" s="71" t="s">
        <v>320</v>
      </c>
      <c r="AE26" s="71" t="s">
        <v>1262</v>
      </c>
    </row>
    <row r="27" ht="15.75" customHeight="1">
      <c r="A27" s="71" t="s">
        <v>1263</v>
      </c>
      <c r="B27" s="71" t="s">
        <v>58</v>
      </c>
      <c r="C27" s="71">
        <v>29.0</v>
      </c>
      <c r="D27" s="71" t="s">
        <v>313</v>
      </c>
      <c r="E27" s="71" t="s">
        <v>1209</v>
      </c>
      <c r="F27" s="71" t="s">
        <v>64</v>
      </c>
      <c r="G27" s="71" t="s">
        <v>61</v>
      </c>
      <c r="H27" s="71">
        <v>2.0</v>
      </c>
      <c r="I27" s="71">
        <v>2.0</v>
      </c>
      <c r="J27" s="71">
        <v>5.0</v>
      </c>
      <c r="K27" s="72">
        <f>Portieri!I29</f>
        <v>4</v>
      </c>
      <c r="L27" s="73">
        <f>Portieri!AE29</f>
        <v>5.35</v>
      </c>
      <c r="M27" s="74">
        <f>Portieri!B29</f>
        <v>3.5</v>
      </c>
      <c r="N27" s="71">
        <f>Portieri!A29</f>
        <v>26</v>
      </c>
      <c r="O27" s="71" t="s">
        <v>226</v>
      </c>
      <c r="P27" s="71">
        <v>27.0</v>
      </c>
      <c r="Q27" s="71">
        <v>5.35</v>
      </c>
      <c r="R27" s="71" t="s">
        <v>71</v>
      </c>
      <c r="S27" s="71" t="s">
        <v>319</v>
      </c>
      <c r="T27" s="71" t="str">
        <f>Portieri!K29</f>
        <v>4a fascia</v>
      </c>
      <c r="U27" s="71" t="s">
        <v>227</v>
      </c>
      <c r="V27" s="71">
        <v>0.0</v>
      </c>
      <c r="W27" s="71">
        <f t="shared" si="1"/>
        <v>427</v>
      </c>
      <c r="AB27" s="71" t="s">
        <v>1263</v>
      </c>
      <c r="AC27" s="71" t="s">
        <v>1264</v>
      </c>
      <c r="AD27" s="71" t="s">
        <v>1265</v>
      </c>
      <c r="AE27" s="71" t="s">
        <v>1266</v>
      </c>
    </row>
    <row r="28" ht="15.75" customHeight="1">
      <c r="A28" s="71" t="s">
        <v>1267</v>
      </c>
      <c r="B28" s="71" t="s">
        <v>58</v>
      </c>
      <c r="C28" s="71">
        <v>30.0</v>
      </c>
      <c r="D28" s="71" t="s">
        <v>322</v>
      </c>
      <c r="E28" s="71" t="s">
        <v>1225</v>
      </c>
      <c r="F28" s="71" t="s">
        <v>208</v>
      </c>
      <c r="G28" s="71" t="s">
        <v>61</v>
      </c>
      <c r="H28" s="71">
        <v>1.0</v>
      </c>
      <c r="I28" s="71">
        <v>1.0</v>
      </c>
      <c r="J28" s="71">
        <v>1.0</v>
      </c>
      <c r="K28" s="72">
        <f>Portieri!I30</f>
        <v>1</v>
      </c>
      <c r="L28" s="73">
        <f>Portieri!AE30</f>
        <v>5.54</v>
      </c>
      <c r="M28" s="74">
        <f>Portieri!B30</f>
        <v>2.9</v>
      </c>
      <c r="N28" s="71">
        <f>Portieri!A30</f>
        <v>27</v>
      </c>
      <c r="O28" s="71" t="s">
        <v>226</v>
      </c>
      <c r="P28" s="71">
        <v>1.0</v>
      </c>
      <c r="Q28" s="71">
        <v>6.5</v>
      </c>
      <c r="R28" s="71" t="s">
        <v>71</v>
      </c>
      <c r="S28" s="71" t="s">
        <v>268</v>
      </c>
      <c r="T28" s="71" t="str">
        <f>Portieri!K30</f>
        <v>Scommessa</v>
      </c>
      <c r="U28" s="71" t="s">
        <v>281</v>
      </c>
      <c r="V28" s="71">
        <v>0.0</v>
      </c>
      <c r="W28" s="71">
        <f t="shared" si="1"/>
        <v>478</v>
      </c>
      <c r="AB28" s="71" t="s">
        <v>1267</v>
      </c>
      <c r="AC28" s="71" t="s">
        <v>542</v>
      </c>
      <c r="AD28" s="71" t="s">
        <v>772</v>
      </c>
      <c r="AE28" s="71" t="s">
        <v>1269</v>
      </c>
    </row>
    <row r="29" ht="15.75" customHeight="1">
      <c r="A29" s="71" t="s">
        <v>1270</v>
      </c>
      <c r="B29" s="71" t="s">
        <v>58</v>
      </c>
      <c r="C29" s="71">
        <v>31.0</v>
      </c>
      <c r="D29" s="71" t="s">
        <v>327</v>
      </c>
      <c r="E29" s="71" t="s">
        <v>1213</v>
      </c>
      <c r="F29" s="71" t="s">
        <v>175</v>
      </c>
      <c r="G29" s="71" t="s">
        <v>61</v>
      </c>
      <c r="H29" s="71">
        <v>1.0</v>
      </c>
      <c r="I29" s="71">
        <v>1.0</v>
      </c>
      <c r="J29" s="71">
        <v>1.0</v>
      </c>
      <c r="K29" s="72">
        <f>Portieri!I31</f>
        <v>1</v>
      </c>
      <c r="L29" s="73">
        <f>Portieri!AE31</f>
        <v>5.54</v>
      </c>
      <c r="M29" s="74">
        <f>Portieri!B31</f>
        <v>2.9</v>
      </c>
      <c r="N29" s="71">
        <f>Portieri!A31</f>
        <v>27</v>
      </c>
      <c r="O29" s="71" t="s">
        <v>226</v>
      </c>
      <c r="P29" s="71">
        <v>2.0</v>
      </c>
      <c r="Q29" s="71">
        <v>6.0</v>
      </c>
      <c r="R29" s="71" t="s">
        <v>71</v>
      </c>
      <c r="S29" s="71" t="s">
        <v>255</v>
      </c>
      <c r="T29" s="71" t="str">
        <f>Portieri!K31</f>
        <v>Scommessa</v>
      </c>
      <c r="U29" s="71" t="s">
        <v>281</v>
      </c>
      <c r="V29" s="71">
        <v>0.0</v>
      </c>
      <c r="W29" s="71">
        <f t="shared" si="1"/>
        <v>478</v>
      </c>
      <c r="AB29" s="71" t="s">
        <v>1270</v>
      </c>
      <c r="AC29" s="71" t="s">
        <v>1271</v>
      </c>
      <c r="AD29" s="71" t="s">
        <v>1272</v>
      </c>
      <c r="AE29" s="71" t="s">
        <v>626</v>
      </c>
    </row>
    <row r="30" ht="15.75" customHeight="1">
      <c r="A30" s="71" t="s">
        <v>1273</v>
      </c>
      <c r="B30" s="71" t="s">
        <v>58</v>
      </c>
      <c r="C30" s="71">
        <v>32.0</v>
      </c>
      <c r="D30" s="71" t="s">
        <v>331</v>
      </c>
      <c r="E30" s="71" t="s">
        <v>1222</v>
      </c>
      <c r="F30" s="71" t="s">
        <v>182</v>
      </c>
      <c r="G30" s="71" t="s">
        <v>61</v>
      </c>
      <c r="H30" s="71">
        <v>1.0</v>
      </c>
      <c r="I30" s="71">
        <v>1.0</v>
      </c>
      <c r="J30" s="71">
        <v>1.0</v>
      </c>
      <c r="K30" s="72">
        <f>Portieri!I32</f>
        <v>1</v>
      </c>
      <c r="L30" s="73">
        <f>Portieri!AE32</f>
        <v>5.52</v>
      </c>
      <c r="M30" s="74">
        <f>Portieri!B32</f>
        <v>2.6</v>
      </c>
      <c r="N30" s="71">
        <f>Portieri!A32</f>
        <v>29</v>
      </c>
      <c r="O30" s="71" t="s">
        <v>332</v>
      </c>
      <c r="P30" s="71">
        <v>4.0</v>
      </c>
      <c r="Q30" s="71">
        <v>5.62</v>
      </c>
      <c r="R30" s="71" t="s">
        <v>71</v>
      </c>
      <c r="S30" s="71" t="s">
        <v>319</v>
      </c>
      <c r="T30" s="71" t="str">
        <f>Portieri!K32</f>
        <v>Scommessa</v>
      </c>
      <c r="U30" s="71" t="s">
        <v>333</v>
      </c>
      <c r="V30" s="71">
        <v>0.0</v>
      </c>
      <c r="W30" s="71">
        <f t="shared" si="1"/>
        <v>478</v>
      </c>
      <c r="AB30" s="71" t="s">
        <v>1273</v>
      </c>
      <c r="AC30" s="71" t="s">
        <v>230</v>
      </c>
      <c r="AD30" s="71" t="s">
        <v>776</v>
      </c>
      <c r="AE30" s="71" t="s">
        <v>585</v>
      </c>
    </row>
    <row r="31" ht="15.75" customHeight="1">
      <c r="A31" s="71" t="s">
        <v>1274</v>
      </c>
      <c r="B31" s="71" t="s">
        <v>58</v>
      </c>
      <c r="C31" s="71">
        <v>33.0</v>
      </c>
      <c r="D31" s="71" t="s">
        <v>336</v>
      </c>
      <c r="E31" s="71" t="s">
        <v>1236</v>
      </c>
      <c r="F31" s="71" t="s">
        <v>232</v>
      </c>
      <c r="G31" s="71" t="s">
        <v>61</v>
      </c>
      <c r="H31" s="71">
        <v>1.0</v>
      </c>
      <c r="I31" s="71">
        <v>1.0</v>
      </c>
      <c r="J31" s="71">
        <v>1.0</v>
      </c>
      <c r="K31" s="72">
        <f>Portieri!I33</f>
        <v>1</v>
      </c>
      <c r="L31" s="73">
        <f>Portieri!AE33</f>
        <v>5.5</v>
      </c>
      <c r="M31" s="74">
        <f>Portieri!B33</f>
        <v>2.3</v>
      </c>
      <c r="N31" s="71">
        <f>Portieri!A33</f>
        <v>30</v>
      </c>
      <c r="O31" s="71" t="s">
        <v>332</v>
      </c>
      <c r="P31" s="71">
        <v>0.0</v>
      </c>
      <c r="R31" s="71" t="s">
        <v>71</v>
      </c>
      <c r="S31" s="71" t="s">
        <v>255</v>
      </c>
      <c r="T31" s="71" t="str">
        <f>Portieri!K33</f>
        <v>Scommessa</v>
      </c>
      <c r="U31" s="71" t="s">
        <v>338</v>
      </c>
      <c r="V31" s="71">
        <v>0.0</v>
      </c>
      <c r="W31" s="71">
        <f t="shared" si="1"/>
        <v>478</v>
      </c>
      <c r="AB31" s="71" t="s">
        <v>1274</v>
      </c>
      <c r="AC31" s="71" t="s">
        <v>501</v>
      </c>
      <c r="AD31" s="71" t="s">
        <v>705</v>
      </c>
      <c r="AE31" s="71" t="s">
        <v>612</v>
      </c>
    </row>
    <row r="32" ht="15.75" customHeight="1">
      <c r="A32" s="71" t="s">
        <v>1276</v>
      </c>
      <c r="B32" s="71" t="s">
        <v>58</v>
      </c>
      <c r="C32" s="71">
        <v>34.0</v>
      </c>
      <c r="D32" s="71" t="s">
        <v>341</v>
      </c>
      <c r="E32" s="71" t="s">
        <v>1217</v>
      </c>
      <c r="F32" s="71" t="s">
        <v>191</v>
      </c>
      <c r="G32" s="71" t="s">
        <v>61</v>
      </c>
      <c r="H32" s="71">
        <v>1.0</v>
      </c>
      <c r="I32" s="71">
        <v>1.0</v>
      </c>
      <c r="J32" s="71">
        <v>1.0</v>
      </c>
      <c r="K32" s="72">
        <f>Portieri!I34</f>
        <v>1</v>
      </c>
      <c r="L32" s="73">
        <f>Portieri!AE34</f>
        <v>5.5</v>
      </c>
      <c r="M32" s="74">
        <f>Portieri!B34</f>
        <v>2.3</v>
      </c>
      <c r="N32" s="71">
        <f>Portieri!A34</f>
        <v>30</v>
      </c>
      <c r="O32" s="71" t="s">
        <v>332</v>
      </c>
      <c r="P32" s="71">
        <v>0.0</v>
      </c>
      <c r="R32" s="71" t="s">
        <v>71</v>
      </c>
      <c r="S32" s="71" t="s">
        <v>343</v>
      </c>
      <c r="T32" s="71" t="str">
        <f>Portieri!K34</f>
        <v>Scommessa</v>
      </c>
      <c r="U32" s="71" t="s">
        <v>333</v>
      </c>
      <c r="V32" s="71">
        <v>0.0</v>
      </c>
      <c r="W32" s="71">
        <f t="shared" si="1"/>
        <v>478</v>
      </c>
      <c r="AB32" s="71" t="s">
        <v>1276</v>
      </c>
      <c r="AC32" s="71" t="s">
        <v>1277</v>
      </c>
      <c r="AD32" s="71" t="s">
        <v>397</v>
      </c>
      <c r="AE32" s="71" t="s">
        <v>368</v>
      </c>
    </row>
    <row r="33" ht="15.75" customHeight="1">
      <c r="A33" s="71" t="s">
        <v>1278</v>
      </c>
      <c r="B33" s="71" t="s">
        <v>58</v>
      </c>
      <c r="C33" s="71">
        <v>35.0</v>
      </c>
      <c r="D33" s="71" t="s">
        <v>346</v>
      </c>
      <c r="E33" s="71" t="s">
        <v>1205</v>
      </c>
      <c r="F33" s="71" t="s">
        <v>60</v>
      </c>
      <c r="G33" s="71" t="s">
        <v>61</v>
      </c>
      <c r="H33" s="71">
        <v>1.0</v>
      </c>
      <c r="I33" s="71">
        <v>1.0</v>
      </c>
      <c r="J33" s="71">
        <v>1.0</v>
      </c>
      <c r="K33" s="72">
        <f>Portieri!I35</f>
        <v>1</v>
      </c>
      <c r="L33" s="73">
        <f>Portieri!AE35</f>
        <v>5.5</v>
      </c>
      <c r="M33" s="74">
        <f>Portieri!B35</f>
        <v>2.3</v>
      </c>
      <c r="N33" s="71">
        <f>Portieri!A35</f>
        <v>30</v>
      </c>
      <c r="O33" s="71" t="s">
        <v>226</v>
      </c>
      <c r="P33" s="71">
        <v>0.0</v>
      </c>
      <c r="R33" s="71" t="s">
        <v>71</v>
      </c>
      <c r="S33" s="71" t="s">
        <v>349</v>
      </c>
      <c r="T33" s="71" t="str">
        <f>Portieri!K35</f>
        <v>Scommessa</v>
      </c>
      <c r="U33" s="71" t="s">
        <v>227</v>
      </c>
      <c r="V33" s="71">
        <v>0.0</v>
      </c>
      <c r="W33" s="71">
        <f t="shared" si="1"/>
        <v>478</v>
      </c>
      <c r="AB33" s="71" t="s">
        <v>1278</v>
      </c>
      <c r="AC33" s="71" t="s">
        <v>528</v>
      </c>
      <c r="AD33" s="71" t="s">
        <v>787</v>
      </c>
      <c r="AE33" s="71" t="s">
        <v>607</v>
      </c>
    </row>
    <row r="34" ht="15.75" customHeight="1">
      <c r="A34" s="71" t="s">
        <v>1279</v>
      </c>
      <c r="B34" s="71" t="s">
        <v>58</v>
      </c>
      <c r="C34" s="71">
        <v>36.0</v>
      </c>
      <c r="D34" s="71" t="s">
        <v>352</v>
      </c>
      <c r="E34" s="71" t="s">
        <v>1245</v>
      </c>
      <c r="F34" s="71" t="s">
        <v>261</v>
      </c>
      <c r="G34" s="71" t="s">
        <v>61</v>
      </c>
      <c r="H34" s="71">
        <v>2.0</v>
      </c>
      <c r="I34" s="71">
        <v>2.0</v>
      </c>
      <c r="J34" s="71">
        <v>1.0</v>
      </c>
      <c r="K34" s="72">
        <f>Portieri!I36</f>
        <v>1</v>
      </c>
      <c r="L34" s="73">
        <f>Portieri!AE36</f>
        <v>5.5</v>
      </c>
      <c r="M34" s="74">
        <f>Portieri!B36</f>
        <v>2.3</v>
      </c>
      <c r="N34" s="71">
        <f>Portieri!A36</f>
        <v>30</v>
      </c>
      <c r="O34" s="71" t="s">
        <v>226</v>
      </c>
      <c r="P34" s="71">
        <v>0.0</v>
      </c>
      <c r="R34" s="71" t="s">
        <v>71</v>
      </c>
      <c r="S34" s="71" t="s">
        <v>349</v>
      </c>
      <c r="T34" s="71" t="str">
        <f>Portieri!K36</f>
        <v>Scommessa</v>
      </c>
      <c r="U34" s="71" t="s">
        <v>227</v>
      </c>
      <c r="V34" s="71">
        <v>0.0</v>
      </c>
      <c r="W34" s="71">
        <f t="shared" si="1"/>
        <v>478</v>
      </c>
      <c r="AB34" s="71" t="s">
        <v>1279</v>
      </c>
      <c r="AC34" s="71" t="s">
        <v>568</v>
      </c>
      <c r="AD34" s="71" t="s">
        <v>740</v>
      </c>
      <c r="AE34" s="71" t="s">
        <v>1280</v>
      </c>
    </row>
    <row r="35" ht="15.75" customHeight="1">
      <c r="A35" s="71" t="s">
        <v>1281</v>
      </c>
      <c r="B35" s="71" t="s">
        <v>58</v>
      </c>
      <c r="C35" s="71">
        <v>37.0</v>
      </c>
      <c r="D35" s="71" t="s">
        <v>356</v>
      </c>
      <c r="E35" s="71" t="s">
        <v>1256</v>
      </c>
      <c r="F35" s="71" t="s">
        <v>283</v>
      </c>
      <c r="G35" s="71" t="s">
        <v>61</v>
      </c>
      <c r="H35" s="71">
        <v>1.0</v>
      </c>
      <c r="I35" s="71">
        <v>1.0</v>
      </c>
      <c r="J35" s="71">
        <v>1.0</v>
      </c>
      <c r="K35" s="72">
        <f>Portieri!I37</f>
        <v>1</v>
      </c>
      <c r="L35" s="73">
        <f>Portieri!AE37</f>
        <v>5.5</v>
      </c>
      <c r="M35" s="74">
        <f>Portieri!B37</f>
        <v>2.3</v>
      </c>
      <c r="N35" s="71">
        <f>Portieri!A37</f>
        <v>30</v>
      </c>
      <c r="O35" s="71" t="s">
        <v>332</v>
      </c>
      <c r="P35" s="71">
        <v>0.0</v>
      </c>
      <c r="R35" s="71" t="s">
        <v>71</v>
      </c>
      <c r="S35" s="71" t="s">
        <v>359</v>
      </c>
      <c r="T35" s="71" t="str">
        <f>Portieri!K37</f>
        <v>Scommessa</v>
      </c>
      <c r="U35" s="71" t="s">
        <v>338</v>
      </c>
      <c r="V35" s="71">
        <v>0.0</v>
      </c>
      <c r="W35" s="71">
        <f t="shared" si="1"/>
        <v>478</v>
      </c>
      <c r="AB35" s="71" t="s">
        <v>1281</v>
      </c>
      <c r="AC35" s="71" t="s">
        <v>520</v>
      </c>
      <c r="AD35" s="71" t="s">
        <v>795</v>
      </c>
      <c r="AE35" s="71" t="s">
        <v>512</v>
      </c>
    </row>
    <row r="36" ht="15.75" customHeight="1">
      <c r="A36" s="71" t="s">
        <v>1283</v>
      </c>
      <c r="B36" s="71" t="s">
        <v>58</v>
      </c>
      <c r="C36" s="71">
        <v>38.0</v>
      </c>
      <c r="D36" s="71" t="s">
        <v>360</v>
      </c>
      <c r="E36" s="71" t="s">
        <v>1205</v>
      </c>
      <c r="F36" s="71" t="s">
        <v>60</v>
      </c>
      <c r="G36" s="71" t="s">
        <v>61</v>
      </c>
      <c r="H36" s="71">
        <v>1.0</v>
      </c>
      <c r="I36" s="71">
        <v>1.0</v>
      </c>
      <c r="J36" s="71">
        <v>1.0</v>
      </c>
      <c r="K36" s="72">
        <f>Portieri!I38</f>
        <v>1</v>
      </c>
      <c r="L36" s="73">
        <f>Portieri!AE38</f>
        <v>5.5</v>
      </c>
      <c r="M36" s="74">
        <f>Portieri!B38</f>
        <v>2.3</v>
      </c>
      <c r="N36" s="71">
        <f>Portieri!A38</f>
        <v>30</v>
      </c>
      <c r="O36" s="71" t="s">
        <v>332</v>
      </c>
      <c r="P36" s="71">
        <v>0.0</v>
      </c>
      <c r="R36" s="71" t="s">
        <v>71</v>
      </c>
      <c r="S36" s="71" t="s">
        <v>364</v>
      </c>
      <c r="T36" s="71" t="str">
        <f>Portieri!K38</f>
        <v>Scommessa</v>
      </c>
      <c r="U36" s="71" t="s">
        <v>333</v>
      </c>
      <c r="V36" s="71">
        <v>0.0</v>
      </c>
      <c r="W36" s="71">
        <f t="shared" si="1"/>
        <v>478</v>
      </c>
      <c r="AB36" s="71" t="s">
        <v>1283</v>
      </c>
      <c r="AC36" s="71" t="s">
        <v>1284</v>
      </c>
      <c r="AD36" s="71" t="s">
        <v>1285</v>
      </c>
      <c r="AE36" s="71" t="s">
        <v>1286</v>
      </c>
    </row>
    <row r="37" ht="15.75" customHeight="1">
      <c r="A37" s="71" t="s">
        <v>1287</v>
      </c>
      <c r="B37" s="71" t="s">
        <v>58</v>
      </c>
      <c r="C37" s="71">
        <v>39.0</v>
      </c>
      <c r="D37" s="71" t="s">
        <v>369</v>
      </c>
      <c r="E37" s="71" t="s">
        <v>1207</v>
      </c>
      <c r="F37" s="71" t="s">
        <v>93</v>
      </c>
      <c r="G37" s="71" t="s">
        <v>61</v>
      </c>
      <c r="H37" s="71">
        <v>1.0</v>
      </c>
      <c r="I37" s="71">
        <v>1.0</v>
      </c>
      <c r="J37" s="71">
        <v>1.0</v>
      </c>
      <c r="K37" s="72">
        <f>Portieri!I39</f>
        <v>1</v>
      </c>
      <c r="L37" s="73">
        <f>Portieri!AE39</f>
        <v>5.5</v>
      </c>
      <c r="M37" s="74">
        <f>Portieri!B39</f>
        <v>2.3</v>
      </c>
      <c r="N37" s="71">
        <f>Portieri!A39</f>
        <v>30</v>
      </c>
      <c r="O37" s="71" t="s">
        <v>332</v>
      </c>
      <c r="P37" s="71">
        <v>0.0</v>
      </c>
      <c r="R37" s="71" t="s">
        <v>71</v>
      </c>
      <c r="S37" s="71" t="s">
        <v>359</v>
      </c>
      <c r="T37" s="71" t="str">
        <f>Portieri!K39</f>
        <v>Scommessa</v>
      </c>
      <c r="U37" s="71" t="s">
        <v>338</v>
      </c>
      <c r="V37" s="71">
        <v>0.0</v>
      </c>
      <c r="W37" s="71">
        <f t="shared" si="1"/>
        <v>478</v>
      </c>
      <c r="AB37" s="71" t="s">
        <v>1287</v>
      </c>
      <c r="AC37" s="71" t="s">
        <v>1288</v>
      </c>
      <c r="AD37" s="71" t="s">
        <v>1289</v>
      </c>
      <c r="AE37" s="71" t="s">
        <v>1290</v>
      </c>
    </row>
    <row r="38" ht="15.75" customHeight="1">
      <c r="A38" s="71" t="s">
        <v>1291</v>
      </c>
      <c r="B38" s="71" t="s">
        <v>58</v>
      </c>
      <c r="C38" s="71">
        <v>40.0</v>
      </c>
      <c r="D38" s="71" t="s">
        <v>373</v>
      </c>
      <c r="E38" s="71" t="s">
        <v>1247</v>
      </c>
      <c r="F38" s="71" t="s">
        <v>264</v>
      </c>
      <c r="G38" s="71" t="s">
        <v>61</v>
      </c>
      <c r="H38" s="71">
        <v>1.0</v>
      </c>
      <c r="I38" s="71">
        <v>1.0</v>
      </c>
      <c r="J38" s="71">
        <v>1.0</v>
      </c>
      <c r="K38" s="72">
        <f>Portieri!I40</f>
        <v>1</v>
      </c>
      <c r="L38" s="73">
        <f>Portieri!AE40</f>
        <v>5.5</v>
      </c>
      <c r="M38" s="74">
        <f>Portieri!B40</f>
        <v>2.3</v>
      </c>
      <c r="N38" s="71">
        <f>Portieri!A40</f>
        <v>30</v>
      </c>
      <c r="O38" s="71" t="s">
        <v>226</v>
      </c>
      <c r="P38" s="71">
        <v>0.0</v>
      </c>
      <c r="R38" s="71" t="s">
        <v>71</v>
      </c>
      <c r="S38" s="71" t="s">
        <v>268</v>
      </c>
      <c r="T38" s="71" t="str">
        <f>Portieri!K40</f>
        <v>Scommessa</v>
      </c>
      <c r="U38" s="71" t="s">
        <v>227</v>
      </c>
      <c r="V38" s="71">
        <v>0.0</v>
      </c>
      <c r="W38" s="71">
        <f t="shared" si="1"/>
        <v>478</v>
      </c>
      <c r="AB38" s="71" t="s">
        <v>1291</v>
      </c>
      <c r="AC38" s="71" t="s">
        <v>557</v>
      </c>
      <c r="AD38" s="71" t="s">
        <v>1293</v>
      </c>
      <c r="AE38" s="71" t="s">
        <v>1294</v>
      </c>
    </row>
    <row r="39" ht="15.75" customHeight="1">
      <c r="A39" s="71" t="s">
        <v>1295</v>
      </c>
      <c r="B39" s="71" t="s">
        <v>58</v>
      </c>
      <c r="C39" s="71">
        <v>41.0</v>
      </c>
      <c r="D39" s="71" t="s">
        <v>375</v>
      </c>
      <c r="E39" s="71" t="s">
        <v>1222</v>
      </c>
      <c r="F39" s="71" t="s">
        <v>182</v>
      </c>
      <c r="G39" s="71" t="s">
        <v>61</v>
      </c>
      <c r="H39" s="71">
        <v>1.0</v>
      </c>
      <c r="I39" s="71">
        <v>1.0</v>
      </c>
      <c r="J39" s="71">
        <v>1.0</v>
      </c>
      <c r="K39" s="72">
        <f>Portieri!I41</f>
        <v>1</v>
      </c>
      <c r="L39" s="73">
        <f>Portieri!AE41</f>
        <v>5.5</v>
      </c>
      <c r="M39" s="74">
        <f>Portieri!B41</f>
        <v>2.3</v>
      </c>
      <c r="N39" s="71">
        <f>Portieri!A41</f>
        <v>30</v>
      </c>
      <c r="O39" s="71" t="s">
        <v>226</v>
      </c>
      <c r="P39" s="71">
        <v>0.0</v>
      </c>
      <c r="R39" s="71" t="s">
        <v>71</v>
      </c>
      <c r="S39" s="71" t="s">
        <v>204</v>
      </c>
      <c r="T39" s="71" t="str">
        <f>Portieri!K41</f>
        <v>Scommessa</v>
      </c>
      <c r="U39" s="71" t="s">
        <v>227</v>
      </c>
      <c r="V39" s="71">
        <v>0.0</v>
      </c>
      <c r="W39" s="71">
        <f t="shared" si="1"/>
        <v>478</v>
      </c>
      <c r="AB39" s="71" t="s">
        <v>1295</v>
      </c>
      <c r="AC39" s="71" t="s">
        <v>1296</v>
      </c>
      <c r="AD39" s="71" t="s">
        <v>1297</v>
      </c>
      <c r="AE39" s="71" t="s">
        <v>1298</v>
      </c>
    </row>
    <row r="40" ht="15.75" customHeight="1">
      <c r="A40" s="71" t="s">
        <v>1299</v>
      </c>
      <c r="B40" s="71" t="s">
        <v>58</v>
      </c>
      <c r="C40" s="71">
        <v>42.0</v>
      </c>
      <c r="D40" s="71" t="s">
        <v>380</v>
      </c>
      <c r="E40" s="71" t="s">
        <v>1225</v>
      </c>
      <c r="F40" s="71" t="s">
        <v>208</v>
      </c>
      <c r="G40" s="71" t="s">
        <v>61</v>
      </c>
      <c r="H40" s="71">
        <v>1.0</v>
      </c>
      <c r="I40" s="71">
        <v>1.0</v>
      </c>
      <c r="J40" s="71">
        <v>1.0</v>
      </c>
      <c r="K40" s="72">
        <f>Portieri!I42</f>
        <v>1</v>
      </c>
      <c r="L40" s="73">
        <f>Portieri!AE42</f>
        <v>5.5</v>
      </c>
      <c r="M40" s="74">
        <f>Portieri!B42</f>
        <v>2.3</v>
      </c>
      <c r="N40" s="71">
        <f>Portieri!A42</f>
        <v>30</v>
      </c>
      <c r="O40" s="71" t="s">
        <v>332</v>
      </c>
      <c r="P40" s="71">
        <v>0.0</v>
      </c>
      <c r="R40" s="71" t="s">
        <v>71</v>
      </c>
      <c r="S40" s="71" t="s">
        <v>210</v>
      </c>
      <c r="T40" s="71" t="str">
        <f>Portieri!K42</f>
        <v>Scommessa</v>
      </c>
      <c r="U40" s="71" t="s">
        <v>333</v>
      </c>
      <c r="V40" s="71">
        <v>0.0</v>
      </c>
      <c r="W40" s="71">
        <f t="shared" si="1"/>
        <v>478</v>
      </c>
      <c r="AB40" s="71" t="s">
        <v>1299</v>
      </c>
      <c r="AC40" s="71" t="s">
        <v>304</v>
      </c>
      <c r="AD40" s="71" t="s">
        <v>799</v>
      </c>
      <c r="AE40" s="71" t="s">
        <v>1300</v>
      </c>
    </row>
    <row r="41" ht="15.75" customHeight="1">
      <c r="A41" s="71" t="s">
        <v>1301</v>
      </c>
      <c r="B41" s="71" t="s">
        <v>58</v>
      </c>
      <c r="C41" s="71">
        <v>43.0</v>
      </c>
      <c r="D41" s="71" t="s">
        <v>384</v>
      </c>
      <c r="E41" s="71" t="s">
        <v>1245</v>
      </c>
      <c r="F41" s="71" t="s">
        <v>261</v>
      </c>
      <c r="G41" s="71" t="s">
        <v>61</v>
      </c>
      <c r="H41" s="71">
        <v>1.0</v>
      </c>
      <c r="I41" s="71">
        <v>1.0</v>
      </c>
      <c r="J41" s="71">
        <v>1.0</v>
      </c>
      <c r="K41" s="72">
        <f>Portieri!I43</f>
        <v>1</v>
      </c>
      <c r="L41" s="73">
        <f>Portieri!AE43</f>
        <v>5.5</v>
      </c>
      <c r="M41" s="74">
        <f>Portieri!B43</f>
        <v>2.3</v>
      </c>
      <c r="N41" s="71">
        <f>Portieri!A43</f>
        <v>30</v>
      </c>
      <c r="O41" s="71" t="s">
        <v>332</v>
      </c>
      <c r="P41" s="71">
        <v>0.0</v>
      </c>
      <c r="R41" s="71" t="s">
        <v>71</v>
      </c>
      <c r="S41" s="71" t="s">
        <v>204</v>
      </c>
      <c r="T41" s="71" t="str">
        <f>Portieri!K43</f>
        <v>Scommessa</v>
      </c>
      <c r="U41" s="71" t="s">
        <v>338</v>
      </c>
      <c r="V41" s="71">
        <v>0.0</v>
      </c>
      <c r="W41" s="71">
        <f t="shared" si="1"/>
        <v>478</v>
      </c>
      <c r="AB41" s="71" t="s">
        <v>1301</v>
      </c>
      <c r="AC41" s="71" t="s">
        <v>288</v>
      </c>
      <c r="AD41" s="71" t="s">
        <v>791</v>
      </c>
      <c r="AE41" s="71" t="s">
        <v>1302</v>
      </c>
    </row>
    <row r="42" ht="15.75" customHeight="1">
      <c r="A42" s="71" t="s">
        <v>1303</v>
      </c>
      <c r="B42" s="71" t="s">
        <v>58</v>
      </c>
      <c r="C42" s="71">
        <v>44.0</v>
      </c>
      <c r="D42" s="71" t="s">
        <v>388</v>
      </c>
      <c r="E42" s="71" t="s">
        <v>1233</v>
      </c>
      <c r="F42" s="71" t="s">
        <v>185</v>
      </c>
      <c r="G42" s="71" t="s">
        <v>61</v>
      </c>
      <c r="H42" s="71">
        <v>1.0</v>
      </c>
      <c r="I42" s="71">
        <v>1.0</v>
      </c>
      <c r="J42" s="71">
        <v>1.0</v>
      </c>
      <c r="K42" s="72">
        <f>Portieri!I44</f>
        <v>1</v>
      </c>
      <c r="L42" s="73">
        <f>Portieri!AE44</f>
        <v>5.5</v>
      </c>
      <c r="M42" s="74">
        <f>Portieri!B44</f>
        <v>2.3</v>
      </c>
      <c r="N42" s="71">
        <f>Portieri!A44</f>
        <v>30</v>
      </c>
      <c r="O42" s="71" t="s">
        <v>332</v>
      </c>
      <c r="P42" s="71">
        <v>0.0</v>
      </c>
      <c r="R42" s="71" t="s">
        <v>71</v>
      </c>
      <c r="S42" s="71" t="s">
        <v>124</v>
      </c>
      <c r="T42" s="71" t="str">
        <f>Portieri!K44</f>
        <v>Scommessa</v>
      </c>
      <c r="U42" s="71" t="s">
        <v>338</v>
      </c>
      <c r="V42" s="71">
        <v>0.0</v>
      </c>
      <c r="W42" s="71">
        <f t="shared" si="1"/>
        <v>478</v>
      </c>
      <c r="AB42" s="71" t="s">
        <v>1303</v>
      </c>
      <c r="AC42" s="71" t="s">
        <v>1304</v>
      </c>
      <c r="AD42" s="71" t="s">
        <v>1305</v>
      </c>
      <c r="AE42" s="71" t="s">
        <v>622</v>
      </c>
    </row>
    <row r="43" ht="15.75" customHeight="1">
      <c r="A43" s="71" t="s">
        <v>1306</v>
      </c>
      <c r="B43" s="71" t="s">
        <v>58</v>
      </c>
      <c r="C43" s="71">
        <v>45.0</v>
      </c>
      <c r="D43" s="71" t="s">
        <v>391</v>
      </c>
      <c r="E43" s="71" t="s">
        <v>1236</v>
      </c>
      <c r="F43" s="71" t="s">
        <v>232</v>
      </c>
      <c r="G43" s="71" t="s">
        <v>61</v>
      </c>
      <c r="H43" s="71">
        <v>1.0</v>
      </c>
      <c r="I43" s="71">
        <v>1.0</v>
      </c>
      <c r="J43" s="71">
        <v>1.0</v>
      </c>
      <c r="K43" s="72">
        <f>Portieri!I45</f>
        <v>1</v>
      </c>
      <c r="L43" s="73">
        <f>Portieri!AE45</f>
        <v>5.5</v>
      </c>
      <c r="M43" s="74">
        <f>Portieri!B45</f>
        <v>2.3</v>
      </c>
      <c r="N43" s="71">
        <f>Portieri!A45</f>
        <v>30</v>
      </c>
      <c r="O43" s="71" t="s">
        <v>226</v>
      </c>
      <c r="P43" s="71">
        <v>0.0</v>
      </c>
      <c r="R43" s="71" t="s">
        <v>71</v>
      </c>
      <c r="S43" s="71" t="s">
        <v>255</v>
      </c>
      <c r="T43" s="71" t="str">
        <f>Portieri!K45</f>
        <v>Scommessa</v>
      </c>
      <c r="U43" s="71" t="s">
        <v>227</v>
      </c>
      <c r="V43" s="71">
        <v>0.0</v>
      </c>
      <c r="W43" s="71">
        <f t="shared" si="1"/>
        <v>478</v>
      </c>
      <c r="AB43" s="71" t="s">
        <v>1306</v>
      </c>
      <c r="AC43" s="71" t="s">
        <v>549</v>
      </c>
      <c r="AD43" s="71" t="s">
        <v>784</v>
      </c>
      <c r="AE43" s="71" t="s">
        <v>703</v>
      </c>
    </row>
    <row r="44" ht="15.75" customHeight="1">
      <c r="A44" s="71" t="s">
        <v>1307</v>
      </c>
      <c r="B44" s="71" t="s">
        <v>58</v>
      </c>
      <c r="C44" s="71">
        <v>46.0</v>
      </c>
      <c r="D44" s="71" t="s">
        <v>396</v>
      </c>
      <c r="E44" s="71" t="s">
        <v>1233</v>
      </c>
      <c r="F44" s="71" t="s">
        <v>185</v>
      </c>
      <c r="G44" s="71" t="s">
        <v>61</v>
      </c>
      <c r="H44" s="71">
        <v>1.0</v>
      </c>
      <c r="I44" s="71">
        <v>1.0</v>
      </c>
      <c r="J44" s="71">
        <v>1.0</v>
      </c>
      <c r="K44" s="72">
        <f>Portieri!I46</f>
        <v>1</v>
      </c>
      <c r="L44" s="73">
        <f>Portieri!AE46</f>
        <v>5.5</v>
      </c>
      <c r="M44" s="74">
        <f>Portieri!B46</f>
        <v>2.3</v>
      </c>
      <c r="N44" s="71">
        <f>Portieri!A46</f>
        <v>30</v>
      </c>
      <c r="O44" s="71" t="s">
        <v>332</v>
      </c>
      <c r="P44" s="71">
        <v>0.0</v>
      </c>
      <c r="R44" s="71" t="s">
        <v>71</v>
      </c>
      <c r="S44" s="71" t="s">
        <v>124</v>
      </c>
      <c r="T44" s="71" t="str">
        <f>Portieri!K46</f>
        <v>Scommessa</v>
      </c>
      <c r="U44" s="71" t="s">
        <v>338</v>
      </c>
      <c r="V44" s="71">
        <v>0.0</v>
      </c>
      <c r="W44" s="71">
        <f t="shared" si="1"/>
        <v>478</v>
      </c>
      <c r="AB44" s="71" t="s">
        <v>1307</v>
      </c>
      <c r="AC44" s="71" t="s">
        <v>245</v>
      </c>
      <c r="AD44" s="71" t="s">
        <v>419</v>
      </c>
      <c r="AE44" s="71" t="s">
        <v>733</v>
      </c>
    </row>
    <row r="45" ht="15.75" customHeight="1">
      <c r="A45" s="71" t="s">
        <v>1308</v>
      </c>
      <c r="B45" s="71" t="s">
        <v>58</v>
      </c>
      <c r="C45" s="71">
        <v>47.0</v>
      </c>
      <c r="D45" s="71" t="s">
        <v>399</v>
      </c>
      <c r="E45" s="71" t="s">
        <v>1207</v>
      </c>
      <c r="F45" s="71" t="s">
        <v>93</v>
      </c>
      <c r="G45" s="71" t="s">
        <v>61</v>
      </c>
      <c r="H45" s="71">
        <v>1.0</v>
      </c>
      <c r="I45" s="71">
        <v>1.0</v>
      </c>
      <c r="J45" s="71">
        <v>1.0</v>
      </c>
      <c r="K45" s="72">
        <f>Portieri!I47</f>
        <v>1</v>
      </c>
      <c r="L45" s="73">
        <f>Portieri!AE47</f>
        <v>5.5</v>
      </c>
      <c r="M45" s="74">
        <f>Portieri!B47</f>
        <v>2.3</v>
      </c>
      <c r="N45" s="71">
        <f>Portieri!A47</f>
        <v>30</v>
      </c>
      <c r="O45" s="71" t="s">
        <v>226</v>
      </c>
      <c r="P45" s="71">
        <v>0.0</v>
      </c>
      <c r="R45" s="71" t="s">
        <v>71</v>
      </c>
      <c r="S45" s="71" t="s">
        <v>401</v>
      </c>
      <c r="T45" s="71" t="str">
        <f>Portieri!K47</f>
        <v>Scommessa</v>
      </c>
      <c r="U45" s="71" t="s">
        <v>281</v>
      </c>
      <c r="V45" s="71">
        <v>0.0</v>
      </c>
      <c r="W45" s="71">
        <f t="shared" si="1"/>
        <v>478</v>
      </c>
      <c r="AB45" s="71" t="s">
        <v>1308</v>
      </c>
      <c r="AC45" s="71" t="s">
        <v>1310</v>
      </c>
      <c r="AD45" s="71" t="s">
        <v>1311</v>
      </c>
      <c r="AE45" s="71" t="s">
        <v>1312</v>
      </c>
    </row>
    <row r="46" ht="15.75" customHeight="1">
      <c r="A46" s="71" t="s">
        <v>1313</v>
      </c>
      <c r="B46" s="71" t="s">
        <v>58</v>
      </c>
      <c r="C46" s="71">
        <v>48.0</v>
      </c>
      <c r="D46" s="71" t="s">
        <v>406</v>
      </c>
      <c r="E46" s="71" t="s">
        <v>1245</v>
      </c>
      <c r="F46" s="71" t="s">
        <v>261</v>
      </c>
      <c r="G46" s="71" t="s">
        <v>61</v>
      </c>
      <c r="H46" s="71">
        <v>1.0</v>
      </c>
      <c r="I46" s="71">
        <v>1.0</v>
      </c>
      <c r="J46" s="71">
        <v>1.0</v>
      </c>
      <c r="K46" s="72">
        <f>Portieri!I48</f>
        <v>1</v>
      </c>
      <c r="L46" s="73">
        <f>Portieri!AE48</f>
        <v>5.5</v>
      </c>
      <c r="M46" s="74">
        <f>Portieri!B48</f>
        <v>2.3</v>
      </c>
      <c r="N46" s="71">
        <f>Portieri!A48</f>
        <v>30</v>
      </c>
      <c r="O46" s="71" t="s">
        <v>332</v>
      </c>
      <c r="P46" s="71">
        <v>0.0</v>
      </c>
      <c r="R46" s="71" t="s">
        <v>71</v>
      </c>
      <c r="S46" s="71" t="s">
        <v>204</v>
      </c>
      <c r="T46" s="71" t="str">
        <f>Portieri!K48</f>
        <v>Scommessa</v>
      </c>
      <c r="U46" s="71" t="s">
        <v>338</v>
      </c>
      <c r="V46" s="71">
        <v>0.0</v>
      </c>
      <c r="W46" s="71">
        <f t="shared" si="1"/>
        <v>478</v>
      </c>
      <c r="AB46" s="71" t="s">
        <v>1313</v>
      </c>
      <c r="AC46" s="71" t="s">
        <v>621</v>
      </c>
      <c r="AD46" s="71" t="s">
        <v>860</v>
      </c>
      <c r="AE46" s="71" t="s">
        <v>658</v>
      </c>
    </row>
    <row r="47" ht="15.75" customHeight="1">
      <c r="A47" s="71" t="s">
        <v>1314</v>
      </c>
      <c r="B47" s="71" t="s">
        <v>58</v>
      </c>
      <c r="C47" s="71">
        <v>49.0</v>
      </c>
      <c r="D47" s="71" t="s">
        <v>409</v>
      </c>
      <c r="E47" s="71" t="s">
        <v>1247</v>
      </c>
      <c r="F47" s="71" t="s">
        <v>264</v>
      </c>
      <c r="G47" s="71" t="s">
        <v>61</v>
      </c>
      <c r="H47" s="71">
        <v>1.0</v>
      </c>
      <c r="I47" s="71">
        <v>1.0</v>
      </c>
      <c r="J47" s="71">
        <v>1.0</v>
      </c>
      <c r="K47" s="72">
        <f>Portieri!I49</f>
        <v>1</v>
      </c>
      <c r="L47" s="73">
        <f>Portieri!AE49</f>
        <v>5.5</v>
      </c>
      <c r="M47" s="74">
        <f>Portieri!B49</f>
        <v>2.3</v>
      </c>
      <c r="N47" s="71">
        <f>Portieri!A49</f>
        <v>30</v>
      </c>
      <c r="O47" s="71" t="s">
        <v>332</v>
      </c>
      <c r="P47" s="71">
        <v>0.0</v>
      </c>
      <c r="R47" s="71" t="s">
        <v>71</v>
      </c>
      <c r="S47" s="71" t="s">
        <v>268</v>
      </c>
      <c r="T47" s="71" t="str">
        <f>Portieri!K49</f>
        <v>Scommessa</v>
      </c>
      <c r="U47" s="71" t="s">
        <v>338</v>
      </c>
      <c r="V47" s="71">
        <v>0.0</v>
      </c>
      <c r="W47" s="71">
        <f t="shared" si="1"/>
        <v>478</v>
      </c>
      <c r="AB47" s="71" t="s">
        <v>1314</v>
      </c>
      <c r="AC47" s="71" t="s">
        <v>654</v>
      </c>
      <c r="AD47" s="71" t="s">
        <v>869</v>
      </c>
      <c r="AE47" s="71" t="s">
        <v>754</v>
      </c>
    </row>
    <row r="48" ht="15.75" customHeight="1">
      <c r="A48" s="71" t="s">
        <v>1315</v>
      </c>
      <c r="B48" s="71" t="s">
        <v>58</v>
      </c>
      <c r="C48" s="71">
        <v>50.0</v>
      </c>
      <c r="D48" s="71" t="s">
        <v>413</v>
      </c>
      <c r="E48" s="71" t="s">
        <v>1237</v>
      </c>
      <c r="F48" s="71" t="s">
        <v>239</v>
      </c>
      <c r="G48" s="71" t="s">
        <v>61</v>
      </c>
      <c r="H48" s="71">
        <v>1.0</v>
      </c>
      <c r="I48" s="71">
        <v>1.0</v>
      </c>
      <c r="J48" s="71">
        <v>1.0</v>
      </c>
      <c r="K48" s="72">
        <f>Portieri!I50</f>
        <v>1</v>
      </c>
      <c r="L48" s="73">
        <f>Portieri!AE50</f>
        <v>5.5</v>
      </c>
      <c r="M48" s="74">
        <f>Portieri!B50</f>
        <v>2.3</v>
      </c>
      <c r="N48" s="71">
        <f>Portieri!A50</f>
        <v>30</v>
      </c>
      <c r="O48" s="71" t="s">
        <v>332</v>
      </c>
      <c r="P48" s="71">
        <v>0.0</v>
      </c>
      <c r="R48" s="71" t="s">
        <v>71</v>
      </c>
      <c r="S48" s="71" t="s">
        <v>204</v>
      </c>
      <c r="T48" s="71" t="str">
        <f>Portieri!K50</f>
        <v>Scommessa</v>
      </c>
      <c r="U48" s="71" t="s">
        <v>333</v>
      </c>
      <c r="V48" s="71">
        <v>0.0</v>
      </c>
      <c r="W48" s="71">
        <f t="shared" si="1"/>
        <v>478</v>
      </c>
      <c r="AB48" s="71" t="s">
        <v>1315</v>
      </c>
      <c r="AC48" s="71" t="s">
        <v>665</v>
      </c>
      <c r="AD48" s="71" t="s">
        <v>644</v>
      </c>
      <c r="AE48" s="71" t="s">
        <v>452</v>
      </c>
    </row>
    <row r="49" ht="15.75" customHeight="1">
      <c r="A49" s="71" t="s">
        <v>1316</v>
      </c>
      <c r="B49" s="71" t="s">
        <v>58</v>
      </c>
      <c r="C49" s="71">
        <v>51.0</v>
      </c>
      <c r="D49" s="71" t="s">
        <v>418</v>
      </c>
      <c r="E49" s="71" t="s">
        <v>1219</v>
      </c>
      <c r="F49" s="71" t="s">
        <v>195</v>
      </c>
      <c r="G49" s="71" t="s">
        <v>61</v>
      </c>
      <c r="H49" s="71">
        <v>1.0</v>
      </c>
      <c r="I49" s="71">
        <v>1.0</v>
      </c>
      <c r="J49" s="71">
        <v>1.0</v>
      </c>
      <c r="K49" s="72">
        <f>Portieri!I51</f>
        <v>1</v>
      </c>
      <c r="L49" s="73">
        <f>Portieri!AE51</f>
        <v>5.5</v>
      </c>
      <c r="M49" s="74">
        <f>Portieri!B51</f>
        <v>2.3</v>
      </c>
      <c r="N49" s="71">
        <f>Portieri!A51</f>
        <v>30</v>
      </c>
      <c r="O49" s="71" t="s">
        <v>332</v>
      </c>
      <c r="P49" s="71">
        <v>0.0</v>
      </c>
      <c r="R49" s="71" t="s">
        <v>71</v>
      </c>
      <c r="S49" s="71" t="s">
        <v>105</v>
      </c>
      <c r="T49" s="71" t="str">
        <f>Portieri!K51</f>
        <v>Scommessa</v>
      </c>
      <c r="U49" s="71" t="s">
        <v>338</v>
      </c>
      <c r="V49" s="71">
        <v>0.0</v>
      </c>
      <c r="W49" s="71">
        <f t="shared" si="1"/>
        <v>478</v>
      </c>
      <c r="AB49" s="71" t="s">
        <v>1316</v>
      </c>
      <c r="AC49" s="71" t="s">
        <v>1318</v>
      </c>
      <c r="AD49" s="71" t="s">
        <v>1319</v>
      </c>
      <c r="AE49" s="71" t="s">
        <v>643</v>
      </c>
    </row>
    <row r="50" ht="15.75" customHeight="1">
      <c r="A50" s="71" t="s">
        <v>1320</v>
      </c>
      <c r="B50" s="71" t="s">
        <v>58</v>
      </c>
      <c r="C50" s="71">
        <v>52.0</v>
      </c>
      <c r="D50" s="71" t="s">
        <v>422</v>
      </c>
      <c r="E50" s="71" t="s">
        <v>1243</v>
      </c>
      <c r="F50" s="71" t="s">
        <v>253</v>
      </c>
      <c r="G50" s="71" t="s">
        <v>61</v>
      </c>
      <c r="H50" s="71">
        <v>1.0</v>
      </c>
      <c r="I50" s="71">
        <v>1.0</v>
      </c>
      <c r="J50" s="71">
        <v>1.0</v>
      </c>
      <c r="K50" s="72">
        <f>Portieri!I52</f>
        <v>1</v>
      </c>
      <c r="L50" s="73">
        <f>Portieri!AE52</f>
        <v>5.5</v>
      </c>
      <c r="M50" s="74">
        <f>Portieri!B52</f>
        <v>2.3</v>
      </c>
      <c r="N50" s="71">
        <f>Portieri!A52</f>
        <v>30</v>
      </c>
      <c r="O50" s="71" t="s">
        <v>226</v>
      </c>
      <c r="P50" s="71">
        <v>0.0</v>
      </c>
      <c r="R50" s="71" t="s">
        <v>71</v>
      </c>
      <c r="S50" s="71" t="s">
        <v>178</v>
      </c>
      <c r="T50" s="71" t="str">
        <f>Portieri!K52</f>
        <v>Scommessa</v>
      </c>
      <c r="U50" s="71" t="s">
        <v>281</v>
      </c>
      <c r="V50" s="71">
        <v>0.0</v>
      </c>
      <c r="W50" s="71">
        <f t="shared" si="1"/>
        <v>478</v>
      </c>
      <c r="AB50" s="71" t="s">
        <v>1320</v>
      </c>
      <c r="AC50" s="71" t="s">
        <v>1321</v>
      </c>
      <c r="AD50" s="71" t="s">
        <v>878</v>
      </c>
      <c r="AE50" s="71" t="s">
        <v>1322</v>
      </c>
    </row>
    <row r="51" ht="15.75" customHeight="1">
      <c r="A51" s="71" t="s">
        <v>1323</v>
      </c>
      <c r="B51" s="71" t="s">
        <v>58</v>
      </c>
      <c r="C51" s="71">
        <v>53.0</v>
      </c>
      <c r="D51" s="71" t="s">
        <v>426</v>
      </c>
      <c r="E51" s="71" t="s">
        <v>1243</v>
      </c>
      <c r="F51" s="71" t="s">
        <v>253</v>
      </c>
      <c r="G51" s="71" t="s">
        <v>61</v>
      </c>
      <c r="H51" s="71">
        <v>1.0</v>
      </c>
      <c r="I51" s="71">
        <v>1.0</v>
      </c>
      <c r="J51" s="71">
        <v>1.0</v>
      </c>
      <c r="K51" s="72">
        <f>Portieri!I53</f>
        <v>1</v>
      </c>
      <c r="L51" s="73">
        <f>Portieri!AE53</f>
        <v>5.5</v>
      </c>
      <c r="M51" s="74">
        <f>Portieri!B53</f>
        <v>2.3</v>
      </c>
      <c r="N51" s="71">
        <f>Portieri!A53</f>
        <v>30</v>
      </c>
      <c r="O51" s="71" t="s">
        <v>332</v>
      </c>
      <c r="P51" s="71">
        <v>0.0</v>
      </c>
      <c r="R51" s="71" t="s">
        <v>71</v>
      </c>
      <c r="S51" s="71" t="s">
        <v>178</v>
      </c>
      <c r="T51" s="71" t="str">
        <f>Portieri!K53</f>
        <v>Scommessa</v>
      </c>
      <c r="U51" s="71" t="s">
        <v>333</v>
      </c>
      <c r="V51" s="71">
        <v>0.0</v>
      </c>
      <c r="W51" s="71">
        <f t="shared" si="1"/>
        <v>478</v>
      </c>
      <c r="AB51" s="71" t="s">
        <v>1323</v>
      </c>
      <c r="AC51" s="71" t="s">
        <v>696</v>
      </c>
      <c r="AD51" s="71" t="s">
        <v>896</v>
      </c>
      <c r="AE51" s="71" t="s">
        <v>635</v>
      </c>
    </row>
    <row r="52" ht="15.75" customHeight="1">
      <c r="A52" s="71" t="s">
        <v>1324</v>
      </c>
      <c r="B52" s="71" t="s">
        <v>58</v>
      </c>
      <c r="C52" s="71">
        <v>54.0</v>
      </c>
      <c r="D52" s="71" t="s">
        <v>430</v>
      </c>
      <c r="E52" s="71" t="s">
        <v>1237</v>
      </c>
      <c r="F52" s="71" t="s">
        <v>239</v>
      </c>
      <c r="G52" s="71" t="s">
        <v>61</v>
      </c>
      <c r="H52" s="71">
        <v>1.0</v>
      </c>
      <c r="I52" s="71">
        <v>1.0</v>
      </c>
      <c r="J52" s="71">
        <v>1.0</v>
      </c>
      <c r="K52" s="72">
        <f>Portieri!I54</f>
        <v>1</v>
      </c>
      <c r="L52" s="73">
        <f>Portieri!AE54</f>
        <v>5.5</v>
      </c>
      <c r="M52" s="74">
        <f>Portieri!B54</f>
        <v>2.3</v>
      </c>
      <c r="N52" s="71">
        <f>Portieri!A54</f>
        <v>30</v>
      </c>
      <c r="O52" s="71" t="s">
        <v>226</v>
      </c>
      <c r="P52" s="71">
        <v>0.0</v>
      </c>
      <c r="R52" s="71" t="s">
        <v>71</v>
      </c>
      <c r="S52" s="71" t="s">
        <v>204</v>
      </c>
      <c r="T52" s="71" t="str">
        <f>Portieri!K54</f>
        <v>Scommessa</v>
      </c>
      <c r="U52" s="71" t="s">
        <v>281</v>
      </c>
      <c r="V52" s="71">
        <v>0.0</v>
      </c>
      <c r="W52" s="71">
        <f t="shared" si="1"/>
        <v>478</v>
      </c>
      <c r="AB52" s="71" t="s">
        <v>1324</v>
      </c>
      <c r="AC52" s="71" t="s">
        <v>723</v>
      </c>
      <c r="AD52" s="71" t="s">
        <v>735</v>
      </c>
      <c r="AE52" s="71" t="s">
        <v>1325</v>
      </c>
    </row>
    <row r="53" ht="15.75" customHeight="1">
      <c r="A53" s="71" t="s">
        <v>1326</v>
      </c>
      <c r="B53" s="71" t="s">
        <v>58</v>
      </c>
      <c r="C53" s="71">
        <v>55.0</v>
      </c>
      <c r="D53" s="71" t="s">
        <v>435</v>
      </c>
      <c r="E53" s="71" t="s">
        <v>1228</v>
      </c>
      <c r="F53" s="71" t="s">
        <v>212</v>
      </c>
      <c r="G53" s="71" t="s">
        <v>61</v>
      </c>
      <c r="H53" s="71">
        <v>1.0</v>
      </c>
      <c r="I53" s="71">
        <v>1.0</v>
      </c>
      <c r="J53" s="71">
        <v>1.0</v>
      </c>
      <c r="K53" s="72">
        <f>Portieri!I55</f>
        <v>1</v>
      </c>
      <c r="L53" s="73">
        <f>Portieri!AE55</f>
        <v>5.5</v>
      </c>
      <c r="M53" s="74">
        <f>Portieri!B55</f>
        <v>2.3</v>
      </c>
      <c r="N53" s="71">
        <f>Portieri!A55</f>
        <v>30</v>
      </c>
      <c r="O53" s="71" t="s">
        <v>332</v>
      </c>
      <c r="P53" s="71">
        <v>0.0</v>
      </c>
      <c r="R53" s="71" t="s">
        <v>71</v>
      </c>
      <c r="S53" s="71" t="s">
        <v>215</v>
      </c>
      <c r="T53" s="71" t="str">
        <f>Portieri!K55</f>
        <v>Scommessa</v>
      </c>
      <c r="U53" s="71" t="s">
        <v>333</v>
      </c>
      <c r="V53" s="71">
        <v>0.0</v>
      </c>
      <c r="W53" s="71">
        <f t="shared" si="1"/>
        <v>478</v>
      </c>
      <c r="AB53" s="71" t="s">
        <v>1326</v>
      </c>
      <c r="AC53" s="71" t="s">
        <v>646</v>
      </c>
      <c r="AD53" s="71" t="s">
        <v>678</v>
      </c>
      <c r="AE53" s="71" t="s">
        <v>771</v>
      </c>
    </row>
    <row r="54" ht="15.75" customHeight="1">
      <c r="A54" s="71" t="s">
        <v>1327</v>
      </c>
      <c r="B54" s="71" t="s">
        <v>58</v>
      </c>
      <c r="C54" s="71">
        <v>56.0</v>
      </c>
      <c r="D54" s="71" t="s">
        <v>440</v>
      </c>
      <c r="E54" s="71" t="s">
        <v>1241</v>
      </c>
      <c r="F54" s="71" t="s">
        <v>177</v>
      </c>
      <c r="G54" s="71" t="s">
        <v>61</v>
      </c>
      <c r="H54" s="71">
        <v>1.0</v>
      </c>
      <c r="I54" s="71">
        <v>1.0</v>
      </c>
      <c r="J54" s="71">
        <v>1.0</v>
      </c>
      <c r="K54" s="72">
        <f>Portieri!I56</f>
        <v>1</v>
      </c>
      <c r="L54" s="73">
        <f>Portieri!AE56</f>
        <v>5.5</v>
      </c>
      <c r="M54" s="74">
        <f>Portieri!B56</f>
        <v>2.3</v>
      </c>
      <c r="N54" s="71">
        <f>Portieri!A56</f>
        <v>30</v>
      </c>
      <c r="O54" s="71" t="s">
        <v>332</v>
      </c>
      <c r="P54" s="71">
        <v>0.0</v>
      </c>
      <c r="R54" s="71" t="s">
        <v>71</v>
      </c>
      <c r="S54" s="71" t="s">
        <v>215</v>
      </c>
      <c r="T54" s="71" t="str">
        <f>Portieri!K56</f>
        <v>Scommessa</v>
      </c>
      <c r="U54" s="71" t="s">
        <v>338</v>
      </c>
      <c r="V54" s="71">
        <v>0.0</v>
      </c>
      <c r="W54" s="71">
        <f t="shared" si="1"/>
        <v>478</v>
      </c>
      <c r="AB54" s="71" t="s">
        <v>1327</v>
      </c>
      <c r="AC54" s="71" t="s">
        <v>1328</v>
      </c>
      <c r="AD54" s="71" t="s">
        <v>925</v>
      </c>
      <c r="AE54" s="71" t="s">
        <v>1329</v>
      </c>
    </row>
    <row r="55" ht="15.75" customHeight="1">
      <c r="A55" s="71" t="s">
        <v>1330</v>
      </c>
      <c r="B55" s="71" t="s">
        <v>58</v>
      </c>
      <c r="C55" s="71">
        <v>57.0</v>
      </c>
      <c r="D55" s="71" t="s">
        <v>444</v>
      </c>
      <c r="E55" s="71" t="s">
        <v>1252</v>
      </c>
      <c r="F55" s="71" t="s">
        <v>272</v>
      </c>
      <c r="G55" s="71" t="s">
        <v>61</v>
      </c>
      <c r="H55" s="71">
        <v>1.0</v>
      </c>
      <c r="I55" s="71">
        <v>1.0</v>
      </c>
      <c r="J55" s="71">
        <v>1.0</v>
      </c>
      <c r="K55" s="72">
        <f>Portieri!I57</f>
        <v>1</v>
      </c>
      <c r="L55" s="73">
        <f>Portieri!AE57</f>
        <v>5.5</v>
      </c>
      <c r="M55" s="74">
        <f>Portieri!B57</f>
        <v>2.3</v>
      </c>
      <c r="N55" s="71">
        <f>Portieri!A57</f>
        <v>30</v>
      </c>
      <c r="O55" s="71" t="s">
        <v>332</v>
      </c>
      <c r="P55" s="71">
        <v>0.0</v>
      </c>
      <c r="R55" s="71" t="s">
        <v>71</v>
      </c>
      <c r="S55" s="71" t="s">
        <v>276</v>
      </c>
      <c r="T55" s="71" t="str">
        <f>Portieri!K57</f>
        <v>Scommessa</v>
      </c>
      <c r="U55" s="71" t="s">
        <v>338</v>
      </c>
      <c r="V55" s="71">
        <v>0.0</v>
      </c>
      <c r="W55" s="71">
        <f t="shared" si="1"/>
        <v>478</v>
      </c>
      <c r="AB55" s="71" t="s">
        <v>1330</v>
      </c>
      <c r="AC55" s="71" t="s">
        <v>1331</v>
      </c>
      <c r="AD55" s="71" t="s">
        <v>1332</v>
      </c>
      <c r="AE55" s="71" t="s">
        <v>1333</v>
      </c>
    </row>
    <row r="56" ht="15.75" customHeight="1">
      <c r="A56" s="71" t="s">
        <v>1334</v>
      </c>
      <c r="B56" s="71" t="s">
        <v>58</v>
      </c>
      <c r="C56" s="71">
        <v>58.0</v>
      </c>
      <c r="D56" s="71" t="s">
        <v>447</v>
      </c>
      <c r="E56" s="71" t="s">
        <v>1213</v>
      </c>
      <c r="F56" s="71" t="s">
        <v>175</v>
      </c>
      <c r="G56" s="71" t="s">
        <v>61</v>
      </c>
      <c r="H56" s="71">
        <v>1.0</v>
      </c>
      <c r="I56" s="71">
        <v>1.0</v>
      </c>
      <c r="J56" s="71">
        <v>1.0</v>
      </c>
      <c r="K56" s="72">
        <f>Portieri!I58</f>
        <v>1</v>
      </c>
      <c r="L56" s="73">
        <f>Portieri!AE58</f>
        <v>5.5</v>
      </c>
      <c r="M56" s="74">
        <f>Portieri!B58</f>
        <v>2.3</v>
      </c>
      <c r="N56" s="71">
        <f>Portieri!A58</f>
        <v>30</v>
      </c>
      <c r="O56" s="71" t="s">
        <v>332</v>
      </c>
      <c r="P56" s="71">
        <v>0.0</v>
      </c>
      <c r="R56" s="71" t="s">
        <v>71</v>
      </c>
      <c r="S56" s="71" t="s">
        <v>178</v>
      </c>
      <c r="T56" s="71" t="str">
        <f>Portieri!K58</f>
        <v>Scommessa</v>
      </c>
      <c r="U56" s="71" t="s">
        <v>333</v>
      </c>
      <c r="V56" s="71">
        <v>0.0</v>
      </c>
      <c r="W56" s="71">
        <f t="shared" si="1"/>
        <v>478</v>
      </c>
      <c r="AB56" s="71" t="s">
        <v>1334</v>
      </c>
      <c r="AC56" s="71" t="s">
        <v>1335</v>
      </c>
      <c r="AD56" s="71" t="s">
        <v>941</v>
      </c>
      <c r="AE56" s="71" t="s">
        <v>761</v>
      </c>
    </row>
    <row r="57" ht="15.75" customHeight="1">
      <c r="A57" s="71" t="s">
        <v>1336</v>
      </c>
      <c r="B57" s="71" t="s">
        <v>58</v>
      </c>
      <c r="C57" s="71">
        <v>59.0</v>
      </c>
      <c r="D57" s="71" t="s">
        <v>451</v>
      </c>
      <c r="E57" s="71" t="s">
        <v>1215</v>
      </c>
      <c r="F57" s="71" t="s">
        <v>133</v>
      </c>
      <c r="G57" s="71" t="s">
        <v>61</v>
      </c>
      <c r="H57" s="71">
        <v>1.0</v>
      </c>
      <c r="I57" s="71">
        <v>1.0</v>
      </c>
      <c r="J57" s="71">
        <v>1.0</v>
      </c>
      <c r="K57" s="72">
        <f>Portieri!I59</f>
        <v>1</v>
      </c>
      <c r="L57" s="73">
        <f>Portieri!AE59</f>
        <v>5.5</v>
      </c>
      <c r="M57" s="74">
        <f>Portieri!B59</f>
        <v>2.3</v>
      </c>
      <c r="N57" s="71">
        <f>Portieri!A59</f>
        <v>30</v>
      </c>
      <c r="O57" s="71" t="s">
        <v>332</v>
      </c>
      <c r="P57" s="71">
        <v>0.0</v>
      </c>
      <c r="R57" s="71" t="s">
        <v>71</v>
      </c>
      <c r="S57" s="71" t="s">
        <v>186</v>
      </c>
      <c r="T57" s="71" t="str">
        <f>Portieri!K59</f>
        <v>Scommessa</v>
      </c>
      <c r="U57" s="71" t="s">
        <v>333</v>
      </c>
      <c r="V57" s="71">
        <v>0.0</v>
      </c>
      <c r="W57" s="71">
        <f t="shared" si="1"/>
        <v>478</v>
      </c>
      <c r="AB57" s="71" t="s">
        <v>1336</v>
      </c>
      <c r="AC57" s="71" t="s">
        <v>636</v>
      </c>
      <c r="AD57" s="71" t="s">
        <v>913</v>
      </c>
      <c r="AE57" s="71" t="s">
        <v>521</v>
      </c>
    </row>
    <row r="58" ht="15.75" customHeight="1">
      <c r="A58" s="71" t="s">
        <v>1337</v>
      </c>
      <c r="B58" s="71" t="s">
        <v>58</v>
      </c>
      <c r="C58" s="71">
        <v>60.0</v>
      </c>
      <c r="D58" s="71" t="s">
        <v>456</v>
      </c>
      <c r="E58" s="71" t="s">
        <v>1209</v>
      </c>
      <c r="F58" s="71" t="s">
        <v>64</v>
      </c>
      <c r="G58" s="71" t="s">
        <v>61</v>
      </c>
      <c r="H58" s="71">
        <v>1.0</v>
      </c>
      <c r="I58" s="71">
        <v>1.0</v>
      </c>
      <c r="J58" s="71">
        <v>1.0</v>
      </c>
      <c r="K58" s="72">
        <f>Portieri!I60</f>
        <v>1</v>
      </c>
      <c r="L58" s="73">
        <f>Portieri!AE60</f>
        <v>5.48</v>
      </c>
      <c r="M58" s="74">
        <f>Portieri!B60</f>
        <v>2</v>
      </c>
      <c r="N58" s="71">
        <f>Portieri!A60</f>
        <v>57</v>
      </c>
      <c r="O58" s="71" t="s">
        <v>332</v>
      </c>
      <c r="P58" s="71">
        <v>1.0</v>
      </c>
      <c r="Q58" s="71">
        <v>5.0</v>
      </c>
      <c r="R58" s="71" t="s">
        <v>71</v>
      </c>
      <c r="S58" s="71" t="s">
        <v>124</v>
      </c>
      <c r="T58" s="71" t="str">
        <f>Portieri!K60</f>
        <v>Scommessa</v>
      </c>
      <c r="U58" s="71" t="s">
        <v>333</v>
      </c>
      <c r="V58" s="71">
        <v>0.0</v>
      </c>
      <c r="W58" s="71">
        <f t="shared" si="1"/>
        <v>478</v>
      </c>
      <c r="AB58" s="71" t="s">
        <v>1337</v>
      </c>
      <c r="AC58" s="71" t="s">
        <v>739</v>
      </c>
      <c r="AD58" s="71" t="s">
        <v>974</v>
      </c>
      <c r="AE58" s="71" t="s">
        <v>1338</v>
      </c>
    </row>
    <row r="59" ht="15.75" customHeight="1">
      <c r="A59" s="71" t="s">
        <v>1339</v>
      </c>
      <c r="B59" s="71" t="s">
        <v>58</v>
      </c>
      <c r="C59" s="71">
        <v>61.0</v>
      </c>
      <c r="D59" s="71" t="s">
        <v>462</v>
      </c>
      <c r="E59" s="71" t="s">
        <v>1233</v>
      </c>
      <c r="F59" s="71" t="s">
        <v>185</v>
      </c>
      <c r="G59" s="71" t="s">
        <v>61</v>
      </c>
      <c r="H59" s="71">
        <v>1.0</v>
      </c>
      <c r="I59" s="71">
        <v>1.0</v>
      </c>
      <c r="J59" s="71">
        <v>1.0</v>
      </c>
      <c r="K59" s="72">
        <f>Portieri!I61</f>
        <v>1</v>
      </c>
      <c r="L59" s="73">
        <f>Portieri!AE61</f>
        <v>5.48</v>
      </c>
      <c r="M59" s="74">
        <f>Portieri!B61</f>
        <v>2</v>
      </c>
      <c r="N59" s="71">
        <f>Portieri!A61</f>
        <v>57</v>
      </c>
      <c r="O59" s="71" t="s">
        <v>226</v>
      </c>
      <c r="P59" s="71">
        <v>2.0</v>
      </c>
      <c r="Q59" s="71">
        <v>5.25</v>
      </c>
      <c r="R59" s="71" t="s">
        <v>71</v>
      </c>
      <c r="S59" s="71" t="s">
        <v>124</v>
      </c>
      <c r="T59" s="71" t="str">
        <f>Portieri!K61</f>
        <v>Scommessa</v>
      </c>
      <c r="U59" s="71" t="s">
        <v>281</v>
      </c>
      <c r="V59" s="71">
        <v>0.0</v>
      </c>
      <c r="W59" s="71">
        <f t="shared" si="1"/>
        <v>478</v>
      </c>
      <c r="AB59" s="71" t="s">
        <v>1339</v>
      </c>
      <c r="AC59" s="71" t="s">
        <v>1341</v>
      </c>
      <c r="AD59" s="71" t="s">
        <v>1342</v>
      </c>
      <c r="AE59" s="71" t="s">
        <v>1343</v>
      </c>
    </row>
    <row r="60" ht="15.75" customHeight="1">
      <c r="A60" s="71" t="s">
        <v>1344</v>
      </c>
      <c r="B60" s="71" t="s">
        <v>58</v>
      </c>
      <c r="C60" s="71">
        <v>62.0</v>
      </c>
      <c r="D60" s="71" t="s">
        <v>466</v>
      </c>
      <c r="E60" s="71" t="s">
        <v>1210</v>
      </c>
      <c r="F60" s="71" t="s">
        <v>143</v>
      </c>
      <c r="G60" s="71" t="s">
        <v>61</v>
      </c>
      <c r="H60" s="71">
        <v>1.0</v>
      </c>
      <c r="I60" s="71">
        <v>1.0</v>
      </c>
      <c r="J60" s="71">
        <v>1.0</v>
      </c>
      <c r="K60" s="72">
        <f>Portieri!I62</f>
        <v>1</v>
      </c>
      <c r="L60" s="73">
        <f>Portieri!AE62</f>
        <v>5.46</v>
      </c>
      <c r="M60" s="74">
        <f>Portieri!B62</f>
        <v>1.6</v>
      </c>
      <c r="N60" s="71">
        <f>Portieri!A62</f>
        <v>59</v>
      </c>
      <c r="O60" s="71" t="s">
        <v>226</v>
      </c>
      <c r="P60" s="71">
        <v>1.0</v>
      </c>
      <c r="Q60" s="71">
        <v>4.5</v>
      </c>
      <c r="R60" s="71" t="s">
        <v>71</v>
      </c>
      <c r="S60" s="71" t="s">
        <v>468</v>
      </c>
      <c r="T60" s="71" t="str">
        <f>Portieri!K62</f>
        <v>Scommessa</v>
      </c>
      <c r="U60" s="71" t="s">
        <v>281</v>
      </c>
      <c r="V60" s="71">
        <v>0.0</v>
      </c>
      <c r="W60" s="71">
        <f t="shared" si="1"/>
        <v>478</v>
      </c>
      <c r="AB60" s="71" t="s">
        <v>1344</v>
      </c>
      <c r="AC60" s="71" t="s">
        <v>630</v>
      </c>
      <c r="AD60" s="71" t="s">
        <v>983</v>
      </c>
      <c r="AE60" s="71" t="s">
        <v>1345</v>
      </c>
    </row>
    <row r="61" ht="15.75" customHeight="1">
      <c r="A61" s="71" t="s">
        <v>1346</v>
      </c>
      <c r="B61" s="71" t="s">
        <v>58</v>
      </c>
      <c r="C61" s="71">
        <v>63.0</v>
      </c>
      <c r="D61" s="71" t="s">
        <v>471</v>
      </c>
      <c r="E61" s="71" t="s">
        <v>1247</v>
      </c>
      <c r="F61" s="71" t="s">
        <v>264</v>
      </c>
      <c r="G61" s="71" t="s">
        <v>61</v>
      </c>
      <c r="H61" s="71">
        <v>1.0</v>
      </c>
      <c r="I61" s="71">
        <v>1.0</v>
      </c>
      <c r="J61" s="71">
        <v>1.0</v>
      </c>
      <c r="K61" s="72">
        <f>Portieri!I63</f>
        <v>1</v>
      </c>
      <c r="L61" s="73">
        <f>Portieri!AE63</f>
        <v>4.94</v>
      </c>
      <c r="M61" s="74">
        <f>Portieri!B63</f>
        <v>0.7</v>
      </c>
      <c r="N61" s="71">
        <f>Portieri!A63</f>
        <v>60</v>
      </c>
      <c r="O61" s="71" t="s">
        <v>332</v>
      </c>
      <c r="P61" s="71">
        <v>35.0</v>
      </c>
      <c r="Q61" s="71">
        <v>4.94</v>
      </c>
      <c r="R61" s="71" t="s">
        <v>71</v>
      </c>
      <c r="S61" s="71" t="s">
        <v>268</v>
      </c>
      <c r="T61" s="71" t="str">
        <f>Portieri!K63</f>
        <v>Scommessa</v>
      </c>
      <c r="U61" s="71" t="s">
        <v>338</v>
      </c>
      <c r="V61" s="71">
        <v>0.0</v>
      </c>
      <c r="W61" s="71">
        <f t="shared" si="1"/>
        <v>478</v>
      </c>
      <c r="AB61" s="71" t="s">
        <v>1346</v>
      </c>
      <c r="AC61" s="71" t="s">
        <v>583</v>
      </c>
      <c r="AD61" s="71" t="s">
        <v>954</v>
      </c>
      <c r="AE61" s="71" t="s">
        <v>1347</v>
      </c>
    </row>
    <row r="62" ht="15.75" customHeight="1">
      <c r="A62" s="71" t="s">
        <v>1348</v>
      </c>
      <c r="B62" s="71" t="s">
        <v>58</v>
      </c>
      <c r="C62" s="71">
        <v>64.0</v>
      </c>
      <c r="D62" s="71" t="s">
        <v>475</v>
      </c>
      <c r="E62" s="71" t="s">
        <v>1219</v>
      </c>
      <c r="F62" s="71" t="s">
        <v>195</v>
      </c>
      <c r="G62" s="71" t="s">
        <v>61</v>
      </c>
      <c r="H62" s="71">
        <v>1.0</v>
      </c>
      <c r="I62" s="71">
        <v>1.0</v>
      </c>
      <c r="J62" s="71">
        <v>1.0</v>
      </c>
      <c r="K62" s="72">
        <f>Portieri!I64</f>
        <v>1</v>
      </c>
      <c r="L62" s="73">
        <f>Portieri!AE64</f>
        <v>5.38</v>
      </c>
      <c r="M62" s="74">
        <f>Portieri!B64</f>
        <v>0.7</v>
      </c>
      <c r="N62" s="71">
        <f>Portieri!A64</f>
        <v>60</v>
      </c>
      <c r="O62" s="71" t="s">
        <v>226</v>
      </c>
      <c r="P62" s="71">
        <v>9.0</v>
      </c>
      <c r="Q62" s="71">
        <v>5.17</v>
      </c>
      <c r="R62" s="71" t="s">
        <v>71</v>
      </c>
      <c r="S62" s="71" t="s">
        <v>105</v>
      </c>
      <c r="T62" s="71" t="str">
        <f>Portieri!K64</f>
        <v>Scommessa</v>
      </c>
      <c r="U62" s="71" t="s">
        <v>281</v>
      </c>
      <c r="V62" s="71">
        <v>0.0</v>
      </c>
      <c r="W62" s="71">
        <f t="shared" si="1"/>
        <v>478</v>
      </c>
      <c r="AB62" s="71" t="s">
        <v>1348</v>
      </c>
      <c r="AC62" s="71" t="s">
        <v>1349</v>
      </c>
      <c r="AD62" s="71" t="s">
        <v>1350</v>
      </c>
      <c r="AE62" s="71" t="s">
        <v>1351</v>
      </c>
    </row>
    <row r="63" ht="15.75" customHeight="1">
      <c r="A63" s="71" t="s">
        <v>1352</v>
      </c>
      <c r="B63" s="71" t="s">
        <v>58</v>
      </c>
      <c r="C63" s="71">
        <v>65.0</v>
      </c>
      <c r="D63" s="71" t="s">
        <v>482</v>
      </c>
      <c r="E63" s="71" t="s">
        <v>1228</v>
      </c>
      <c r="F63" s="71" t="s">
        <v>212</v>
      </c>
      <c r="G63" s="71" t="s">
        <v>61</v>
      </c>
      <c r="H63" s="71">
        <v>1.0</v>
      </c>
      <c r="I63" s="71">
        <v>1.0</v>
      </c>
      <c r="J63" s="71">
        <v>1.0</v>
      </c>
      <c r="K63" s="72">
        <f>Portieri!I65</f>
        <v>1</v>
      </c>
      <c r="L63" s="73">
        <f>Portieri!AE65</f>
        <v>4.52</v>
      </c>
      <c r="M63" s="74">
        <f>Portieri!B65</f>
        <v>0.7</v>
      </c>
      <c r="N63" s="71">
        <f>Portieri!A65</f>
        <v>60</v>
      </c>
      <c r="O63" s="71" t="s">
        <v>332</v>
      </c>
      <c r="P63" s="71">
        <v>29.0</v>
      </c>
      <c r="Q63" s="71">
        <v>4.52</v>
      </c>
      <c r="R63" s="71" t="s">
        <v>71</v>
      </c>
      <c r="S63" s="71" t="s">
        <v>215</v>
      </c>
      <c r="T63" s="71" t="str">
        <f>Portieri!K65</f>
        <v>Scommessa</v>
      </c>
      <c r="U63" s="71" t="s">
        <v>333</v>
      </c>
      <c r="V63" s="71">
        <v>0.0</v>
      </c>
      <c r="W63" s="71">
        <f t="shared" si="1"/>
        <v>478</v>
      </c>
      <c r="AB63" s="71" t="s">
        <v>1352</v>
      </c>
      <c r="AC63" s="71" t="s">
        <v>1353</v>
      </c>
      <c r="AD63" s="71" t="s">
        <v>1354</v>
      </c>
      <c r="AE63" s="71" t="s">
        <v>1355</v>
      </c>
    </row>
    <row r="64" ht="15.75" customHeight="1">
      <c r="A64" s="71" t="s">
        <v>1356</v>
      </c>
      <c r="B64" s="71" t="s">
        <v>58</v>
      </c>
      <c r="C64" s="71">
        <v>66.0</v>
      </c>
      <c r="D64" s="71" t="s">
        <v>486</v>
      </c>
      <c r="E64" s="71" t="s">
        <v>1241</v>
      </c>
      <c r="F64" s="71" t="s">
        <v>177</v>
      </c>
      <c r="G64" s="71" t="s">
        <v>61</v>
      </c>
      <c r="H64" s="71">
        <v>1.0</v>
      </c>
      <c r="I64" s="71">
        <v>1.0</v>
      </c>
      <c r="J64" s="71">
        <v>1.0</v>
      </c>
      <c r="K64" s="72">
        <f>Portieri!I66</f>
        <v>1</v>
      </c>
      <c r="L64" s="73">
        <f>Portieri!AE66</f>
        <v>5.36</v>
      </c>
      <c r="M64" s="74">
        <f>Portieri!B66</f>
        <v>0.7</v>
      </c>
      <c r="N64" s="71">
        <f>Portieri!A66</f>
        <v>60</v>
      </c>
      <c r="O64" s="71" t="s">
        <v>226</v>
      </c>
      <c r="P64" s="71">
        <v>2.0</v>
      </c>
      <c r="Q64" s="71">
        <v>3.75</v>
      </c>
      <c r="R64" s="71" t="s">
        <v>71</v>
      </c>
      <c r="S64" s="71" t="s">
        <v>215</v>
      </c>
      <c r="T64" s="71" t="str">
        <f>Portieri!K66</f>
        <v>Scommessa</v>
      </c>
      <c r="U64" s="71" t="s">
        <v>281</v>
      </c>
      <c r="V64" s="71">
        <v>0.0</v>
      </c>
      <c r="W64" s="71">
        <f t="shared" si="1"/>
        <v>478</v>
      </c>
      <c r="AB64" s="71" t="s">
        <v>1356</v>
      </c>
      <c r="AC64" s="71" t="s">
        <v>1357</v>
      </c>
      <c r="AD64" s="71" t="s">
        <v>1358</v>
      </c>
      <c r="AE64" s="71" t="s">
        <v>1359</v>
      </c>
    </row>
    <row r="65" ht="15.75" customHeight="1">
      <c r="A65" s="71" t="s">
        <v>1360</v>
      </c>
      <c r="B65" s="71" t="s">
        <v>58</v>
      </c>
      <c r="C65" s="71">
        <v>67.0</v>
      </c>
      <c r="D65" s="71" t="s">
        <v>489</v>
      </c>
      <c r="E65" s="71" t="s">
        <v>1243</v>
      </c>
      <c r="F65" s="71" t="s">
        <v>253</v>
      </c>
      <c r="G65" s="71" t="s">
        <v>61</v>
      </c>
      <c r="H65" s="71">
        <v>1.0</v>
      </c>
      <c r="I65" s="71">
        <v>1.0</v>
      </c>
      <c r="J65" s="71">
        <v>1.0</v>
      </c>
      <c r="K65" s="72">
        <f>Portieri!I67</f>
        <v>1</v>
      </c>
      <c r="L65" s="73">
        <f>Portieri!AE67</f>
        <v>5.38</v>
      </c>
      <c r="M65" s="74">
        <f>Portieri!B67</f>
        <v>0.7</v>
      </c>
      <c r="N65" s="71">
        <f>Portieri!A67</f>
        <v>60</v>
      </c>
      <c r="O65" s="71" t="s">
        <v>332</v>
      </c>
      <c r="P65" s="71">
        <v>6.0</v>
      </c>
      <c r="Q65" s="71">
        <v>5.0</v>
      </c>
      <c r="R65" s="71" t="s">
        <v>71</v>
      </c>
      <c r="S65" s="71" t="s">
        <v>178</v>
      </c>
      <c r="T65" s="71" t="str">
        <f>Portieri!K67</f>
        <v>Scommessa</v>
      </c>
      <c r="U65" s="71" t="s">
        <v>333</v>
      </c>
      <c r="V65" s="71">
        <v>0.0</v>
      </c>
      <c r="W65" s="71">
        <f t="shared" si="1"/>
        <v>478</v>
      </c>
      <c r="AB65" s="71" t="s">
        <v>1360</v>
      </c>
      <c r="AC65" s="71" t="s">
        <v>1361</v>
      </c>
      <c r="AD65" s="71" t="s">
        <v>1362</v>
      </c>
      <c r="AE65" s="71" t="s">
        <v>1363</v>
      </c>
    </row>
    <row r="66" ht="15.75" customHeight="1">
      <c r="A66" s="71" t="s">
        <v>196</v>
      </c>
      <c r="B66" s="71" t="s">
        <v>62</v>
      </c>
      <c r="C66" s="71">
        <v>4.0</v>
      </c>
      <c r="D66" s="71" t="s">
        <v>63</v>
      </c>
      <c r="E66" s="71" t="s">
        <v>1209</v>
      </c>
      <c r="F66" s="71" t="s">
        <v>64</v>
      </c>
      <c r="G66" s="71" t="s">
        <v>666</v>
      </c>
      <c r="H66" s="71">
        <v>32.0</v>
      </c>
      <c r="I66" s="71">
        <v>31.0</v>
      </c>
      <c r="J66" s="71">
        <v>240.0</v>
      </c>
      <c r="K66" s="72">
        <f>Difensori!I4</f>
        <v>34</v>
      </c>
      <c r="L66" s="73">
        <f>Difensori!AE4</f>
        <v>7.64</v>
      </c>
      <c r="M66" s="74">
        <f>Difensori!B4</f>
        <v>88</v>
      </c>
      <c r="N66" s="71">
        <f>Difensori!A4</f>
        <v>1</v>
      </c>
      <c r="O66" s="71" t="s">
        <v>68</v>
      </c>
      <c r="P66" s="71">
        <v>35.0</v>
      </c>
      <c r="Q66" s="71">
        <v>7.64</v>
      </c>
      <c r="R66" s="71" t="s">
        <v>71</v>
      </c>
      <c r="S66" s="71" t="s">
        <v>85</v>
      </c>
      <c r="T66" s="71" t="str">
        <f>Difensori!K4</f>
        <v>1a fascia</v>
      </c>
      <c r="U66" s="71" t="s">
        <v>70</v>
      </c>
      <c r="V66" s="71">
        <v>2.0</v>
      </c>
      <c r="W66" s="71">
        <f t="shared" si="1"/>
        <v>7</v>
      </c>
      <c r="AC66" s="71" t="s">
        <v>1364</v>
      </c>
      <c r="AD66" s="71" t="s">
        <v>1365</v>
      </c>
      <c r="AE66" s="71" t="s">
        <v>1366</v>
      </c>
    </row>
    <row r="67" ht="15.75" customHeight="1">
      <c r="A67" s="71" t="s">
        <v>223</v>
      </c>
      <c r="B67" s="71" t="s">
        <v>62</v>
      </c>
      <c r="C67" s="71">
        <v>5.0</v>
      </c>
      <c r="D67" s="71" t="s">
        <v>102</v>
      </c>
      <c r="E67" s="71" t="s">
        <v>1205</v>
      </c>
      <c r="F67" s="71" t="s">
        <v>60</v>
      </c>
      <c r="G67" s="71" t="s">
        <v>666</v>
      </c>
      <c r="H67" s="71">
        <v>17.0</v>
      </c>
      <c r="I67" s="71">
        <v>18.0</v>
      </c>
      <c r="J67" s="71">
        <v>87.0</v>
      </c>
      <c r="K67" s="72">
        <f>Difensori!I5</f>
        <v>19</v>
      </c>
      <c r="L67" s="73">
        <f>Difensori!AE5</f>
        <v>6.47</v>
      </c>
      <c r="M67" s="74">
        <f>Difensori!B5</f>
        <v>38.5</v>
      </c>
      <c r="N67" s="71">
        <f>Difensori!A5</f>
        <v>2</v>
      </c>
      <c r="O67" s="71" t="s">
        <v>68</v>
      </c>
      <c r="P67" s="71">
        <v>30.0</v>
      </c>
      <c r="Q67" s="71">
        <v>6.47</v>
      </c>
      <c r="R67" s="71" t="s">
        <v>71</v>
      </c>
      <c r="S67" s="71" t="s">
        <v>113</v>
      </c>
      <c r="T67" s="71" t="str">
        <f>Difensori!K5</f>
        <v>2a fascia</v>
      </c>
      <c r="U67" s="71" t="s">
        <v>70</v>
      </c>
      <c r="V67" s="71">
        <v>2.0</v>
      </c>
      <c r="W67" s="71">
        <f t="shared" si="1"/>
        <v>28</v>
      </c>
      <c r="AC67" s="71" t="s">
        <v>1367</v>
      </c>
      <c r="AD67" s="71" t="s">
        <v>1368</v>
      </c>
      <c r="AE67" s="71" t="s">
        <v>1369</v>
      </c>
    </row>
    <row r="68" ht="15.75" customHeight="1">
      <c r="A68" s="71" t="s">
        <v>179</v>
      </c>
      <c r="B68" s="71" t="s">
        <v>62</v>
      </c>
      <c r="C68" s="71">
        <v>6.0</v>
      </c>
      <c r="D68" s="71" t="s">
        <v>135</v>
      </c>
      <c r="E68" s="71" t="s">
        <v>1207</v>
      </c>
      <c r="F68" s="71" t="s">
        <v>93</v>
      </c>
      <c r="G68" s="71" t="s">
        <v>666</v>
      </c>
      <c r="H68" s="71">
        <v>15.0</v>
      </c>
      <c r="I68" s="71">
        <v>16.0</v>
      </c>
      <c r="J68" s="71">
        <v>60.0</v>
      </c>
      <c r="K68" s="72">
        <f>Difensori!I6</f>
        <v>15</v>
      </c>
      <c r="L68" s="73">
        <f>Difensori!AE6</f>
        <v>6.81</v>
      </c>
      <c r="M68" s="74">
        <f>Difensori!B6</f>
        <v>37</v>
      </c>
      <c r="N68" s="71">
        <f>Difensori!A6</f>
        <v>3</v>
      </c>
      <c r="O68" s="71" t="s">
        <v>68</v>
      </c>
      <c r="P68" s="71">
        <v>26.0</v>
      </c>
      <c r="Q68" s="71">
        <v>6.81</v>
      </c>
      <c r="R68" s="71" t="s">
        <v>71</v>
      </c>
      <c r="S68" s="71" t="s">
        <v>158</v>
      </c>
      <c r="T68" s="71" t="str">
        <f>Difensori!K6</f>
        <v>2a fascia</v>
      </c>
      <c r="U68" s="71" t="s">
        <v>70</v>
      </c>
      <c r="V68" s="71">
        <v>2.0</v>
      </c>
      <c r="W68" s="71">
        <f t="shared" si="1"/>
        <v>47</v>
      </c>
      <c r="AC68" s="71" t="s">
        <v>1371</v>
      </c>
      <c r="AD68" s="71" t="s">
        <v>1372</v>
      </c>
      <c r="AE68" s="71" t="s">
        <v>1373</v>
      </c>
    </row>
    <row r="69" ht="15.75" customHeight="1">
      <c r="A69" s="71" t="s">
        <v>158</v>
      </c>
      <c r="B69" s="71" t="s">
        <v>62</v>
      </c>
      <c r="C69" s="71">
        <v>7.0</v>
      </c>
      <c r="D69" s="71" t="s">
        <v>174</v>
      </c>
      <c r="E69" s="71" t="s">
        <v>1241</v>
      </c>
      <c r="F69" s="71" t="s">
        <v>177</v>
      </c>
      <c r="G69" s="71" t="s">
        <v>666</v>
      </c>
      <c r="H69" s="71">
        <v>11.0</v>
      </c>
      <c r="I69" s="71">
        <v>11.0</v>
      </c>
      <c r="J69" s="71">
        <v>41.0</v>
      </c>
      <c r="K69" s="72">
        <f>Difensori!I7</f>
        <v>12</v>
      </c>
      <c r="L69" s="73">
        <f>Difensori!AE7</f>
        <v>6.52</v>
      </c>
      <c r="M69" s="74">
        <f>Difensori!B7</f>
        <v>33.8</v>
      </c>
      <c r="N69" s="71">
        <f>Difensori!A7</f>
        <v>4</v>
      </c>
      <c r="O69" s="71" t="s">
        <v>68</v>
      </c>
      <c r="P69" s="71">
        <v>30.0</v>
      </c>
      <c r="Q69" s="71">
        <v>6.52</v>
      </c>
      <c r="R69" s="71" t="s">
        <v>77</v>
      </c>
      <c r="S69" s="71" t="s">
        <v>179</v>
      </c>
      <c r="T69" s="71" t="str">
        <f>Difensori!K7</f>
        <v>3a fascia</v>
      </c>
      <c r="U69" s="71" t="s">
        <v>70</v>
      </c>
      <c r="V69" s="71">
        <v>2.0</v>
      </c>
      <c r="W69" s="71">
        <f t="shared" si="1"/>
        <v>81</v>
      </c>
      <c r="AC69" s="71" t="s">
        <v>1374</v>
      </c>
      <c r="AD69" s="71" t="s">
        <v>1375</v>
      </c>
      <c r="AE69" s="71" t="s">
        <v>1376</v>
      </c>
    </row>
    <row r="70" ht="15.75" customHeight="1">
      <c r="A70" s="71" t="s">
        <v>1214</v>
      </c>
      <c r="B70" s="71" t="s">
        <v>62</v>
      </c>
      <c r="C70" s="71">
        <v>8.0</v>
      </c>
      <c r="D70" s="71" t="s">
        <v>184</v>
      </c>
      <c r="E70" s="71" t="s">
        <v>1233</v>
      </c>
      <c r="F70" s="71" t="s">
        <v>185</v>
      </c>
      <c r="G70" s="71" t="s">
        <v>666</v>
      </c>
      <c r="H70" s="71">
        <v>13.0</v>
      </c>
      <c r="I70" s="71">
        <v>13.0</v>
      </c>
      <c r="J70" s="71">
        <v>46.0</v>
      </c>
      <c r="K70" s="72">
        <f>Difensori!I8</f>
        <v>13</v>
      </c>
      <c r="L70" s="73">
        <f>Difensori!AE8</f>
        <v>6.4</v>
      </c>
      <c r="M70" s="74">
        <f>Difensori!B8</f>
        <v>33.1</v>
      </c>
      <c r="N70" s="71">
        <f>Difensori!A8</f>
        <v>5</v>
      </c>
      <c r="O70" s="71" t="s">
        <v>68</v>
      </c>
      <c r="P70" s="71">
        <v>34.0</v>
      </c>
      <c r="Q70" s="71">
        <v>6.4</v>
      </c>
      <c r="R70" s="71" t="s">
        <v>77</v>
      </c>
      <c r="S70" s="71" t="s">
        <v>158</v>
      </c>
      <c r="T70" s="71" t="str">
        <f>Difensori!K8</f>
        <v>3a fascia</v>
      </c>
      <c r="U70" s="71" t="s">
        <v>70</v>
      </c>
      <c r="V70" s="71">
        <v>2.0</v>
      </c>
      <c r="W70" s="71">
        <f t="shared" si="1"/>
        <v>69</v>
      </c>
      <c r="AC70" s="71" t="s">
        <v>1377</v>
      </c>
      <c r="AD70" s="71" t="s">
        <v>1378</v>
      </c>
      <c r="AE70" s="71" t="s">
        <v>1379</v>
      </c>
    </row>
    <row r="71" ht="15.75" customHeight="1">
      <c r="A71" s="71" t="s">
        <v>85</v>
      </c>
      <c r="B71" s="71" t="s">
        <v>62</v>
      </c>
      <c r="C71" s="71">
        <v>9.0</v>
      </c>
      <c r="D71" s="71" t="s">
        <v>193</v>
      </c>
      <c r="E71" s="71" t="s">
        <v>1213</v>
      </c>
      <c r="F71" s="71" t="s">
        <v>175</v>
      </c>
      <c r="G71" s="71" t="s">
        <v>666</v>
      </c>
      <c r="H71" s="71">
        <v>14.0</v>
      </c>
      <c r="I71" s="71">
        <v>14.0</v>
      </c>
      <c r="J71" s="71">
        <v>49.0</v>
      </c>
      <c r="K71" s="72">
        <f>Difensori!I9</f>
        <v>13</v>
      </c>
      <c r="L71" s="73">
        <f>Difensori!AE9</f>
        <v>6.62</v>
      </c>
      <c r="M71" s="74">
        <f>Difensori!B9</f>
        <v>31.3</v>
      </c>
      <c r="N71" s="71">
        <f>Difensori!A9</f>
        <v>6</v>
      </c>
      <c r="O71" s="71" t="s">
        <v>68</v>
      </c>
      <c r="P71" s="71">
        <v>34.0</v>
      </c>
      <c r="Q71" s="71">
        <v>6.62</v>
      </c>
      <c r="R71" s="71" t="s">
        <v>71</v>
      </c>
      <c r="S71" s="71" t="s">
        <v>196</v>
      </c>
      <c r="T71" s="71" t="str">
        <f>Difensori!K9</f>
        <v>3a fascia</v>
      </c>
      <c r="U71" s="71" t="s">
        <v>70</v>
      </c>
      <c r="V71" s="71">
        <v>2.0</v>
      </c>
      <c r="W71" s="71">
        <f t="shared" si="1"/>
        <v>62</v>
      </c>
      <c r="AC71" s="71" t="s">
        <v>1380</v>
      </c>
      <c r="AD71" s="71" t="s">
        <v>1381</v>
      </c>
      <c r="AE71" s="71" t="s">
        <v>1382</v>
      </c>
    </row>
    <row r="72" ht="15.75" customHeight="1">
      <c r="A72" s="71" t="s">
        <v>432</v>
      </c>
      <c r="B72" s="71" t="s">
        <v>62</v>
      </c>
      <c r="C72" s="71">
        <v>10.0</v>
      </c>
      <c r="D72" s="71" t="s">
        <v>199</v>
      </c>
      <c r="E72" s="71" t="s">
        <v>1205</v>
      </c>
      <c r="F72" s="71" t="s">
        <v>60</v>
      </c>
      <c r="G72" s="71" t="s">
        <v>666</v>
      </c>
      <c r="H72" s="71">
        <v>15.0</v>
      </c>
      <c r="I72" s="71">
        <v>16.0</v>
      </c>
      <c r="J72" s="71">
        <v>50.0</v>
      </c>
      <c r="K72" s="72">
        <f>Difensori!I10</f>
        <v>13</v>
      </c>
      <c r="L72" s="73">
        <f>Difensori!AE10</f>
        <v>6.51</v>
      </c>
      <c r="M72" s="74">
        <f>Difensori!B10</f>
        <v>29.8</v>
      </c>
      <c r="N72" s="71">
        <f>Difensori!A10</f>
        <v>7</v>
      </c>
      <c r="O72" s="71" t="s">
        <v>68</v>
      </c>
      <c r="P72" s="71">
        <v>36.0</v>
      </c>
      <c r="Q72" s="71">
        <v>6.51</v>
      </c>
      <c r="R72" s="71" t="s">
        <v>71</v>
      </c>
      <c r="S72" s="71" t="s">
        <v>113</v>
      </c>
      <c r="T72" s="71" t="str">
        <f>Difensori!K10</f>
        <v>3a fascia</v>
      </c>
      <c r="U72" s="71" t="s">
        <v>70</v>
      </c>
      <c r="V72" s="71">
        <v>2.0</v>
      </c>
      <c r="W72" s="71">
        <f t="shared" si="1"/>
        <v>56</v>
      </c>
      <c r="AC72" s="71" t="s">
        <v>1383</v>
      </c>
      <c r="AD72" s="71" t="s">
        <v>1384</v>
      </c>
      <c r="AE72" s="71" t="s">
        <v>1385</v>
      </c>
    </row>
    <row r="73" ht="15.75" customHeight="1">
      <c r="A73" s="71" t="s">
        <v>438</v>
      </c>
      <c r="B73" s="71" t="s">
        <v>62</v>
      </c>
      <c r="C73" s="71">
        <v>11.0</v>
      </c>
      <c r="D73" s="71" t="s">
        <v>206</v>
      </c>
      <c r="E73" s="71" t="s">
        <v>1209</v>
      </c>
      <c r="F73" s="71" t="s">
        <v>64</v>
      </c>
      <c r="G73" s="71" t="s">
        <v>666</v>
      </c>
      <c r="H73" s="71">
        <v>16.0</v>
      </c>
      <c r="I73" s="71">
        <v>15.0</v>
      </c>
      <c r="J73" s="71">
        <v>47.0</v>
      </c>
      <c r="K73" s="72">
        <f>Difensori!I11</f>
        <v>13</v>
      </c>
      <c r="L73" s="73">
        <f>Difensori!AE11</f>
        <v>6.41</v>
      </c>
      <c r="M73" s="74">
        <f>Difensori!B11</f>
        <v>27.5</v>
      </c>
      <c r="N73" s="71">
        <f>Difensori!A11</f>
        <v>8</v>
      </c>
      <c r="O73" s="71" t="s">
        <v>68</v>
      </c>
      <c r="P73" s="71">
        <v>32.0</v>
      </c>
      <c r="Q73" s="71">
        <v>6.41</v>
      </c>
      <c r="R73" s="71" t="s">
        <v>71</v>
      </c>
      <c r="S73" s="71" t="s">
        <v>85</v>
      </c>
      <c r="T73" s="71" t="str">
        <f>Difensori!K11</f>
        <v>3a fascia</v>
      </c>
      <c r="U73" s="71" t="s">
        <v>70</v>
      </c>
      <c r="V73" s="71">
        <v>2.0</v>
      </c>
      <c r="W73" s="71">
        <f t="shared" si="1"/>
        <v>65</v>
      </c>
      <c r="AC73" s="71" t="s">
        <v>1386</v>
      </c>
      <c r="AD73" s="71" t="s">
        <v>1387</v>
      </c>
      <c r="AE73" s="71" t="s">
        <v>1388</v>
      </c>
    </row>
    <row r="74" ht="15.75" customHeight="1">
      <c r="A74" s="71" t="s">
        <v>1223</v>
      </c>
      <c r="B74" s="71" t="s">
        <v>62</v>
      </c>
      <c r="C74" s="71">
        <v>12.0</v>
      </c>
      <c r="D74" s="71" t="s">
        <v>213</v>
      </c>
      <c r="E74" s="71" t="s">
        <v>1209</v>
      </c>
      <c r="F74" s="71" t="s">
        <v>64</v>
      </c>
      <c r="G74" s="71" t="s">
        <v>666</v>
      </c>
      <c r="H74" s="71">
        <v>11.0</v>
      </c>
      <c r="I74" s="71">
        <v>12.0</v>
      </c>
      <c r="J74" s="71">
        <v>36.0</v>
      </c>
      <c r="K74" s="72">
        <f>Difensori!I12</f>
        <v>11</v>
      </c>
      <c r="L74" s="73">
        <f>Difensori!AE12</f>
        <v>6.56</v>
      </c>
      <c r="M74" s="74">
        <f>Difensori!B12</f>
        <v>27.1</v>
      </c>
      <c r="N74" s="71">
        <f>Difensori!A12</f>
        <v>9</v>
      </c>
      <c r="O74" s="71" t="s">
        <v>68</v>
      </c>
      <c r="P74" s="71">
        <v>23.0</v>
      </c>
      <c r="Q74" s="71">
        <v>6.65</v>
      </c>
      <c r="R74" s="71" t="s">
        <v>71</v>
      </c>
      <c r="S74" s="71" t="s">
        <v>85</v>
      </c>
      <c r="T74" s="71" t="str">
        <f>Difensori!K12</f>
        <v>3a fascia</v>
      </c>
      <c r="U74" s="71" t="s">
        <v>70</v>
      </c>
      <c r="V74" s="71">
        <v>2.0</v>
      </c>
      <c r="W74" s="71">
        <f t="shared" si="1"/>
        <v>94</v>
      </c>
      <c r="AC74" s="71" t="s">
        <v>1389</v>
      </c>
      <c r="AD74" s="71" t="s">
        <v>1390</v>
      </c>
      <c r="AE74" s="71" t="s">
        <v>1391</v>
      </c>
    </row>
    <row r="75" ht="15.75" customHeight="1">
      <c r="A75" s="71" t="s">
        <v>113</v>
      </c>
      <c r="B75" s="71" t="s">
        <v>62</v>
      </c>
      <c r="C75" s="71">
        <v>13.0</v>
      </c>
      <c r="D75" s="71" t="s">
        <v>220</v>
      </c>
      <c r="E75" s="71" t="s">
        <v>1217</v>
      </c>
      <c r="F75" s="71" t="s">
        <v>191</v>
      </c>
      <c r="G75" s="71" t="s">
        <v>666</v>
      </c>
      <c r="H75" s="71">
        <v>14.0</v>
      </c>
      <c r="I75" s="71">
        <v>15.0</v>
      </c>
      <c r="J75" s="71">
        <v>51.0</v>
      </c>
      <c r="K75" s="72">
        <f>Difensori!I13</f>
        <v>13</v>
      </c>
      <c r="L75" s="73">
        <f>Difensori!AE13</f>
        <v>6.3</v>
      </c>
      <c r="M75" s="74">
        <f>Difensori!B13</f>
        <v>26.8</v>
      </c>
      <c r="N75" s="71">
        <f>Difensori!A13</f>
        <v>10</v>
      </c>
      <c r="O75" s="71" t="s">
        <v>68</v>
      </c>
      <c r="P75" s="71">
        <v>21.0</v>
      </c>
      <c r="Q75" s="71">
        <v>6.45</v>
      </c>
      <c r="R75" s="71" t="s">
        <v>71</v>
      </c>
      <c r="S75" s="71" t="s">
        <v>223</v>
      </c>
      <c r="T75" s="71" t="str">
        <f>Difensori!K13</f>
        <v>3a fascia</v>
      </c>
      <c r="U75" s="71" t="s">
        <v>70</v>
      </c>
      <c r="V75" s="71">
        <v>2.0</v>
      </c>
      <c r="W75" s="71">
        <f t="shared" si="1"/>
        <v>54</v>
      </c>
      <c r="AC75" s="71" t="s">
        <v>1392</v>
      </c>
      <c r="AD75" s="71" t="s">
        <v>1393</v>
      </c>
      <c r="AE75" s="71" t="s">
        <v>1394</v>
      </c>
    </row>
    <row r="76" ht="15.75" customHeight="1">
      <c r="A76" s="71" t="s">
        <v>1229</v>
      </c>
      <c r="B76" s="71" t="s">
        <v>62</v>
      </c>
      <c r="C76" s="71">
        <v>14.0</v>
      </c>
      <c r="D76" s="71" t="s">
        <v>228</v>
      </c>
      <c r="E76" s="71" t="s">
        <v>1207</v>
      </c>
      <c r="F76" s="71" t="s">
        <v>93</v>
      </c>
      <c r="G76" s="71" t="s">
        <v>666</v>
      </c>
      <c r="H76" s="71">
        <v>13.0</v>
      </c>
      <c r="I76" s="71">
        <v>14.0</v>
      </c>
      <c r="J76" s="71">
        <v>47.0</v>
      </c>
      <c r="K76" s="72">
        <f>Difensori!I14</f>
        <v>13</v>
      </c>
      <c r="L76" s="73">
        <f>Difensori!AE14</f>
        <v>6.35</v>
      </c>
      <c r="M76" s="74">
        <f>Difensori!B14</f>
        <v>26.6</v>
      </c>
      <c r="N76" s="71">
        <f>Difensori!A14</f>
        <v>11</v>
      </c>
      <c r="O76" s="71" t="s">
        <v>68</v>
      </c>
      <c r="P76" s="71">
        <v>37.0</v>
      </c>
      <c r="Q76" s="71">
        <v>6.35</v>
      </c>
      <c r="R76" s="71" t="s">
        <v>71</v>
      </c>
      <c r="S76" s="71" t="s">
        <v>230</v>
      </c>
      <c r="T76" s="71" t="str">
        <f>Difensori!K14</f>
        <v>3a fascia</v>
      </c>
      <c r="U76" s="71" t="s">
        <v>70</v>
      </c>
      <c r="V76" s="71">
        <v>2.0</v>
      </c>
      <c r="W76" s="71">
        <f t="shared" si="1"/>
        <v>65</v>
      </c>
      <c r="AC76" s="71" t="s">
        <v>1395</v>
      </c>
      <c r="AD76" s="71" t="s">
        <v>1396</v>
      </c>
      <c r="AE76" s="71" t="s">
        <v>1397</v>
      </c>
    </row>
    <row r="77" ht="15.75" customHeight="1">
      <c r="A77" s="71" t="s">
        <v>469</v>
      </c>
      <c r="B77" s="71" t="s">
        <v>62</v>
      </c>
      <c r="C77" s="71">
        <v>15.0</v>
      </c>
      <c r="D77" s="71" t="s">
        <v>236</v>
      </c>
      <c r="E77" s="71" t="s">
        <v>1209</v>
      </c>
      <c r="F77" s="71" t="s">
        <v>64</v>
      </c>
      <c r="G77" s="71" t="s">
        <v>666</v>
      </c>
      <c r="H77" s="71">
        <v>14.0</v>
      </c>
      <c r="I77" s="71">
        <v>14.0</v>
      </c>
      <c r="J77" s="71">
        <v>43.0</v>
      </c>
      <c r="K77" s="72">
        <f>Difensori!I15</f>
        <v>12</v>
      </c>
      <c r="L77" s="73">
        <f>Difensori!AE15</f>
        <v>6.34</v>
      </c>
      <c r="M77" s="74">
        <f>Difensori!B15</f>
        <v>25.4</v>
      </c>
      <c r="N77" s="71">
        <f>Difensori!A15</f>
        <v>12</v>
      </c>
      <c r="O77" s="71" t="s">
        <v>68</v>
      </c>
      <c r="P77" s="71">
        <v>28.0</v>
      </c>
      <c r="Q77" s="71">
        <v>6.34</v>
      </c>
      <c r="R77" s="71" t="s">
        <v>71</v>
      </c>
      <c r="S77" s="71" t="s">
        <v>85</v>
      </c>
      <c r="T77" s="71" t="str">
        <f>Difensori!K15</f>
        <v>3a fascia</v>
      </c>
      <c r="U77" s="71" t="s">
        <v>70</v>
      </c>
      <c r="V77" s="71">
        <v>2.0</v>
      </c>
      <c r="W77" s="71">
        <f t="shared" si="1"/>
        <v>76</v>
      </c>
      <c r="AC77" s="71" t="s">
        <v>1398</v>
      </c>
      <c r="AD77" s="71" t="s">
        <v>1399</v>
      </c>
      <c r="AE77" s="71" t="s">
        <v>1400</v>
      </c>
    </row>
    <row r="78" ht="15.75" customHeight="1">
      <c r="A78" s="71" t="s">
        <v>463</v>
      </c>
      <c r="B78" s="71" t="s">
        <v>62</v>
      </c>
      <c r="C78" s="71">
        <v>16.0</v>
      </c>
      <c r="D78" s="71" t="s">
        <v>240</v>
      </c>
      <c r="E78" s="71" t="s">
        <v>1205</v>
      </c>
      <c r="F78" s="71" t="s">
        <v>60</v>
      </c>
      <c r="G78" s="71" t="s">
        <v>666</v>
      </c>
      <c r="H78" s="71">
        <v>13.0</v>
      </c>
      <c r="I78" s="71">
        <v>13.0</v>
      </c>
      <c r="J78" s="71">
        <v>42.0</v>
      </c>
      <c r="K78" s="72">
        <f>Difensori!I16</f>
        <v>12</v>
      </c>
      <c r="L78" s="73">
        <f>Difensori!AE16</f>
        <v>6.32</v>
      </c>
      <c r="M78" s="74">
        <f>Difensori!B16</f>
        <v>24.9</v>
      </c>
      <c r="N78" s="71">
        <f>Difensori!A16</f>
        <v>13</v>
      </c>
      <c r="O78" s="71" t="s">
        <v>68</v>
      </c>
      <c r="P78" s="71">
        <v>31.0</v>
      </c>
      <c r="Q78" s="71">
        <v>6.32</v>
      </c>
      <c r="R78" s="71" t="s">
        <v>71</v>
      </c>
      <c r="S78" s="71" t="s">
        <v>245</v>
      </c>
      <c r="T78" s="71" t="str">
        <f>Difensori!K16</f>
        <v>3a fascia</v>
      </c>
      <c r="U78" s="71" t="s">
        <v>242</v>
      </c>
      <c r="V78" s="71">
        <v>1.0</v>
      </c>
      <c r="W78" s="71">
        <f t="shared" si="1"/>
        <v>78</v>
      </c>
      <c r="AC78" s="71" t="s">
        <v>1401</v>
      </c>
      <c r="AD78" s="71" t="s">
        <v>1402</v>
      </c>
      <c r="AE78" s="71" t="s">
        <v>1403</v>
      </c>
    </row>
    <row r="79" ht="15.75" customHeight="1">
      <c r="A79" s="71" t="s">
        <v>481</v>
      </c>
      <c r="B79" s="71" t="s">
        <v>62</v>
      </c>
      <c r="C79" s="71">
        <v>17.0</v>
      </c>
      <c r="D79" s="71" t="s">
        <v>248</v>
      </c>
      <c r="E79" s="71" t="s">
        <v>1217</v>
      </c>
      <c r="F79" s="71" t="s">
        <v>191</v>
      </c>
      <c r="G79" s="71" t="s">
        <v>666</v>
      </c>
      <c r="H79" s="71">
        <v>12.0</v>
      </c>
      <c r="I79" s="71">
        <v>12.0</v>
      </c>
      <c r="J79" s="71">
        <v>39.0</v>
      </c>
      <c r="K79" s="72">
        <f>Difensori!I17</f>
        <v>11</v>
      </c>
      <c r="L79" s="73">
        <f>Difensori!AE17</f>
        <v>6.33</v>
      </c>
      <c r="M79" s="74">
        <f>Difensori!B17</f>
        <v>24.3</v>
      </c>
      <c r="N79" s="71">
        <f>Difensori!A17</f>
        <v>14</v>
      </c>
      <c r="O79" s="71" t="s">
        <v>68</v>
      </c>
      <c r="P79" s="71">
        <v>26.0</v>
      </c>
      <c r="Q79" s="71">
        <v>6.33</v>
      </c>
      <c r="R79" s="71" t="s">
        <v>71</v>
      </c>
      <c r="S79" s="71" t="s">
        <v>223</v>
      </c>
      <c r="T79" s="71" t="str">
        <f>Difensori!K17</f>
        <v>3a fascia</v>
      </c>
      <c r="U79" s="71" t="s">
        <v>70</v>
      </c>
      <c r="V79" s="71">
        <v>2.0</v>
      </c>
      <c r="W79" s="71">
        <f t="shared" si="1"/>
        <v>88</v>
      </c>
      <c r="AC79" s="71" t="s">
        <v>1404</v>
      </c>
      <c r="AD79" s="71" t="s">
        <v>1405</v>
      </c>
      <c r="AE79" s="71" t="s">
        <v>1406</v>
      </c>
    </row>
    <row r="80" ht="15.75" customHeight="1">
      <c r="A80" s="71" t="s">
        <v>1238</v>
      </c>
      <c r="B80" s="71" t="s">
        <v>62</v>
      </c>
      <c r="C80" s="71">
        <v>18.0</v>
      </c>
      <c r="D80" s="71" t="s">
        <v>258</v>
      </c>
      <c r="E80" s="71" t="s">
        <v>1217</v>
      </c>
      <c r="F80" s="71" t="s">
        <v>191</v>
      </c>
      <c r="G80" s="71" t="s">
        <v>666</v>
      </c>
      <c r="H80" s="71">
        <v>8.0</v>
      </c>
      <c r="I80" s="71">
        <v>8.0</v>
      </c>
      <c r="J80" s="71">
        <v>25.0</v>
      </c>
      <c r="K80" s="72">
        <f>Difensori!I18</f>
        <v>9</v>
      </c>
      <c r="L80" s="73">
        <f>Difensori!AE18</f>
        <v>6.55</v>
      </c>
      <c r="M80" s="74">
        <f>Difensori!B18</f>
        <v>24.2</v>
      </c>
      <c r="N80" s="71">
        <f>Difensori!A18</f>
        <v>15</v>
      </c>
      <c r="O80" s="71" t="s">
        <v>68</v>
      </c>
      <c r="P80" s="71">
        <v>30.0</v>
      </c>
      <c r="Q80" s="71">
        <v>6.55</v>
      </c>
      <c r="R80" s="71" t="s">
        <v>71</v>
      </c>
      <c r="S80" s="71" t="s">
        <v>223</v>
      </c>
      <c r="T80" s="71" t="str">
        <f>Difensori!K18</f>
        <v>3a fascia</v>
      </c>
      <c r="U80" s="71" t="s">
        <v>70</v>
      </c>
      <c r="V80" s="71">
        <v>2.0</v>
      </c>
      <c r="W80" s="71">
        <f t="shared" si="1"/>
        <v>133</v>
      </c>
      <c r="AC80" s="71" t="s">
        <v>1407</v>
      </c>
      <c r="AD80" s="71" t="s">
        <v>1408</v>
      </c>
      <c r="AE80" s="71" t="s">
        <v>1409</v>
      </c>
    </row>
    <row r="81" ht="15.75" customHeight="1">
      <c r="A81" s="71" t="s">
        <v>311</v>
      </c>
      <c r="B81" s="71" t="s">
        <v>62</v>
      </c>
      <c r="C81" s="71">
        <v>19.0</v>
      </c>
      <c r="D81" s="71" t="s">
        <v>265</v>
      </c>
      <c r="E81" s="71" t="s">
        <v>1210</v>
      </c>
      <c r="F81" s="71" t="s">
        <v>143</v>
      </c>
      <c r="G81" s="71" t="s">
        <v>666</v>
      </c>
      <c r="H81" s="71">
        <v>10.0</v>
      </c>
      <c r="I81" s="71">
        <v>10.0</v>
      </c>
      <c r="J81" s="71">
        <v>28.0</v>
      </c>
      <c r="K81" s="72">
        <f>Difensori!I19</f>
        <v>9</v>
      </c>
      <c r="L81" s="73">
        <f>Difensori!AE19</f>
        <v>6.4</v>
      </c>
      <c r="M81" s="74">
        <f>Difensori!B19</f>
        <v>22.6</v>
      </c>
      <c r="N81" s="71">
        <f>Difensori!A19</f>
        <v>16</v>
      </c>
      <c r="O81" s="71" t="s">
        <v>68</v>
      </c>
      <c r="P81" s="71">
        <v>24.0</v>
      </c>
      <c r="Q81" s="71">
        <v>6.44</v>
      </c>
      <c r="R81" s="71" t="s">
        <v>71</v>
      </c>
      <c r="S81" s="71" t="s">
        <v>270</v>
      </c>
      <c r="T81" s="71" t="str">
        <f>Difensori!K19</f>
        <v>3a fascia</v>
      </c>
      <c r="U81" s="71" t="s">
        <v>70</v>
      </c>
      <c r="V81" s="71">
        <v>2.0</v>
      </c>
      <c r="W81" s="71">
        <f t="shared" si="1"/>
        <v>117</v>
      </c>
      <c r="AC81" s="71" t="s">
        <v>1410</v>
      </c>
      <c r="AD81" s="71" t="s">
        <v>1411</v>
      </c>
      <c r="AE81" s="71" t="s">
        <v>1412</v>
      </c>
    </row>
    <row r="82" ht="15.75" customHeight="1">
      <c r="A82" s="71" t="s">
        <v>491</v>
      </c>
      <c r="B82" s="71" t="s">
        <v>62</v>
      </c>
      <c r="C82" s="71">
        <v>20.0</v>
      </c>
      <c r="D82" s="71" t="s">
        <v>274</v>
      </c>
      <c r="E82" s="71" t="s">
        <v>1205</v>
      </c>
      <c r="F82" s="71" t="s">
        <v>60</v>
      </c>
      <c r="G82" s="71" t="s">
        <v>666</v>
      </c>
      <c r="H82" s="71">
        <v>10.0</v>
      </c>
      <c r="I82" s="71">
        <v>11.0</v>
      </c>
      <c r="J82" s="71">
        <v>26.0</v>
      </c>
      <c r="K82" s="72">
        <f>Difensori!I20</f>
        <v>9</v>
      </c>
      <c r="L82" s="73">
        <f>Difensori!AE20</f>
        <v>6.41</v>
      </c>
      <c r="M82" s="74">
        <f>Difensori!B20</f>
        <v>22.3</v>
      </c>
      <c r="N82" s="71">
        <f>Difensori!A20</f>
        <v>17</v>
      </c>
      <c r="O82" s="71" t="s">
        <v>226</v>
      </c>
      <c r="P82" s="71">
        <v>27.0</v>
      </c>
      <c r="Q82" s="71">
        <v>6.41</v>
      </c>
      <c r="R82" s="71" t="s">
        <v>71</v>
      </c>
      <c r="S82" s="71" t="s">
        <v>245</v>
      </c>
      <c r="T82" s="71" t="str">
        <f>Difensori!K20</f>
        <v>3a fascia</v>
      </c>
      <c r="U82" s="71" t="s">
        <v>277</v>
      </c>
      <c r="V82" s="71">
        <v>2.0</v>
      </c>
      <c r="W82" s="71">
        <f t="shared" si="1"/>
        <v>129</v>
      </c>
      <c r="AC82" s="71" t="s">
        <v>1414</v>
      </c>
      <c r="AD82" s="71" t="s">
        <v>1415</v>
      </c>
      <c r="AE82" s="71" t="s">
        <v>1416</v>
      </c>
    </row>
    <row r="83" ht="15.75" customHeight="1">
      <c r="A83" s="71" t="s">
        <v>417</v>
      </c>
      <c r="B83" s="71" t="s">
        <v>62</v>
      </c>
      <c r="C83" s="71">
        <v>21.0</v>
      </c>
      <c r="D83" s="71" t="s">
        <v>282</v>
      </c>
      <c r="E83" s="71" t="s">
        <v>1256</v>
      </c>
      <c r="F83" s="71" t="s">
        <v>283</v>
      </c>
      <c r="G83" s="71" t="s">
        <v>666</v>
      </c>
      <c r="H83" s="71">
        <v>8.0</v>
      </c>
      <c r="I83" s="71">
        <v>8.0</v>
      </c>
      <c r="J83" s="71">
        <v>22.0</v>
      </c>
      <c r="K83" s="72">
        <f>Difensori!I21</f>
        <v>8</v>
      </c>
      <c r="L83" s="73">
        <f>Difensori!AE21</f>
        <v>6.09</v>
      </c>
      <c r="M83" s="74">
        <f>Difensori!B21</f>
        <v>21.5</v>
      </c>
      <c r="N83" s="71">
        <f>Difensori!A21</f>
        <v>18</v>
      </c>
      <c r="O83" s="71" t="s">
        <v>68</v>
      </c>
      <c r="P83" s="71">
        <v>34.0</v>
      </c>
      <c r="Q83" s="71">
        <v>6.09</v>
      </c>
      <c r="R83" s="71" t="s">
        <v>160</v>
      </c>
      <c r="S83" s="71" t="s">
        <v>288</v>
      </c>
      <c r="T83" s="71" t="str">
        <f>Difensori!K21</f>
        <v>3a fascia</v>
      </c>
      <c r="U83" s="71" t="s">
        <v>70</v>
      </c>
      <c r="V83" s="71">
        <v>2.0</v>
      </c>
      <c r="W83" s="71">
        <f t="shared" si="1"/>
        <v>159</v>
      </c>
      <c r="AC83" s="71" t="s">
        <v>1417</v>
      </c>
      <c r="AD83" s="71" t="s">
        <v>1418</v>
      </c>
      <c r="AE83" s="71" t="s">
        <v>1419</v>
      </c>
    </row>
    <row r="84" ht="15.75" customHeight="1">
      <c r="A84" s="71" t="s">
        <v>1248</v>
      </c>
      <c r="B84" s="71" t="s">
        <v>62</v>
      </c>
      <c r="C84" s="71">
        <v>22.0</v>
      </c>
      <c r="D84" s="71" t="s">
        <v>292</v>
      </c>
      <c r="E84" s="71" t="s">
        <v>1205</v>
      </c>
      <c r="F84" s="71" t="s">
        <v>60</v>
      </c>
      <c r="G84" s="71" t="s">
        <v>666</v>
      </c>
      <c r="H84" s="71">
        <v>18.0</v>
      </c>
      <c r="I84" s="71">
        <v>18.0</v>
      </c>
      <c r="J84" s="71">
        <v>78.0</v>
      </c>
      <c r="K84" s="72">
        <f>Difensori!I22</f>
        <v>17</v>
      </c>
      <c r="L84" s="73">
        <f>Difensori!AE22</f>
        <v>5.5</v>
      </c>
      <c r="M84" s="74">
        <f>Difensori!B22</f>
        <v>21.1</v>
      </c>
      <c r="N84" s="71">
        <f>Difensori!A22</f>
        <v>19</v>
      </c>
      <c r="O84" s="71" t="s">
        <v>68</v>
      </c>
      <c r="P84" s="71">
        <v>0.0</v>
      </c>
      <c r="R84" s="71" t="s">
        <v>71</v>
      </c>
      <c r="S84" s="71" t="s">
        <v>245</v>
      </c>
      <c r="T84" s="71" t="str">
        <f>Difensori!K22</f>
        <v>2a fascia</v>
      </c>
      <c r="U84" s="71" t="s">
        <v>294</v>
      </c>
      <c r="V84" s="71">
        <v>1.0</v>
      </c>
      <c r="W84" s="71">
        <f t="shared" si="1"/>
        <v>36</v>
      </c>
      <c r="AC84" s="71" t="s">
        <v>1420</v>
      </c>
      <c r="AD84" s="71" t="s">
        <v>1421</v>
      </c>
      <c r="AE84" s="71" t="s">
        <v>1422</v>
      </c>
    </row>
    <row r="85" ht="15.75" customHeight="1">
      <c r="A85" s="71" t="s">
        <v>412</v>
      </c>
      <c r="B85" s="71" t="s">
        <v>62</v>
      </c>
      <c r="C85" s="71">
        <v>23.0</v>
      </c>
      <c r="D85" s="71" t="s">
        <v>298</v>
      </c>
      <c r="E85" s="71" t="s">
        <v>1215</v>
      </c>
      <c r="F85" s="71" t="s">
        <v>133</v>
      </c>
      <c r="G85" s="71" t="s">
        <v>666</v>
      </c>
      <c r="H85" s="71">
        <v>5.0</v>
      </c>
      <c r="I85" s="71">
        <v>5.0</v>
      </c>
      <c r="J85" s="71">
        <v>13.0</v>
      </c>
      <c r="K85" s="72">
        <f>Difensori!I23</f>
        <v>6</v>
      </c>
      <c r="L85" s="73">
        <f>Difensori!AE23</f>
        <v>6.52</v>
      </c>
      <c r="M85" s="74">
        <f>Difensori!B23</f>
        <v>20.8</v>
      </c>
      <c r="N85" s="71">
        <f>Difensori!A23</f>
        <v>20</v>
      </c>
      <c r="O85" s="71" t="s">
        <v>226</v>
      </c>
      <c r="P85" s="71">
        <v>29.0</v>
      </c>
      <c r="Q85" s="71">
        <v>6.52</v>
      </c>
      <c r="R85" s="71" t="s">
        <v>71</v>
      </c>
      <c r="S85" s="71" t="s">
        <v>304</v>
      </c>
      <c r="T85" s="71" t="str">
        <f>Difensori!K23</f>
        <v>4a fascia</v>
      </c>
      <c r="U85" s="71" t="s">
        <v>301</v>
      </c>
      <c r="V85" s="71">
        <v>1.0</v>
      </c>
      <c r="W85" s="71">
        <f t="shared" si="1"/>
        <v>262</v>
      </c>
      <c r="AC85" s="71" t="s">
        <v>1424</v>
      </c>
      <c r="AD85" s="71" t="s">
        <v>1425</v>
      </c>
      <c r="AE85" s="71" t="s">
        <v>1426</v>
      </c>
    </row>
    <row r="86" ht="15.75" customHeight="1">
      <c r="A86" s="71" t="s">
        <v>270</v>
      </c>
      <c r="B86" s="71" t="s">
        <v>62</v>
      </c>
      <c r="C86" s="71">
        <v>24.0</v>
      </c>
      <c r="D86" s="71" t="s">
        <v>307</v>
      </c>
      <c r="E86" s="71" t="s">
        <v>1237</v>
      </c>
      <c r="F86" s="71" t="s">
        <v>239</v>
      </c>
      <c r="G86" s="71" t="s">
        <v>666</v>
      </c>
      <c r="H86" s="71">
        <v>8.0</v>
      </c>
      <c r="I86" s="71">
        <v>7.0</v>
      </c>
      <c r="J86" s="71">
        <v>20.0</v>
      </c>
      <c r="K86" s="72">
        <f>Difensori!I24</f>
        <v>8</v>
      </c>
      <c r="L86" s="73">
        <f>Difensori!AE24</f>
        <v>6.17</v>
      </c>
      <c r="M86" s="74">
        <f>Difensori!B24</f>
        <v>20.5</v>
      </c>
      <c r="N86" s="71">
        <f>Difensori!A24</f>
        <v>21</v>
      </c>
      <c r="O86" s="71" t="s">
        <v>68</v>
      </c>
      <c r="P86" s="71">
        <v>26.0</v>
      </c>
      <c r="Q86" s="71">
        <v>6.17</v>
      </c>
      <c r="R86" s="71" t="s">
        <v>160</v>
      </c>
      <c r="S86" s="71" t="s">
        <v>311</v>
      </c>
      <c r="T86" s="71" t="str">
        <f>Difensori!K24</f>
        <v>3a fascia</v>
      </c>
      <c r="U86" s="71" t="s">
        <v>309</v>
      </c>
      <c r="V86" s="71">
        <v>0.0</v>
      </c>
      <c r="W86" s="71">
        <f t="shared" si="1"/>
        <v>173</v>
      </c>
      <c r="AC86" s="71" t="s">
        <v>1427</v>
      </c>
      <c r="AD86" s="71" t="s">
        <v>1428</v>
      </c>
      <c r="AE86" s="71" t="s">
        <v>1429</v>
      </c>
    </row>
    <row r="87" ht="15.75" customHeight="1">
      <c r="A87" s="71" t="s">
        <v>1257</v>
      </c>
      <c r="B87" s="71" t="s">
        <v>62</v>
      </c>
      <c r="C87" s="71">
        <v>25.0</v>
      </c>
      <c r="D87" s="71" t="s">
        <v>317</v>
      </c>
      <c r="E87" s="71" t="s">
        <v>1215</v>
      </c>
      <c r="F87" s="71" t="s">
        <v>133</v>
      </c>
      <c r="G87" s="71" t="s">
        <v>666</v>
      </c>
      <c r="H87" s="71">
        <v>10.0</v>
      </c>
      <c r="I87" s="71">
        <v>10.0</v>
      </c>
      <c r="J87" s="71">
        <v>31.0</v>
      </c>
      <c r="K87" s="72">
        <f>Difensori!I25</f>
        <v>10</v>
      </c>
      <c r="L87" s="73">
        <f>Difensori!AE25</f>
        <v>6.14</v>
      </c>
      <c r="M87" s="74">
        <f>Difensori!B25</f>
        <v>19.3</v>
      </c>
      <c r="N87" s="71">
        <f>Difensori!A25</f>
        <v>22</v>
      </c>
      <c r="O87" s="71" t="s">
        <v>68</v>
      </c>
      <c r="P87" s="71">
        <v>32.0</v>
      </c>
      <c r="Q87" s="71">
        <v>6.14</v>
      </c>
      <c r="R87" s="71" t="s">
        <v>71</v>
      </c>
      <c r="S87" s="71" t="s">
        <v>304</v>
      </c>
      <c r="T87" s="71" t="str">
        <f>Difensori!K25</f>
        <v>3a fascia</v>
      </c>
      <c r="U87" s="71" t="s">
        <v>70</v>
      </c>
      <c r="V87" s="71">
        <v>2.0</v>
      </c>
      <c r="W87" s="71">
        <f t="shared" si="1"/>
        <v>107</v>
      </c>
      <c r="AC87" s="71" t="s">
        <v>1430</v>
      </c>
      <c r="AD87" s="71" t="s">
        <v>1431</v>
      </c>
      <c r="AE87" s="71" t="s">
        <v>1432</v>
      </c>
    </row>
    <row r="88" ht="15.75" customHeight="1">
      <c r="A88" s="71" t="s">
        <v>458</v>
      </c>
      <c r="B88" s="71" t="s">
        <v>62</v>
      </c>
      <c r="C88" s="71">
        <v>26.0</v>
      </c>
      <c r="D88" s="71" t="s">
        <v>323</v>
      </c>
      <c r="E88" s="71" t="s">
        <v>1241</v>
      </c>
      <c r="F88" s="71" t="s">
        <v>177</v>
      </c>
      <c r="G88" s="71" t="s">
        <v>666</v>
      </c>
      <c r="H88" s="71">
        <v>9.0</v>
      </c>
      <c r="I88" s="71">
        <v>9.0</v>
      </c>
      <c r="J88" s="71">
        <v>30.0</v>
      </c>
      <c r="K88" s="72">
        <f>Difensori!I26</f>
        <v>10</v>
      </c>
      <c r="L88" s="73">
        <f>Difensori!AE26</f>
        <v>6.14</v>
      </c>
      <c r="M88" s="74">
        <f>Difensori!B26</f>
        <v>19.1</v>
      </c>
      <c r="N88" s="71">
        <f>Difensori!A26</f>
        <v>23</v>
      </c>
      <c r="O88" s="71" t="s">
        <v>68</v>
      </c>
      <c r="P88" s="71">
        <v>36.0</v>
      </c>
      <c r="Q88" s="71">
        <v>6.14</v>
      </c>
      <c r="R88" s="71" t="s">
        <v>71</v>
      </c>
      <c r="S88" s="71" t="s">
        <v>179</v>
      </c>
      <c r="T88" s="71" t="str">
        <f>Difensori!K26</f>
        <v>3a fascia</v>
      </c>
      <c r="U88" s="71" t="s">
        <v>70</v>
      </c>
      <c r="V88" s="71">
        <v>2.0</v>
      </c>
      <c r="W88" s="71">
        <f t="shared" si="1"/>
        <v>111</v>
      </c>
      <c r="AC88" s="71" t="s">
        <v>1433</v>
      </c>
      <c r="AD88" s="71" t="s">
        <v>1434</v>
      </c>
      <c r="AE88" s="71" t="s">
        <v>1435</v>
      </c>
    </row>
    <row r="89" ht="15.75" customHeight="1">
      <c r="A89" s="71" t="s">
        <v>1259</v>
      </c>
      <c r="B89" s="71" t="s">
        <v>62</v>
      </c>
      <c r="C89" s="71">
        <v>27.0</v>
      </c>
      <c r="D89" s="71" t="s">
        <v>329</v>
      </c>
      <c r="E89" s="71" t="s">
        <v>1210</v>
      </c>
      <c r="F89" s="71" t="s">
        <v>143</v>
      </c>
      <c r="G89" s="71" t="s">
        <v>666</v>
      </c>
      <c r="H89" s="71">
        <v>8.0</v>
      </c>
      <c r="I89" s="71">
        <v>8.0</v>
      </c>
      <c r="J89" s="71">
        <v>19.0</v>
      </c>
      <c r="K89" s="72">
        <f>Difensori!I27</f>
        <v>7</v>
      </c>
      <c r="L89" s="73">
        <f>Difensori!AE27</f>
        <v>6.3</v>
      </c>
      <c r="M89" s="74">
        <f>Difensori!B27</f>
        <v>18.8</v>
      </c>
      <c r="N89" s="71">
        <f>Difensori!A27</f>
        <v>24</v>
      </c>
      <c r="O89" s="71" t="s">
        <v>68</v>
      </c>
      <c r="P89" s="71">
        <v>35.0</v>
      </c>
      <c r="Q89" s="71">
        <v>6.3</v>
      </c>
      <c r="R89" s="71" t="s">
        <v>71</v>
      </c>
      <c r="S89" s="71" t="s">
        <v>270</v>
      </c>
      <c r="T89" s="71" t="str">
        <f>Difensori!K27</f>
        <v>3a fascia</v>
      </c>
      <c r="U89" s="71" t="s">
        <v>70</v>
      </c>
      <c r="V89" s="71">
        <v>2.0</v>
      </c>
      <c r="W89" s="71">
        <f t="shared" si="1"/>
        <v>191</v>
      </c>
      <c r="AC89" s="71" t="s">
        <v>1436</v>
      </c>
      <c r="AD89" s="71" t="s">
        <v>1437</v>
      </c>
      <c r="AE89" s="71" t="s">
        <v>1438</v>
      </c>
    </row>
    <row r="90" ht="15.75" customHeight="1">
      <c r="A90" s="71" t="s">
        <v>534</v>
      </c>
      <c r="B90" s="71" t="s">
        <v>62</v>
      </c>
      <c r="C90" s="71">
        <v>28.0</v>
      </c>
      <c r="D90" s="71" t="s">
        <v>335</v>
      </c>
      <c r="E90" s="71" t="s">
        <v>1222</v>
      </c>
      <c r="F90" s="71" t="s">
        <v>182</v>
      </c>
      <c r="G90" s="71" t="s">
        <v>666</v>
      </c>
      <c r="H90" s="71">
        <v>8.0</v>
      </c>
      <c r="I90" s="71">
        <v>8.0</v>
      </c>
      <c r="J90" s="71">
        <v>23.0</v>
      </c>
      <c r="K90" s="72">
        <f>Difensori!I28</f>
        <v>8</v>
      </c>
      <c r="L90" s="73">
        <f>Difensori!AE28</f>
        <v>6.1</v>
      </c>
      <c r="M90" s="74">
        <f>Difensori!B28</f>
        <v>18.4</v>
      </c>
      <c r="N90" s="71">
        <f>Difensori!A28</f>
        <v>25</v>
      </c>
      <c r="O90" s="71" t="s">
        <v>68</v>
      </c>
      <c r="P90" s="71">
        <v>31.0</v>
      </c>
      <c r="Q90" s="71">
        <v>6.1</v>
      </c>
      <c r="R90" s="71" t="s">
        <v>71</v>
      </c>
      <c r="S90" s="71" t="s">
        <v>113</v>
      </c>
      <c r="T90" s="71" t="str">
        <f>Difensori!K28</f>
        <v>3a fascia</v>
      </c>
      <c r="U90" s="71" t="s">
        <v>148</v>
      </c>
      <c r="V90" s="71">
        <v>1.0</v>
      </c>
      <c r="W90" s="71">
        <f t="shared" si="1"/>
        <v>150</v>
      </c>
      <c r="AC90" s="71" t="s">
        <v>1439</v>
      </c>
      <c r="AD90" s="71" t="s">
        <v>1440</v>
      </c>
      <c r="AE90" s="71" t="s">
        <v>1441</v>
      </c>
    </row>
    <row r="91" ht="15.75" customHeight="1">
      <c r="A91" s="71" t="s">
        <v>1264</v>
      </c>
      <c r="B91" s="71" t="s">
        <v>62</v>
      </c>
      <c r="C91" s="71">
        <v>29.0</v>
      </c>
      <c r="D91" s="71" t="s">
        <v>339</v>
      </c>
      <c r="E91" s="71" t="s">
        <v>1215</v>
      </c>
      <c r="F91" s="71" t="s">
        <v>133</v>
      </c>
      <c r="G91" s="71" t="s">
        <v>666</v>
      </c>
      <c r="H91" s="71">
        <v>6.0</v>
      </c>
      <c r="I91" s="71">
        <v>6.0</v>
      </c>
      <c r="J91" s="71">
        <v>21.0</v>
      </c>
      <c r="K91" s="72">
        <f>Difensori!I29</f>
        <v>8</v>
      </c>
      <c r="L91" s="73">
        <f>Difensori!AE29</f>
        <v>6.23</v>
      </c>
      <c r="M91" s="74">
        <f>Difensori!B29</f>
        <v>18.2</v>
      </c>
      <c r="N91" s="71">
        <f>Difensori!A29</f>
        <v>26</v>
      </c>
      <c r="O91" s="71" t="s">
        <v>68</v>
      </c>
      <c r="P91" s="71">
        <v>26.0</v>
      </c>
      <c r="Q91" s="71">
        <v>6.23</v>
      </c>
      <c r="R91" s="71" t="s">
        <v>71</v>
      </c>
      <c r="S91" s="71" t="s">
        <v>304</v>
      </c>
      <c r="T91" s="71" t="str">
        <f>Difensori!K29</f>
        <v>3a fascia</v>
      </c>
      <c r="U91" s="71" t="s">
        <v>70</v>
      </c>
      <c r="V91" s="71">
        <v>2.0</v>
      </c>
      <c r="W91" s="71">
        <f t="shared" si="1"/>
        <v>167</v>
      </c>
      <c r="AC91" s="71" t="s">
        <v>1442</v>
      </c>
      <c r="AD91" s="71" t="s">
        <v>1443</v>
      </c>
    </row>
    <row r="92" ht="15.75" customHeight="1">
      <c r="A92" s="71" t="s">
        <v>542</v>
      </c>
      <c r="B92" s="71" t="s">
        <v>62</v>
      </c>
      <c r="C92" s="71">
        <v>30.0</v>
      </c>
      <c r="D92" s="71" t="s">
        <v>347</v>
      </c>
      <c r="E92" s="71" t="s">
        <v>1210</v>
      </c>
      <c r="F92" s="71" t="s">
        <v>143</v>
      </c>
      <c r="G92" s="71" t="s">
        <v>666</v>
      </c>
      <c r="H92" s="71">
        <v>7.0</v>
      </c>
      <c r="I92" s="71">
        <v>6.0</v>
      </c>
      <c r="J92" s="71">
        <v>20.0</v>
      </c>
      <c r="K92" s="72">
        <f>Difensori!I30</f>
        <v>8</v>
      </c>
      <c r="L92" s="73">
        <f>Difensori!AE30</f>
        <v>6.23</v>
      </c>
      <c r="M92" s="74">
        <f>Difensori!B30</f>
        <v>18</v>
      </c>
      <c r="N92" s="71">
        <f>Difensori!A30</f>
        <v>27</v>
      </c>
      <c r="O92" s="71" t="s">
        <v>68</v>
      </c>
      <c r="P92" s="71">
        <v>28.0</v>
      </c>
      <c r="Q92" s="71">
        <v>6.23</v>
      </c>
      <c r="R92" s="71" t="s">
        <v>71</v>
      </c>
      <c r="S92" s="71" t="s">
        <v>270</v>
      </c>
      <c r="T92" s="71" t="str">
        <f>Difensori!K30</f>
        <v>3a fascia</v>
      </c>
      <c r="U92" s="71" t="s">
        <v>348</v>
      </c>
      <c r="V92" s="71">
        <v>0.0</v>
      </c>
      <c r="W92" s="71">
        <f t="shared" si="1"/>
        <v>173</v>
      </c>
      <c r="AC92" s="71" t="s">
        <v>1444</v>
      </c>
      <c r="AD92" s="71" t="s">
        <v>1445</v>
      </c>
    </row>
    <row r="93" ht="15.75" customHeight="1">
      <c r="A93" s="71" t="s">
        <v>1271</v>
      </c>
      <c r="B93" s="71" t="s">
        <v>62</v>
      </c>
      <c r="C93" s="71">
        <v>31.0</v>
      </c>
      <c r="D93" s="71" t="s">
        <v>353</v>
      </c>
      <c r="E93" s="71" t="s">
        <v>1233</v>
      </c>
      <c r="F93" s="71" t="s">
        <v>185</v>
      </c>
      <c r="G93" s="71" t="s">
        <v>666</v>
      </c>
      <c r="H93" s="71">
        <v>8.0</v>
      </c>
      <c r="I93" s="71">
        <v>9.0</v>
      </c>
      <c r="J93" s="71">
        <v>19.0</v>
      </c>
      <c r="K93" s="72">
        <f>Difensori!I31</f>
        <v>7</v>
      </c>
      <c r="L93" s="73">
        <f>Difensori!AE31</f>
        <v>6.24</v>
      </c>
      <c r="M93" s="74">
        <f>Difensori!B31</f>
        <v>17.9</v>
      </c>
      <c r="N93" s="71">
        <f>Difensori!A31</f>
        <v>28</v>
      </c>
      <c r="O93" s="71" t="s">
        <v>68</v>
      </c>
      <c r="P93" s="71">
        <v>27.0</v>
      </c>
      <c r="Q93" s="71">
        <v>6.24</v>
      </c>
      <c r="R93" s="71" t="s">
        <v>71</v>
      </c>
      <c r="S93" s="71" t="s">
        <v>158</v>
      </c>
      <c r="T93" s="71" t="str">
        <f>Difensori!K31</f>
        <v>3a fascia</v>
      </c>
      <c r="U93" s="71" t="s">
        <v>100</v>
      </c>
      <c r="V93" s="71">
        <v>2.0</v>
      </c>
      <c r="W93" s="71">
        <f t="shared" si="1"/>
        <v>191</v>
      </c>
      <c r="AC93" s="71" t="s">
        <v>1446</v>
      </c>
      <c r="AD93" s="71" t="s">
        <v>1447</v>
      </c>
    </row>
    <row r="94" ht="15.75" customHeight="1">
      <c r="A94" s="71" t="s">
        <v>230</v>
      </c>
      <c r="B94" s="71" t="s">
        <v>62</v>
      </c>
      <c r="C94" s="71">
        <v>32.0</v>
      </c>
      <c r="D94" s="71" t="s">
        <v>358</v>
      </c>
      <c r="E94" s="71" t="s">
        <v>1228</v>
      </c>
      <c r="F94" s="71" t="s">
        <v>212</v>
      </c>
      <c r="G94" s="71" t="s">
        <v>666</v>
      </c>
      <c r="H94" s="71">
        <v>7.0</v>
      </c>
      <c r="I94" s="71">
        <v>7.0</v>
      </c>
      <c r="J94" s="71">
        <v>20.0</v>
      </c>
      <c r="K94" s="72">
        <f>Difensori!I32</f>
        <v>8</v>
      </c>
      <c r="L94" s="73">
        <f>Difensori!AE32</f>
        <v>6.21</v>
      </c>
      <c r="M94" s="74">
        <f>Difensori!B32</f>
        <v>17.7</v>
      </c>
      <c r="N94" s="71">
        <f>Difensori!A32</f>
        <v>29</v>
      </c>
      <c r="O94" s="71" t="s">
        <v>68</v>
      </c>
      <c r="P94" s="71">
        <v>26.0</v>
      </c>
      <c r="Q94" s="71">
        <v>6.21</v>
      </c>
      <c r="R94" s="71" t="s">
        <v>71</v>
      </c>
      <c r="S94" s="71" t="s">
        <v>179</v>
      </c>
      <c r="T94" s="71" t="str">
        <f>Difensori!K32</f>
        <v>3a fascia</v>
      </c>
      <c r="U94" s="71" t="s">
        <v>214</v>
      </c>
      <c r="V94" s="71">
        <v>0.0</v>
      </c>
      <c r="W94" s="71">
        <f t="shared" si="1"/>
        <v>173</v>
      </c>
      <c r="AC94" s="71" t="s">
        <v>1448</v>
      </c>
      <c r="AD94" s="71" t="s">
        <v>1449</v>
      </c>
    </row>
    <row r="95" ht="15.75" customHeight="1">
      <c r="A95" s="71" t="s">
        <v>501</v>
      </c>
      <c r="B95" s="71" t="s">
        <v>62</v>
      </c>
      <c r="C95" s="71">
        <v>33.0</v>
      </c>
      <c r="D95" s="71" t="s">
        <v>366</v>
      </c>
      <c r="E95" s="71" t="s">
        <v>1207</v>
      </c>
      <c r="F95" s="71" t="s">
        <v>93</v>
      </c>
      <c r="G95" s="71" t="s">
        <v>666</v>
      </c>
      <c r="H95" s="71">
        <v>8.0</v>
      </c>
      <c r="I95" s="71">
        <v>8.0</v>
      </c>
      <c r="J95" s="71">
        <v>16.0</v>
      </c>
      <c r="K95" s="72">
        <f>Difensori!I33</f>
        <v>7</v>
      </c>
      <c r="L95" s="73">
        <f>Difensori!AE33</f>
        <v>6.27</v>
      </c>
      <c r="M95" s="74">
        <f>Difensori!B33</f>
        <v>17.6</v>
      </c>
      <c r="N95" s="71">
        <f>Difensori!A33</f>
        <v>30</v>
      </c>
      <c r="O95" s="71" t="s">
        <v>68</v>
      </c>
      <c r="P95" s="71">
        <v>32.0</v>
      </c>
      <c r="Q95" s="71">
        <v>6.27</v>
      </c>
      <c r="R95" s="71" t="s">
        <v>71</v>
      </c>
      <c r="S95" s="71" t="s">
        <v>230</v>
      </c>
      <c r="T95" s="71" t="str">
        <f>Difensori!K33</f>
        <v>3a fascia</v>
      </c>
      <c r="U95" s="71" t="s">
        <v>100</v>
      </c>
      <c r="V95" s="71">
        <v>2.0</v>
      </c>
      <c r="W95" s="71">
        <f t="shared" si="1"/>
        <v>215</v>
      </c>
      <c r="AC95" s="71" t="s">
        <v>1450</v>
      </c>
      <c r="AD95" s="71" t="s">
        <v>1451</v>
      </c>
    </row>
    <row r="96" ht="15.75" customHeight="1">
      <c r="A96" s="71" t="s">
        <v>1277</v>
      </c>
      <c r="B96" s="71" t="s">
        <v>62</v>
      </c>
      <c r="C96" s="71">
        <v>34.0</v>
      </c>
      <c r="D96" s="71" t="s">
        <v>372</v>
      </c>
      <c r="E96" s="71" t="s">
        <v>1256</v>
      </c>
      <c r="F96" s="71" t="s">
        <v>283</v>
      </c>
      <c r="G96" s="71" t="s">
        <v>666</v>
      </c>
      <c r="H96" s="71">
        <v>8.0</v>
      </c>
      <c r="I96" s="71">
        <v>8.0</v>
      </c>
      <c r="J96" s="71">
        <v>26.0</v>
      </c>
      <c r="K96" s="72">
        <f>Difensori!I34</f>
        <v>9</v>
      </c>
      <c r="L96" s="73">
        <f>Difensori!AE34</f>
        <v>6.1</v>
      </c>
      <c r="M96" s="74">
        <f>Difensori!B34</f>
        <v>17.4</v>
      </c>
      <c r="N96" s="71">
        <f>Difensori!A34</f>
        <v>31</v>
      </c>
      <c r="O96" s="71" t="s">
        <v>68</v>
      </c>
      <c r="P96" s="71">
        <v>25.0</v>
      </c>
      <c r="Q96" s="71">
        <v>6.1</v>
      </c>
      <c r="R96" s="71" t="s">
        <v>71</v>
      </c>
      <c r="S96" s="71" t="s">
        <v>288</v>
      </c>
      <c r="T96" s="71" t="str">
        <f>Difensori!K34</f>
        <v>3a fascia</v>
      </c>
      <c r="U96" s="71" t="s">
        <v>214</v>
      </c>
      <c r="V96" s="71">
        <v>0.0</v>
      </c>
      <c r="W96" s="71">
        <f t="shared" si="1"/>
        <v>129</v>
      </c>
      <c r="AC96" s="71" t="s">
        <v>1453</v>
      </c>
      <c r="AD96" s="71" t="s">
        <v>1454</v>
      </c>
    </row>
    <row r="97" ht="15.75" customHeight="1">
      <c r="A97" s="71" t="s">
        <v>528</v>
      </c>
      <c r="B97" s="71" t="s">
        <v>62</v>
      </c>
      <c r="C97" s="71">
        <v>35.0</v>
      </c>
      <c r="D97" s="71" t="s">
        <v>376</v>
      </c>
      <c r="E97" s="71" t="s">
        <v>1209</v>
      </c>
      <c r="F97" s="71" t="s">
        <v>64</v>
      </c>
      <c r="G97" s="71" t="s">
        <v>666</v>
      </c>
      <c r="H97" s="71">
        <v>7.0</v>
      </c>
      <c r="I97" s="71">
        <v>6.0</v>
      </c>
      <c r="J97" s="71">
        <v>20.0</v>
      </c>
      <c r="K97" s="72">
        <f>Difensori!I35</f>
        <v>8</v>
      </c>
      <c r="L97" s="73">
        <f>Difensori!AE35</f>
        <v>6.16</v>
      </c>
      <c r="M97" s="74">
        <f>Difensori!B35</f>
        <v>16.9</v>
      </c>
      <c r="N97" s="71">
        <f>Difensori!A35</f>
        <v>32</v>
      </c>
      <c r="O97" s="71" t="s">
        <v>332</v>
      </c>
      <c r="P97" s="71">
        <v>28.0</v>
      </c>
      <c r="Q97" s="71">
        <v>6.16</v>
      </c>
      <c r="R97" s="71" t="s">
        <v>71</v>
      </c>
      <c r="S97" s="71" t="s">
        <v>85</v>
      </c>
      <c r="T97" s="71" t="str">
        <f>Difensori!K35</f>
        <v>3a fascia</v>
      </c>
      <c r="U97" s="71" t="s">
        <v>333</v>
      </c>
      <c r="V97" s="71">
        <v>0.0</v>
      </c>
      <c r="W97" s="71">
        <f t="shared" si="1"/>
        <v>173</v>
      </c>
      <c r="AC97" s="71" t="s">
        <v>1455</v>
      </c>
      <c r="AD97" s="71" t="s">
        <v>1456</v>
      </c>
    </row>
    <row r="98" ht="15.75" customHeight="1">
      <c r="A98" s="71" t="s">
        <v>568</v>
      </c>
      <c r="B98" s="71" t="s">
        <v>62</v>
      </c>
      <c r="C98" s="71">
        <v>36.0</v>
      </c>
      <c r="D98" s="71" t="s">
        <v>381</v>
      </c>
      <c r="E98" s="71" t="s">
        <v>1205</v>
      </c>
      <c r="F98" s="71" t="s">
        <v>60</v>
      </c>
      <c r="G98" s="71" t="s">
        <v>666</v>
      </c>
      <c r="H98" s="71">
        <v>5.0</v>
      </c>
      <c r="I98" s="71">
        <v>4.0</v>
      </c>
      <c r="J98" s="71">
        <v>14.0</v>
      </c>
      <c r="K98" s="72">
        <f>Difensori!I36</f>
        <v>6</v>
      </c>
      <c r="L98" s="73">
        <f>Difensori!AE36</f>
        <v>6.26</v>
      </c>
      <c r="M98" s="74">
        <f>Difensori!B36</f>
        <v>16.9</v>
      </c>
      <c r="N98" s="71">
        <f>Difensori!A36</f>
        <v>32</v>
      </c>
      <c r="O98" s="71" t="s">
        <v>332</v>
      </c>
      <c r="P98" s="71">
        <v>19.0</v>
      </c>
      <c r="Q98" s="71">
        <v>6.5</v>
      </c>
      <c r="R98" s="71" t="s">
        <v>71</v>
      </c>
      <c r="S98" s="71" t="s">
        <v>245</v>
      </c>
      <c r="T98" s="71" t="str">
        <f>Difensori!K36</f>
        <v>4a fascia</v>
      </c>
      <c r="U98" s="71" t="s">
        <v>309</v>
      </c>
      <c r="V98" s="71">
        <v>0.0</v>
      </c>
      <c r="W98" s="71">
        <f t="shared" si="1"/>
        <v>248</v>
      </c>
      <c r="AC98" s="71" t="s">
        <v>1458</v>
      </c>
      <c r="AD98" s="71" t="s">
        <v>1459</v>
      </c>
    </row>
    <row r="99" ht="15.75" customHeight="1">
      <c r="A99" s="71" t="s">
        <v>520</v>
      </c>
      <c r="B99" s="71" t="s">
        <v>62</v>
      </c>
      <c r="C99" s="71">
        <v>37.0</v>
      </c>
      <c r="D99" s="71" t="s">
        <v>385</v>
      </c>
      <c r="E99" s="71" t="s">
        <v>1213</v>
      </c>
      <c r="F99" s="71" t="s">
        <v>175</v>
      </c>
      <c r="G99" s="71" t="s">
        <v>666</v>
      </c>
      <c r="H99" s="71">
        <v>12.0</v>
      </c>
      <c r="I99" s="71">
        <v>13.0</v>
      </c>
      <c r="J99" s="71">
        <v>31.0</v>
      </c>
      <c r="K99" s="72">
        <f>Difensori!I37</f>
        <v>10</v>
      </c>
      <c r="L99" s="73">
        <f>Difensori!AE37</f>
        <v>5.95</v>
      </c>
      <c r="M99" s="74">
        <f>Difensori!B37</f>
        <v>16.3</v>
      </c>
      <c r="N99" s="71">
        <f>Difensori!A37</f>
        <v>34</v>
      </c>
      <c r="O99" s="71" t="s">
        <v>68</v>
      </c>
      <c r="P99" s="71">
        <v>31.0</v>
      </c>
      <c r="Q99" s="71">
        <v>5.95</v>
      </c>
      <c r="R99" s="71" t="s">
        <v>71</v>
      </c>
      <c r="S99" s="71" t="s">
        <v>196</v>
      </c>
      <c r="T99" s="71" t="str">
        <f>Difensori!K37</f>
        <v>3a fascia</v>
      </c>
      <c r="U99" s="71" t="s">
        <v>100</v>
      </c>
      <c r="V99" s="71">
        <v>2.0</v>
      </c>
      <c r="W99" s="71">
        <f t="shared" si="1"/>
        <v>107</v>
      </c>
      <c r="AC99" s="71" t="s">
        <v>1460</v>
      </c>
      <c r="AD99" s="71" t="s">
        <v>1461</v>
      </c>
    </row>
    <row r="100" ht="15.75" customHeight="1">
      <c r="A100" s="71" t="s">
        <v>1284</v>
      </c>
      <c r="B100" s="71" t="s">
        <v>62</v>
      </c>
      <c r="C100" s="71">
        <v>38.0</v>
      </c>
      <c r="D100" s="71" t="s">
        <v>389</v>
      </c>
      <c r="E100" s="71" t="s">
        <v>1213</v>
      </c>
      <c r="F100" s="71" t="s">
        <v>175</v>
      </c>
      <c r="G100" s="71" t="s">
        <v>666</v>
      </c>
      <c r="H100" s="71">
        <v>8.0</v>
      </c>
      <c r="I100" s="71">
        <v>8.0</v>
      </c>
      <c r="J100" s="71">
        <v>22.0</v>
      </c>
      <c r="K100" s="72">
        <f>Difensori!I38</f>
        <v>8</v>
      </c>
      <c r="L100" s="73">
        <f>Difensori!AE38</f>
        <v>6.05</v>
      </c>
      <c r="M100" s="74">
        <f>Difensori!B38</f>
        <v>15.7</v>
      </c>
      <c r="N100" s="71">
        <f>Difensori!A38</f>
        <v>35</v>
      </c>
      <c r="O100" s="71" t="s">
        <v>68</v>
      </c>
      <c r="P100" s="71">
        <v>31.0</v>
      </c>
      <c r="Q100" s="71">
        <v>6.05</v>
      </c>
      <c r="R100" s="71" t="s">
        <v>71</v>
      </c>
      <c r="S100" s="71" t="s">
        <v>196</v>
      </c>
      <c r="T100" s="71" t="str">
        <f>Difensori!K38</f>
        <v>3a fascia</v>
      </c>
      <c r="U100" s="71" t="s">
        <v>70</v>
      </c>
      <c r="V100" s="71">
        <v>2.0</v>
      </c>
      <c r="W100" s="71">
        <f t="shared" si="1"/>
        <v>159</v>
      </c>
      <c r="AC100" s="71" t="s">
        <v>1462</v>
      </c>
      <c r="AD100" s="71" t="s">
        <v>1463</v>
      </c>
    </row>
    <row r="101" ht="15.75" customHeight="1">
      <c r="A101" s="71" t="s">
        <v>1288</v>
      </c>
      <c r="B101" s="71" t="s">
        <v>62</v>
      </c>
      <c r="C101" s="71">
        <v>39.0</v>
      </c>
      <c r="D101" s="71" t="s">
        <v>394</v>
      </c>
      <c r="E101" s="71" t="s">
        <v>1233</v>
      </c>
      <c r="F101" s="71" t="s">
        <v>185</v>
      </c>
      <c r="G101" s="71" t="s">
        <v>666</v>
      </c>
      <c r="H101" s="71">
        <v>4.0</v>
      </c>
      <c r="I101" s="71">
        <v>4.0</v>
      </c>
      <c r="J101" s="71">
        <v>12.0</v>
      </c>
      <c r="K101" s="72">
        <f>Difensori!I39</f>
        <v>6</v>
      </c>
      <c r="L101" s="73">
        <f>Difensori!AE39</f>
        <v>6.18</v>
      </c>
      <c r="M101" s="74">
        <f>Difensori!B39</f>
        <v>15.2</v>
      </c>
      <c r="N101" s="71">
        <f>Difensori!A39</f>
        <v>36</v>
      </c>
      <c r="O101" s="71" t="s">
        <v>68</v>
      </c>
      <c r="P101" s="71">
        <v>28.0</v>
      </c>
      <c r="Q101" s="71">
        <v>6.18</v>
      </c>
      <c r="R101" s="71" t="s">
        <v>71</v>
      </c>
      <c r="S101" s="71" t="s">
        <v>158</v>
      </c>
      <c r="T101" s="71" t="str">
        <f>Difensori!K39</f>
        <v>4a fascia</v>
      </c>
      <c r="U101" s="71" t="s">
        <v>146</v>
      </c>
      <c r="V101" s="71">
        <v>0.0</v>
      </c>
      <c r="W101" s="71">
        <f t="shared" si="1"/>
        <v>282</v>
      </c>
      <c r="AC101" s="71" t="s">
        <v>1464</v>
      </c>
      <c r="AD101" s="71" t="s">
        <v>1465</v>
      </c>
    </row>
    <row r="102" ht="15.75" customHeight="1">
      <c r="A102" s="71" t="s">
        <v>557</v>
      </c>
      <c r="B102" s="71" t="s">
        <v>62</v>
      </c>
      <c r="C102" s="71">
        <v>40.0</v>
      </c>
      <c r="D102" s="71" t="s">
        <v>398</v>
      </c>
      <c r="E102" s="71" t="s">
        <v>1210</v>
      </c>
      <c r="F102" s="71" t="s">
        <v>143</v>
      </c>
      <c r="G102" s="71" t="s">
        <v>666</v>
      </c>
      <c r="H102" s="71">
        <v>6.0</v>
      </c>
      <c r="I102" s="71">
        <v>6.0</v>
      </c>
      <c r="J102" s="71">
        <v>18.0</v>
      </c>
      <c r="K102" s="72">
        <f>Difensori!I40</f>
        <v>7</v>
      </c>
      <c r="L102" s="73">
        <f>Difensori!AE40</f>
        <v>6.08</v>
      </c>
      <c r="M102" s="74">
        <f>Difensori!B40</f>
        <v>15.1</v>
      </c>
      <c r="N102" s="71">
        <f>Difensori!A40</f>
        <v>37</v>
      </c>
      <c r="O102" s="71" t="s">
        <v>226</v>
      </c>
      <c r="P102" s="71">
        <v>22.0</v>
      </c>
      <c r="Q102" s="71">
        <v>6.16</v>
      </c>
      <c r="R102" s="71" t="s">
        <v>71</v>
      </c>
      <c r="S102" s="71" t="s">
        <v>270</v>
      </c>
      <c r="T102" s="71" t="str">
        <f>Difensori!K40</f>
        <v>3a fascia</v>
      </c>
      <c r="U102" s="71" t="s">
        <v>301</v>
      </c>
      <c r="V102" s="71">
        <v>1.0</v>
      </c>
      <c r="W102" s="71">
        <f t="shared" si="1"/>
        <v>200</v>
      </c>
      <c r="AC102" s="71" t="s">
        <v>1466</v>
      </c>
      <c r="AD102" s="71" t="s">
        <v>1467</v>
      </c>
    </row>
    <row r="103" ht="15.75" customHeight="1">
      <c r="A103" s="71" t="s">
        <v>1296</v>
      </c>
      <c r="B103" s="71" t="s">
        <v>62</v>
      </c>
      <c r="C103" s="71">
        <v>41.0</v>
      </c>
      <c r="D103" s="71" t="s">
        <v>405</v>
      </c>
      <c r="E103" s="71" t="s">
        <v>1256</v>
      </c>
      <c r="F103" s="71" t="s">
        <v>283</v>
      </c>
      <c r="G103" s="71" t="s">
        <v>666</v>
      </c>
      <c r="H103" s="71">
        <v>8.0</v>
      </c>
      <c r="I103" s="71">
        <v>8.0</v>
      </c>
      <c r="J103" s="71">
        <v>21.0</v>
      </c>
      <c r="K103" s="72">
        <f>Difensori!I41</f>
        <v>8</v>
      </c>
      <c r="L103" s="73">
        <f>Difensori!AE41</f>
        <v>6.01</v>
      </c>
      <c r="M103" s="74">
        <f>Difensori!B41</f>
        <v>14.8</v>
      </c>
      <c r="N103" s="71">
        <f>Difensori!A41</f>
        <v>38</v>
      </c>
      <c r="O103" s="71" t="s">
        <v>68</v>
      </c>
      <c r="P103" s="71">
        <v>35.0</v>
      </c>
      <c r="Q103" s="71">
        <v>6.01</v>
      </c>
      <c r="R103" s="71" t="s">
        <v>71</v>
      </c>
      <c r="S103" s="71" t="s">
        <v>288</v>
      </c>
      <c r="T103" s="71" t="str">
        <f>Difensori!K41</f>
        <v>3a fascia</v>
      </c>
      <c r="U103" s="71" t="s">
        <v>70</v>
      </c>
      <c r="V103" s="71">
        <v>2.0</v>
      </c>
      <c r="W103" s="71">
        <f t="shared" si="1"/>
        <v>167</v>
      </c>
      <c r="AC103" s="71" t="s">
        <v>1468</v>
      </c>
      <c r="AD103" s="71" t="s">
        <v>1469</v>
      </c>
    </row>
    <row r="104" ht="15.75" customHeight="1">
      <c r="A104" s="71" t="s">
        <v>304</v>
      </c>
      <c r="B104" s="71" t="s">
        <v>62</v>
      </c>
      <c r="C104" s="71">
        <v>42.0</v>
      </c>
      <c r="D104" s="71" t="s">
        <v>410</v>
      </c>
      <c r="E104" s="71" t="s">
        <v>1225</v>
      </c>
      <c r="F104" s="71" t="s">
        <v>208</v>
      </c>
      <c r="G104" s="71" t="s">
        <v>666</v>
      </c>
      <c r="H104" s="71">
        <v>10.0</v>
      </c>
      <c r="I104" s="71">
        <v>9.0</v>
      </c>
      <c r="J104" s="71">
        <v>20.0</v>
      </c>
      <c r="K104" s="72">
        <f>Difensori!I42</f>
        <v>8</v>
      </c>
      <c r="L104" s="73">
        <f>Difensori!AE42</f>
        <v>6.03</v>
      </c>
      <c r="M104" s="74">
        <f>Difensori!B42</f>
        <v>14.8</v>
      </c>
      <c r="N104" s="71">
        <f>Difensori!A42</f>
        <v>38</v>
      </c>
      <c r="O104" s="71" t="s">
        <v>68</v>
      </c>
      <c r="P104" s="71">
        <v>36.0</v>
      </c>
      <c r="Q104" s="71">
        <v>6.03</v>
      </c>
      <c r="R104" s="71" t="s">
        <v>71</v>
      </c>
      <c r="S104" s="71" t="s">
        <v>412</v>
      </c>
      <c r="T104" s="71" t="str">
        <f>Difensori!K42</f>
        <v>3a fascia</v>
      </c>
      <c r="U104" s="71" t="s">
        <v>148</v>
      </c>
      <c r="V104" s="71">
        <v>1.0</v>
      </c>
      <c r="W104" s="71">
        <f t="shared" si="1"/>
        <v>173</v>
      </c>
      <c r="AC104" s="71" t="s">
        <v>1470</v>
      </c>
      <c r="AD104" s="71" t="s">
        <v>1471</v>
      </c>
    </row>
    <row r="105" ht="15.75" customHeight="1">
      <c r="A105" s="71" t="s">
        <v>288</v>
      </c>
      <c r="B105" s="71" t="s">
        <v>62</v>
      </c>
      <c r="C105" s="71">
        <v>43.0</v>
      </c>
      <c r="D105" s="71" t="s">
        <v>415</v>
      </c>
      <c r="E105" s="71" t="s">
        <v>1236</v>
      </c>
      <c r="F105" s="71" t="s">
        <v>232</v>
      </c>
      <c r="G105" s="71" t="s">
        <v>666</v>
      </c>
      <c r="H105" s="71">
        <v>7.0</v>
      </c>
      <c r="I105" s="71">
        <v>8.0</v>
      </c>
      <c r="J105" s="71">
        <v>20.0</v>
      </c>
      <c r="K105" s="72">
        <f>Difensori!I43</f>
        <v>8</v>
      </c>
      <c r="L105" s="73">
        <f>Difensori!AE43</f>
        <v>6.01</v>
      </c>
      <c r="M105" s="74">
        <f>Difensori!B43</f>
        <v>14.5</v>
      </c>
      <c r="N105" s="71">
        <f>Difensori!A43</f>
        <v>40</v>
      </c>
      <c r="O105" s="71" t="s">
        <v>68</v>
      </c>
      <c r="P105" s="71">
        <v>36.0</v>
      </c>
      <c r="Q105" s="71">
        <v>6.01</v>
      </c>
      <c r="R105" s="71" t="s">
        <v>71</v>
      </c>
      <c r="S105" s="71" t="s">
        <v>417</v>
      </c>
      <c r="T105" s="71" t="str">
        <f>Difensori!K43</f>
        <v>3a fascia</v>
      </c>
      <c r="U105" s="71" t="s">
        <v>70</v>
      </c>
      <c r="V105" s="71">
        <v>2.0</v>
      </c>
      <c r="W105" s="71">
        <f t="shared" si="1"/>
        <v>173</v>
      </c>
      <c r="AC105" s="71" t="s">
        <v>1472</v>
      </c>
      <c r="AD105" s="71" t="s">
        <v>1473</v>
      </c>
    </row>
    <row r="106" ht="15.75" customHeight="1">
      <c r="A106" s="71" t="s">
        <v>1304</v>
      </c>
      <c r="B106" s="71" t="s">
        <v>62</v>
      </c>
      <c r="C106" s="71">
        <v>44.0</v>
      </c>
      <c r="D106" s="71" t="s">
        <v>420</v>
      </c>
      <c r="E106" s="71" t="s">
        <v>1241</v>
      </c>
      <c r="F106" s="71" t="s">
        <v>177</v>
      </c>
      <c r="G106" s="71" t="s">
        <v>666</v>
      </c>
      <c r="H106" s="71">
        <v>8.0</v>
      </c>
      <c r="I106" s="71">
        <v>8.0</v>
      </c>
      <c r="J106" s="71">
        <v>15.0</v>
      </c>
      <c r="K106" s="72">
        <f>Difensori!I44</f>
        <v>6</v>
      </c>
      <c r="L106" s="73">
        <f>Difensori!AE44</f>
        <v>6.09</v>
      </c>
      <c r="M106" s="74">
        <f>Difensori!B44</f>
        <v>14.5</v>
      </c>
      <c r="N106" s="71">
        <f>Difensori!A44</f>
        <v>40</v>
      </c>
      <c r="O106" s="71" t="s">
        <v>68</v>
      </c>
      <c r="P106" s="71">
        <v>27.0</v>
      </c>
      <c r="Q106" s="71">
        <v>6.09</v>
      </c>
      <c r="R106" s="71" t="s">
        <v>71</v>
      </c>
      <c r="S106" s="71" t="s">
        <v>179</v>
      </c>
      <c r="T106" s="71" t="str">
        <f>Difensori!K44</f>
        <v>4a fascia</v>
      </c>
      <c r="U106" s="71" t="s">
        <v>70</v>
      </c>
      <c r="V106" s="71">
        <v>2.0</v>
      </c>
      <c r="W106" s="71">
        <f t="shared" si="1"/>
        <v>224</v>
      </c>
      <c r="AC106" s="71" t="s">
        <v>1474</v>
      </c>
      <c r="AD106" s="71" t="s">
        <v>1475</v>
      </c>
    </row>
    <row r="107" ht="15.75" customHeight="1">
      <c r="A107" s="71" t="s">
        <v>549</v>
      </c>
      <c r="B107" s="71" t="s">
        <v>62</v>
      </c>
      <c r="C107" s="71">
        <v>45.0</v>
      </c>
      <c r="D107" s="71" t="s">
        <v>424</v>
      </c>
      <c r="E107" s="71" t="s">
        <v>1222</v>
      </c>
      <c r="F107" s="71" t="s">
        <v>182</v>
      </c>
      <c r="G107" s="71" t="s">
        <v>666</v>
      </c>
      <c r="H107" s="71">
        <v>5.0</v>
      </c>
      <c r="I107" s="71">
        <v>6.0</v>
      </c>
      <c r="J107" s="71">
        <v>13.0</v>
      </c>
      <c r="K107" s="72">
        <f>Difensori!I45</f>
        <v>6</v>
      </c>
      <c r="L107" s="73">
        <f>Difensori!AE45</f>
        <v>6.1</v>
      </c>
      <c r="M107" s="74">
        <f>Difensori!B45</f>
        <v>14.2</v>
      </c>
      <c r="N107" s="71">
        <f>Difensori!A45</f>
        <v>42</v>
      </c>
      <c r="O107" s="71" t="s">
        <v>226</v>
      </c>
      <c r="P107" s="71">
        <v>16.0</v>
      </c>
      <c r="Q107" s="71">
        <v>6.44</v>
      </c>
      <c r="R107" s="71" t="s">
        <v>71</v>
      </c>
      <c r="S107" s="71" t="s">
        <v>113</v>
      </c>
      <c r="T107" s="71" t="str">
        <f>Difensori!K45</f>
        <v>4a fascia</v>
      </c>
      <c r="U107" s="71" t="s">
        <v>300</v>
      </c>
      <c r="V107" s="71">
        <v>2.0</v>
      </c>
      <c r="W107" s="71">
        <f t="shared" si="1"/>
        <v>262</v>
      </c>
      <c r="AC107" s="71" t="s">
        <v>1477</v>
      </c>
      <c r="AD107" s="71" t="s">
        <v>1478</v>
      </c>
    </row>
    <row r="108" ht="15.75" customHeight="1">
      <c r="A108" s="71" t="s">
        <v>245</v>
      </c>
      <c r="B108" s="71" t="s">
        <v>62</v>
      </c>
      <c r="C108" s="71">
        <v>46.0</v>
      </c>
      <c r="D108" s="71" t="s">
        <v>427</v>
      </c>
      <c r="E108" s="71" t="s">
        <v>1219</v>
      </c>
      <c r="F108" s="71" t="s">
        <v>195</v>
      </c>
      <c r="G108" s="71" t="s">
        <v>666</v>
      </c>
      <c r="H108" s="71">
        <v>6.0</v>
      </c>
      <c r="I108" s="71">
        <v>6.0</v>
      </c>
      <c r="J108" s="71">
        <v>20.0</v>
      </c>
      <c r="K108" s="72">
        <f>Difensori!I46</f>
        <v>8</v>
      </c>
      <c r="L108" s="73">
        <f>Difensori!AE46</f>
        <v>5.97</v>
      </c>
      <c r="M108" s="74">
        <f>Difensori!B46</f>
        <v>13.9</v>
      </c>
      <c r="N108" s="71">
        <f>Difensori!A46</f>
        <v>43</v>
      </c>
      <c r="O108" s="71" t="s">
        <v>226</v>
      </c>
      <c r="P108" s="71">
        <v>33.0</v>
      </c>
      <c r="Q108" s="71">
        <v>5.97</v>
      </c>
      <c r="R108" s="71" t="s">
        <v>71</v>
      </c>
      <c r="S108" s="71" t="s">
        <v>432</v>
      </c>
      <c r="T108" s="71" t="str">
        <f>Difensori!K46</f>
        <v>3a fascia</v>
      </c>
      <c r="U108" s="71" t="s">
        <v>314</v>
      </c>
      <c r="V108" s="71">
        <v>1.0</v>
      </c>
      <c r="W108" s="71">
        <f t="shared" si="1"/>
        <v>173</v>
      </c>
      <c r="AC108" s="71" t="s">
        <v>1479</v>
      </c>
      <c r="AD108" s="71" t="s">
        <v>1480</v>
      </c>
    </row>
    <row r="109" ht="15.75" customHeight="1">
      <c r="A109" s="71" t="s">
        <v>1310</v>
      </c>
      <c r="B109" s="71" t="s">
        <v>62</v>
      </c>
      <c r="C109" s="71">
        <v>47.0</v>
      </c>
      <c r="D109" s="71" t="s">
        <v>436</v>
      </c>
      <c r="E109" s="71" t="s">
        <v>1243</v>
      </c>
      <c r="F109" s="71" t="s">
        <v>253</v>
      </c>
      <c r="G109" s="71" t="s">
        <v>666</v>
      </c>
      <c r="H109" s="71">
        <v>6.0</v>
      </c>
      <c r="I109" s="71">
        <v>6.0</v>
      </c>
      <c r="J109" s="71">
        <v>13.0</v>
      </c>
      <c r="K109" s="72">
        <f>Difensori!I47</f>
        <v>6</v>
      </c>
      <c r="L109" s="73">
        <f>Difensori!AE47</f>
        <v>6.08</v>
      </c>
      <c r="M109" s="74">
        <f>Difensori!B47</f>
        <v>13.9</v>
      </c>
      <c r="N109" s="71">
        <f>Difensori!A47</f>
        <v>43</v>
      </c>
      <c r="O109" s="71" t="s">
        <v>68</v>
      </c>
      <c r="P109" s="71">
        <v>16.0</v>
      </c>
      <c r="Q109" s="71">
        <v>6.41</v>
      </c>
      <c r="R109" s="71" t="s">
        <v>71</v>
      </c>
      <c r="S109" s="71" t="s">
        <v>438</v>
      </c>
      <c r="T109" s="71" t="str">
        <f>Difensori!K47</f>
        <v>4a fascia</v>
      </c>
      <c r="U109" s="71" t="s">
        <v>294</v>
      </c>
      <c r="V109" s="71">
        <v>1.0</v>
      </c>
      <c r="W109" s="71">
        <f t="shared" si="1"/>
        <v>262</v>
      </c>
      <c r="AC109" s="71" t="s">
        <v>1481</v>
      </c>
      <c r="AD109" s="71" t="s">
        <v>1482</v>
      </c>
    </row>
    <row r="110" ht="15.75" customHeight="1">
      <c r="A110" s="71" t="s">
        <v>621</v>
      </c>
      <c r="B110" s="71" t="s">
        <v>62</v>
      </c>
      <c r="C110" s="71">
        <v>48.0</v>
      </c>
      <c r="D110" s="71" t="s">
        <v>442</v>
      </c>
      <c r="E110" s="71" t="s">
        <v>1207</v>
      </c>
      <c r="F110" s="71" t="s">
        <v>93</v>
      </c>
      <c r="G110" s="71" t="s">
        <v>666</v>
      </c>
      <c r="H110" s="71">
        <v>9.0</v>
      </c>
      <c r="I110" s="71">
        <v>8.0</v>
      </c>
      <c r="J110" s="71">
        <v>18.0</v>
      </c>
      <c r="K110" s="72">
        <f>Difensori!I48</f>
        <v>7</v>
      </c>
      <c r="L110" s="73">
        <f>Difensori!AE48</f>
        <v>5.99</v>
      </c>
      <c r="M110" s="74">
        <f>Difensori!B48</f>
        <v>13.7</v>
      </c>
      <c r="N110" s="71">
        <f>Difensori!A48</f>
        <v>45</v>
      </c>
      <c r="O110" s="71" t="s">
        <v>68</v>
      </c>
      <c r="P110" s="71">
        <v>36.0</v>
      </c>
      <c r="Q110" s="71">
        <v>5.99</v>
      </c>
      <c r="R110" s="71" t="s">
        <v>71</v>
      </c>
      <c r="S110" s="71" t="s">
        <v>230</v>
      </c>
      <c r="T110" s="71" t="str">
        <f>Difensori!K48</f>
        <v>3a fascia</v>
      </c>
      <c r="U110" s="71" t="s">
        <v>148</v>
      </c>
      <c r="V110" s="71">
        <v>1.0</v>
      </c>
      <c r="W110" s="71">
        <f t="shared" si="1"/>
        <v>200</v>
      </c>
      <c r="AC110" s="71" t="s">
        <v>1484</v>
      </c>
      <c r="AD110" s="71" t="s">
        <v>1485</v>
      </c>
    </row>
    <row r="111" ht="15.75" customHeight="1">
      <c r="A111" s="71" t="s">
        <v>654</v>
      </c>
      <c r="B111" s="71" t="s">
        <v>62</v>
      </c>
      <c r="C111" s="71">
        <v>49.0</v>
      </c>
      <c r="D111" s="71" t="s">
        <v>445</v>
      </c>
      <c r="E111" s="71" t="s">
        <v>1217</v>
      </c>
      <c r="F111" s="71" t="s">
        <v>191</v>
      </c>
      <c r="G111" s="71" t="s">
        <v>666</v>
      </c>
      <c r="H111" s="71">
        <v>6.0</v>
      </c>
      <c r="I111" s="71">
        <v>6.0</v>
      </c>
      <c r="J111" s="71">
        <v>12.0</v>
      </c>
      <c r="K111" s="72">
        <f>Difensori!I49</f>
        <v>6</v>
      </c>
      <c r="L111" s="73">
        <f>Difensori!AE49</f>
        <v>6.08</v>
      </c>
      <c r="M111" s="74">
        <f>Difensori!B49</f>
        <v>13.6</v>
      </c>
      <c r="N111" s="71">
        <f>Difensori!A49</f>
        <v>46</v>
      </c>
      <c r="O111" s="71" t="s">
        <v>226</v>
      </c>
      <c r="P111" s="71">
        <v>22.0</v>
      </c>
      <c r="Q111" s="71">
        <v>6.16</v>
      </c>
      <c r="R111" s="71" t="s">
        <v>71</v>
      </c>
      <c r="S111" s="71" t="s">
        <v>432</v>
      </c>
      <c r="T111" s="71" t="str">
        <f>Difensori!K49</f>
        <v>4a fascia</v>
      </c>
      <c r="U111" s="71" t="s">
        <v>281</v>
      </c>
      <c r="V111" s="71">
        <v>0.0</v>
      </c>
      <c r="W111" s="71">
        <f t="shared" si="1"/>
        <v>282</v>
      </c>
      <c r="AC111" s="71" t="s">
        <v>1486</v>
      </c>
      <c r="AD111" s="71" t="s">
        <v>1487</v>
      </c>
    </row>
    <row r="112" ht="15.75" customHeight="1">
      <c r="A112" s="71" t="s">
        <v>665</v>
      </c>
      <c r="B112" s="71" t="s">
        <v>62</v>
      </c>
      <c r="C112" s="71">
        <v>50.0</v>
      </c>
      <c r="D112" s="71" t="s">
        <v>449</v>
      </c>
      <c r="E112" s="71" t="s">
        <v>1207</v>
      </c>
      <c r="F112" s="71" t="s">
        <v>93</v>
      </c>
      <c r="G112" s="71" t="s">
        <v>666</v>
      </c>
      <c r="H112" s="71">
        <v>5.0</v>
      </c>
      <c r="I112" s="71">
        <v>5.0</v>
      </c>
      <c r="J112" s="71">
        <v>12.0</v>
      </c>
      <c r="K112" s="72">
        <f>Difensori!I50</f>
        <v>6</v>
      </c>
      <c r="L112" s="73">
        <f>Difensori!AE50</f>
        <v>6.07</v>
      </c>
      <c r="M112" s="74">
        <f>Difensori!B50</f>
        <v>13.5</v>
      </c>
      <c r="N112" s="71">
        <f>Difensori!A50</f>
        <v>47</v>
      </c>
      <c r="O112" s="71" t="s">
        <v>226</v>
      </c>
      <c r="P112" s="71">
        <v>35.0</v>
      </c>
      <c r="Q112" s="71">
        <v>6.07</v>
      </c>
      <c r="R112" s="71" t="s">
        <v>71</v>
      </c>
      <c r="S112" s="71" t="s">
        <v>230</v>
      </c>
      <c r="T112" s="71" t="str">
        <f>Difensori!K50</f>
        <v>4a fascia</v>
      </c>
      <c r="U112" s="71" t="s">
        <v>277</v>
      </c>
      <c r="V112" s="71">
        <v>2.0</v>
      </c>
      <c r="W112" s="71">
        <f t="shared" si="1"/>
        <v>282</v>
      </c>
      <c r="AC112" s="71" t="s">
        <v>1488</v>
      </c>
      <c r="AD112" s="71" t="s">
        <v>1489</v>
      </c>
    </row>
    <row r="113" ht="15.75" customHeight="1">
      <c r="A113" s="71" t="s">
        <v>1318</v>
      </c>
      <c r="B113" s="71" t="s">
        <v>62</v>
      </c>
      <c r="C113" s="71">
        <v>51.0</v>
      </c>
      <c r="D113" s="71" t="s">
        <v>454</v>
      </c>
      <c r="E113" s="71" t="s">
        <v>1233</v>
      </c>
      <c r="F113" s="71" t="s">
        <v>185</v>
      </c>
      <c r="G113" s="71" t="s">
        <v>666</v>
      </c>
      <c r="H113" s="71">
        <v>4.0</v>
      </c>
      <c r="I113" s="71">
        <v>4.0</v>
      </c>
      <c r="J113" s="71">
        <v>10.0</v>
      </c>
      <c r="K113" s="72">
        <f>Difensori!I51</f>
        <v>5</v>
      </c>
      <c r="L113" s="73">
        <f>Difensori!AE51</f>
        <v>6.1</v>
      </c>
      <c r="M113" s="74">
        <f>Difensori!B51</f>
        <v>13.4</v>
      </c>
      <c r="N113" s="71">
        <f>Difensori!A51</f>
        <v>48</v>
      </c>
      <c r="O113" s="71" t="s">
        <v>226</v>
      </c>
      <c r="P113" s="71">
        <v>19.0</v>
      </c>
      <c r="Q113" s="71">
        <v>6.29</v>
      </c>
      <c r="R113" s="71" t="s">
        <v>71</v>
      </c>
      <c r="S113" s="71" t="s">
        <v>458</v>
      </c>
      <c r="T113" s="71" t="str">
        <f>Difensori!K51</f>
        <v>4a fascia</v>
      </c>
      <c r="U113" s="71" t="s">
        <v>457</v>
      </c>
      <c r="V113" s="71">
        <v>0.0</v>
      </c>
      <c r="W113" s="71">
        <f t="shared" si="1"/>
        <v>342</v>
      </c>
      <c r="AC113" s="71" t="s">
        <v>1490</v>
      </c>
      <c r="AD113" s="71" t="s">
        <v>1491</v>
      </c>
    </row>
    <row r="114" ht="15.75" customHeight="1">
      <c r="A114" s="71" t="s">
        <v>1321</v>
      </c>
      <c r="B114" s="71" t="s">
        <v>62</v>
      </c>
      <c r="C114" s="71">
        <v>52.0</v>
      </c>
      <c r="D114" s="71" t="s">
        <v>461</v>
      </c>
      <c r="E114" s="71" t="s">
        <v>1219</v>
      </c>
      <c r="F114" s="71" t="s">
        <v>195</v>
      </c>
      <c r="G114" s="71" t="s">
        <v>666</v>
      </c>
      <c r="H114" s="71">
        <v>7.0</v>
      </c>
      <c r="I114" s="71">
        <v>6.0</v>
      </c>
      <c r="J114" s="71">
        <v>20.0</v>
      </c>
      <c r="K114" s="72">
        <f>Difensori!I52</f>
        <v>8</v>
      </c>
      <c r="L114" s="73">
        <f>Difensori!AE52</f>
        <v>5.92</v>
      </c>
      <c r="M114" s="74">
        <f>Difensori!B52</f>
        <v>13.1</v>
      </c>
      <c r="N114" s="71">
        <f>Difensori!A52</f>
        <v>49</v>
      </c>
      <c r="O114" s="71" t="s">
        <v>68</v>
      </c>
      <c r="P114" s="71">
        <v>32.0</v>
      </c>
      <c r="Q114" s="71">
        <v>5.92</v>
      </c>
      <c r="R114" s="71" t="s">
        <v>71</v>
      </c>
      <c r="S114" s="71" t="s">
        <v>463</v>
      </c>
      <c r="T114" s="71" t="str">
        <f>Difensori!K52</f>
        <v>3a fascia</v>
      </c>
      <c r="U114" s="71" t="s">
        <v>146</v>
      </c>
      <c r="V114" s="71">
        <v>0.0</v>
      </c>
      <c r="W114" s="71">
        <f t="shared" si="1"/>
        <v>173</v>
      </c>
      <c r="AC114" s="71" t="s">
        <v>1492</v>
      </c>
      <c r="AD114" s="71" t="s">
        <v>1493</v>
      </c>
    </row>
    <row r="115" ht="15.75" customHeight="1">
      <c r="A115" s="71" t="s">
        <v>696</v>
      </c>
      <c r="B115" s="71" t="s">
        <v>62</v>
      </c>
      <c r="C115" s="71">
        <v>53.0</v>
      </c>
      <c r="D115" s="71" t="s">
        <v>467</v>
      </c>
      <c r="E115" s="71" t="s">
        <v>1243</v>
      </c>
      <c r="F115" s="71" t="s">
        <v>253</v>
      </c>
      <c r="G115" s="71" t="s">
        <v>666</v>
      </c>
      <c r="H115" s="71">
        <v>7.0</v>
      </c>
      <c r="I115" s="71">
        <v>7.0</v>
      </c>
      <c r="J115" s="71">
        <v>19.0</v>
      </c>
      <c r="K115" s="72">
        <f>Difensori!I53</f>
        <v>7</v>
      </c>
      <c r="L115" s="73">
        <f>Difensori!AE53</f>
        <v>5.9</v>
      </c>
      <c r="M115" s="74">
        <f>Difensori!B53</f>
        <v>12.6</v>
      </c>
      <c r="N115" s="71">
        <f>Difensori!A53</f>
        <v>50</v>
      </c>
      <c r="O115" s="71" t="s">
        <v>68</v>
      </c>
      <c r="P115" s="71">
        <v>35.0</v>
      </c>
      <c r="Q115" s="71">
        <v>5.9</v>
      </c>
      <c r="R115" s="71" t="s">
        <v>71</v>
      </c>
      <c r="S115" s="71" t="s">
        <v>469</v>
      </c>
      <c r="T115" s="71" t="str">
        <f>Difensori!K53</f>
        <v>3a fascia</v>
      </c>
      <c r="U115" s="71" t="s">
        <v>148</v>
      </c>
      <c r="V115" s="71">
        <v>1.0</v>
      </c>
      <c r="W115" s="71">
        <f t="shared" si="1"/>
        <v>191</v>
      </c>
      <c r="AC115" s="71" t="s">
        <v>1495</v>
      </c>
      <c r="AD115" s="71" t="s">
        <v>1496</v>
      </c>
    </row>
    <row r="116" ht="15.75" customHeight="1">
      <c r="A116" s="71" t="s">
        <v>723</v>
      </c>
      <c r="B116" s="71" t="s">
        <v>62</v>
      </c>
      <c r="C116" s="71">
        <v>54.0</v>
      </c>
      <c r="D116" s="71" t="s">
        <v>472</v>
      </c>
      <c r="E116" s="71" t="s">
        <v>1213</v>
      </c>
      <c r="F116" s="71" t="s">
        <v>175</v>
      </c>
      <c r="G116" s="71" t="s">
        <v>666</v>
      </c>
      <c r="H116" s="71">
        <v>3.0</v>
      </c>
      <c r="I116" s="71">
        <v>5.0</v>
      </c>
      <c r="J116" s="71">
        <v>20.0</v>
      </c>
      <c r="K116" s="72">
        <f>Difensori!I54</f>
        <v>8</v>
      </c>
      <c r="L116" s="73">
        <f>Difensori!AE54</f>
        <v>5.88</v>
      </c>
      <c r="M116" s="74">
        <f>Difensori!B54</f>
        <v>12.5</v>
      </c>
      <c r="N116" s="71">
        <f>Difensori!A54</f>
        <v>51</v>
      </c>
      <c r="O116" s="71" t="s">
        <v>226</v>
      </c>
      <c r="P116" s="71">
        <v>24.0</v>
      </c>
      <c r="Q116" s="71">
        <v>5.9</v>
      </c>
      <c r="R116" s="71" t="s">
        <v>71</v>
      </c>
      <c r="S116" s="71" t="s">
        <v>469</v>
      </c>
      <c r="T116" s="71" t="str">
        <f>Difensori!K54</f>
        <v>3a fascia</v>
      </c>
      <c r="U116" s="71" t="s">
        <v>277</v>
      </c>
      <c r="V116" s="71">
        <v>2.0</v>
      </c>
      <c r="W116" s="71">
        <f t="shared" si="1"/>
        <v>173</v>
      </c>
      <c r="AC116" s="71" t="s">
        <v>1497</v>
      </c>
      <c r="AD116" s="71" t="s">
        <v>1498</v>
      </c>
    </row>
    <row r="117" ht="15.75" customHeight="1">
      <c r="A117" s="71" t="s">
        <v>646</v>
      </c>
      <c r="B117" s="71" t="s">
        <v>62</v>
      </c>
      <c r="C117" s="71">
        <v>55.0</v>
      </c>
      <c r="D117" s="71" t="s">
        <v>478</v>
      </c>
      <c r="E117" s="71" t="s">
        <v>1222</v>
      </c>
      <c r="F117" s="71" t="s">
        <v>182</v>
      </c>
      <c r="G117" s="71" t="s">
        <v>666</v>
      </c>
      <c r="H117" s="71">
        <v>6.0</v>
      </c>
      <c r="I117" s="71">
        <v>7.0</v>
      </c>
      <c r="J117" s="71">
        <v>19.0</v>
      </c>
      <c r="K117" s="72">
        <f>Difensori!I55</f>
        <v>7</v>
      </c>
      <c r="L117" s="73">
        <f>Difensori!AE55</f>
        <v>5.89</v>
      </c>
      <c r="M117" s="74">
        <f>Difensori!B55</f>
        <v>12.4</v>
      </c>
      <c r="N117" s="71">
        <f>Difensori!A55</f>
        <v>52</v>
      </c>
      <c r="O117" s="71" t="s">
        <v>68</v>
      </c>
      <c r="P117" s="71">
        <v>28.0</v>
      </c>
      <c r="Q117" s="71">
        <v>5.89</v>
      </c>
      <c r="R117" s="71" t="s">
        <v>71</v>
      </c>
      <c r="S117" s="71" t="s">
        <v>481</v>
      </c>
      <c r="T117" s="71" t="str">
        <f>Difensori!K55</f>
        <v>3a fascia</v>
      </c>
      <c r="U117" s="71" t="s">
        <v>70</v>
      </c>
      <c r="V117" s="71">
        <v>2.0</v>
      </c>
      <c r="W117" s="71">
        <f t="shared" si="1"/>
        <v>191</v>
      </c>
      <c r="AC117" s="71" t="s">
        <v>1499</v>
      </c>
      <c r="AD117" s="71" t="s">
        <v>1500</v>
      </c>
    </row>
    <row r="118" ht="15.75" customHeight="1">
      <c r="A118" s="71" t="s">
        <v>1328</v>
      </c>
      <c r="B118" s="71" t="s">
        <v>62</v>
      </c>
      <c r="C118" s="71">
        <v>56.0</v>
      </c>
      <c r="D118" s="71" t="s">
        <v>485</v>
      </c>
      <c r="E118" s="71" t="s">
        <v>1236</v>
      </c>
      <c r="F118" s="71" t="s">
        <v>232</v>
      </c>
      <c r="G118" s="71" t="s">
        <v>666</v>
      </c>
      <c r="H118" s="71">
        <v>6.0</v>
      </c>
      <c r="I118" s="71">
        <v>6.0</v>
      </c>
      <c r="J118" s="71">
        <v>12.0</v>
      </c>
      <c r="K118" s="72">
        <f>Difensori!I56</f>
        <v>6</v>
      </c>
      <c r="L118" s="73">
        <f>Difensori!AE56</f>
        <v>5.99</v>
      </c>
      <c r="M118" s="74">
        <f>Difensori!B56</f>
        <v>12.2</v>
      </c>
      <c r="N118" s="71">
        <f>Difensori!A56</f>
        <v>53</v>
      </c>
      <c r="O118" s="71" t="s">
        <v>68</v>
      </c>
      <c r="P118" s="71">
        <v>37.0</v>
      </c>
      <c r="Q118" s="71">
        <v>5.99</v>
      </c>
      <c r="R118" s="71" t="s">
        <v>71</v>
      </c>
      <c r="S118" s="71" t="s">
        <v>417</v>
      </c>
      <c r="T118" s="71" t="str">
        <f>Difensori!K56</f>
        <v>4a fascia</v>
      </c>
      <c r="U118" s="71" t="s">
        <v>148</v>
      </c>
      <c r="V118" s="71">
        <v>1.0</v>
      </c>
      <c r="W118" s="71">
        <f t="shared" si="1"/>
        <v>282</v>
      </c>
      <c r="AC118" s="71" t="s">
        <v>1501</v>
      </c>
      <c r="AD118" s="71" t="s">
        <v>1502</v>
      </c>
    </row>
    <row r="119" ht="15.75" customHeight="1">
      <c r="A119" s="71" t="s">
        <v>1331</v>
      </c>
      <c r="B119" s="71" t="s">
        <v>62</v>
      </c>
      <c r="C119" s="71">
        <v>57.0</v>
      </c>
      <c r="D119" s="71" t="s">
        <v>488</v>
      </c>
      <c r="E119" s="71" t="s">
        <v>1219</v>
      </c>
      <c r="F119" s="71" t="s">
        <v>195</v>
      </c>
      <c r="G119" s="71" t="s">
        <v>666</v>
      </c>
      <c r="H119" s="71">
        <v>6.0</v>
      </c>
      <c r="I119" s="71">
        <v>7.0</v>
      </c>
      <c r="J119" s="71">
        <v>25.0</v>
      </c>
      <c r="K119" s="72">
        <f>Difensori!I57</f>
        <v>9</v>
      </c>
      <c r="L119" s="73">
        <f>Difensori!AE57</f>
        <v>5.76</v>
      </c>
      <c r="M119" s="74">
        <f>Difensori!B57</f>
        <v>11.9</v>
      </c>
      <c r="N119" s="71">
        <f>Difensori!A57</f>
        <v>54</v>
      </c>
      <c r="O119" s="71" t="s">
        <v>68</v>
      </c>
      <c r="P119" s="71">
        <v>22.0</v>
      </c>
      <c r="Q119" s="71">
        <v>5.8</v>
      </c>
      <c r="R119" s="71" t="s">
        <v>71</v>
      </c>
      <c r="S119" s="71" t="s">
        <v>491</v>
      </c>
      <c r="T119" s="71" t="str">
        <f>Difensori!K57</f>
        <v>3a fascia</v>
      </c>
      <c r="U119" s="71" t="s">
        <v>148</v>
      </c>
      <c r="V119" s="71">
        <v>1.0</v>
      </c>
      <c r="W119" s="71">
        <f t="shared" si="1"/>
        <v>133</v>
      </c>
      <c r="AC119" s="71" t="s">
        <v>1504</v>
      </c>
      <c r="AD119" s="71" t="s">
        <v>1505</v>
      </c>
    </row>
    <row r="120" ht="15.75" customHeight="1">
      <c r="A120" s="71" t="s">
        <v>1335</v>
      </c>
      <c r="B120" s="71" t="s">
        <v>62</v>
      </c>
      <c r="C120" s="71">
        <v>58.0</v>
      </c>
      <c r="D120" s="71" t="s">
        <v>494</v>
      </c>
      <c r="E120" s="71" t="s">
        <v>1207</v>
      </c>
      <c r="F120" s="71" t="s">
        <v>93</v>
      </c>
      <c r="G120" s="71" t="s">
        <v>666</v>
      </c>
      <c r="H120" s="71">
        <v>8.0</v>
      </c>
      <c r="I120" s="71">
        <v>7.0</v>
      </c>
      <c r="J120" s="71">
        <v>17.0</v>
      </c>
      <c r="K120" s="72">
        <f>Difensori!I58</f>
        <v>7</v>
      </c>
      <c r="L120" s="73">
        <f>Difensori!AE58</f>
        <v>5.89</v>
      </c>
      <c r="M120" s="74">
        <f>Difensori!B58</f>
        <v>11.9</v>
      </c>
      <c r="N120" s="71">
        <f>Difensori!A58</f>
        <v>54</v>
      </c>
      <c r="O120" s="71" t="s">
        <v>226</v>
      </c>
      <c r="P120" s="71">
        <v>28.0</v>
      </c>
      <c r="Q120" s="71">
        <v>5.89</v>
      </c>
      <c r="R120" s="71" t="s">
        <v>71</v>
      </c>
      <c r="S120" s="71" t="s">
        <v>230</v>
      </c>
      <c r="T120" s="71" t="str">
        <f>Difensori!K58</f>
        <v>3a fascia</v>
      </c>
      <c r="U120" s="71" t="s">
        <v>495</v>
      </c>
      <c r="V120" s="71">
        <v>1.0</v>
      </c>
      <c r="W120" s="71">
        <f t="shared" si="1"/>
        <v>208</v>
      </c>
      <c r="AC120" s="71" t="s">
        <v>1506</v>
      </c>
      <c r="AD120" s="71" t="s">
        <v>1507</v>
      </c>
    </row>
    <row r="121" ht="15.75" customHeight="1">
      <c r="A121" s="71" t="s">
        <v>636</v>
      </c>
      <c r="B121" s="71" t="s">
        <v>62</v>
      </c>
      <c r="C121" s="71">
        <v>59.0</v>
      </c>
      <c r="D121" s="71" t="s">
        <v>499</v>
      </c>
      <c r="E121" s="71" t="s">
        <v>1228</v>
      </c>
      <c r="F121" s="71" t="s">
        <v>212</v>
      </c>
      <c r="G121" s="71" t="s">
        <v>666</v>
      </c>
      <c r="H121" s="71">
        <v>7.0</v>
      </c>
      <c r="I121" s="71">
        <v>7.0</v>
      </c>
      <c r="J121" s="71">
        <v>14.0</v>
      </c>
      <c r="K121" s="72">
        <f>Difensori!I59</f>
        <v>6</v>
      </c>
      <c r="L121" s="73">
        <f>Difensori!AE59</f>
        <v>5.91</v>
      </c>
      <c r="M121" s="74">
        <f>Difensori!B59</f>
        <v>11.5</v>
      </c>
      <c r="N121" s="71">
        <f>Difensori!A59</f>
        <v>56</v>
      </c>
      <c r="O121" s="71" t="s">
        <v>68</v>
      </c>
      <c r="P121" s="71">
        <v>35.0</v>
      </c>
      <c r="Q121" s="71">
        <v>5.91</v>
      </c>
      <c r="R121" s="71" t="s">
        <v>71</v>
      </c>
      <c r="S121" s="71" t="s">
        <v>501</v>
      </c>
      <c r="T121" s="71" t="str">
        <f>Difensori!K59</f>
        <v>4a fascia</v>
      </c>
      <c r="U121" s="71" t="s">
        <v>70</v>
      </c>
      <c r="V121" s="71">
        <v>2.0</v>
      </c>
      <c r="W121" s="71">
        <f t="shared" si="1"/>
        <v>248</v>
      </c>
      <c r="AC121" s="71" t="s">
        <v>1508</v>
      </c>
      <c r="AD121" s="71" t="s">
        <v>1509</v>
      </c>
    </row>
    <row r="122" ht="15.75" customHeight="1">
      <c r="A122" s="71" t="s">
        <v>739</v>
      </c>
      <c r="B122" s="71" t="s">
        <v>62</v>
      </c>
      <c r="C122" s="71">
        <v>60.0</v>
      </c>
      <c r="D122" s="71" t="s">
        <v>503</v>
      </c>
      <c r="E122" s="71" t="s">
        <v>1217</v>
      </c>
      <c r="F122" s="71" t="s">
        <v>191</v>
      </c>
      <c r="G122" s="71" t="s">
        <v>666</v>
      </c>
      <c r="H122" s="71">
        <v>7.0</v>
      </c>
      <c r="I122" s="71">
        <v>6.0</v>
      </c>
      <c r="J122" s="71">
        <v>15.0</v>
      </c>
      <c r="K122" s="72">
        <f>Difensori!I60</f>
        <v>6</v>
      </c>
      <c r="L122" s="73">
        <f>Difensori!AE60</f>
        <v>5.88</v>
      </c>
      <c r="M122" s="74">
        <f>Difensori!B60</f>
        <v>11.3</v>
      </c>
      <c r="N122" s="71">
        <f>Difensori!A60</f>
        <v>57</v>
      </c>
      <c r="O122" s="71" t="s">
        <v>226</v>
      </c>
      <c r="P122" s="71">
        <v>32.0</v>
      </c>
      <c r="Q122" s="71">
        <v>5.88</v>
      </c>
      <c r="R122" s="71" t="s">
        <v>71</v>
      </c>
      <c r="S122" s="71" t="s">
        <v>491</v>
      </c>
      <c r="T122" s="71" t="str">
        <f>Difensori!K60</f>
        <v>4a fascia</v>
      </c>
      <c r="U122" s="71" t="s">
        <v>457</v>
      </c>
      <c r="V122" s="71">
        <v>0.0</v>
      </c>
      <c r="W122" s="71">
        <f t="shared" si="1"/>
        <v>224</v>
      </c>
      <c r="AC122" s="71" t="s">
        <v>1510</v>
      </c>
      <c r="AD122" s="71" t="s">
        <v>1511</v>
      </c>
    </row>
    <row r="123" ht="15.75" customHeight="1">
      <c r="A123" s="71" t="s">
        <v>1341</v>
      </c>
      <c r="B123" s="71" t="s">
        <v>62</v>
      </c>
      <c r="C123" s="71">
        <v>61.0</v>
      </c>
      <c r="D123" s="71" t="s">
        <v>508</v>
      </c>
      <c r="E123" s="71" t="s">
        <v>1207</v>
      </c>
      <c r="F123" s="71" t="s">
        <v>93</v>
      </c>
      <c r="G123" s="71" t="s">
        <v>666</v>
      </c>
      <c r="H123" s="71">
        <v>4.0</v>
      </c>
      <c r="I123" s="71">
        <v>4.0</v>
      </c>
      <c r="J123" s="71">
        <v>10.0</v>
      </c>
      <c r="K123" s="72">
        <f>Difensori!I61</f>
        <v>5</v>
      </c>
      <c r="L123" s="73">
        <f>Difensori!AE61</f>
        <v>5.96</v>
      </c>
      <c r="M123" s="74">
        <f>Difensori!B61</f>
        <v>11.3</v>
      </c>
      <c r="N123" s="71">
        <f>Difensori!A61</f>
        <v>57</v>
      </c>
      <c r="O123" s="71" t="s">
        <v>332</v>
      </c>
      <c r="P123" s="71">
        <v>16.0</v>
      </c>
      <c r="Q123" s="71">
        <v>6.22</v>
      </c>
      <c r="R123" s="71" t="s">
        <v>71</v>
      </c>
      <c r="S123" s="71" t="s">
        <v>230</v>
      </c>
      <c r="T123" s="71" t="str">
        <f>Difensori!K61</f>
        <v>4a fascia</v>
      </c>
      <c r="U123" s="71" t="s">
        <v>333</v>
      </c>
      <c r="V123" s="71">
        <v>0.0</v>
      </c>
      <c r="W123" s="71">
        <f t="shared" si="1"/>
        <v>342</v>
      </c>
      <c r="AC123" s="71" t="s">
        <v>1512</v>
      </c>
      <c r="AD123" s="71" t="s">
        <v>1513</v>
      </c>
    </row>
    <row r="124" ht="15.75" customHeight="1">
      <c r="A124" s="71" t="s">
        <v>630</v>
      </c>
      <c r="B124" s="71" t="s">
        <v>62</v>
      </c>
      <c r="C124" s="71">
        <v>62.0</v>
      </c>
      <c r="D124" s="71" t="s">
        <v>513</v>
      </c>
      <c r="E124" s="71" t="s">
        <v>1225</v>
      </c>
      <c r="F124" s="71" t="s">
        <v>208</v>
      </c>
      <c r="G124" s="71" t="s">
        <v>666</v>
      </c>
      <c r="H124" s="71">
        <v>5.0</v>
      </c>
      <c r="I124" s="71">
        <v>4.0</v>
      </c>
      <c r="J124" s="71">
        <v>10.0</v>
      </c>
      <c r="K124" s="72">
        <f>Difensori!I62</f>
        <v>5</v>
      </c>
      <c r="L124" s="73">
        <f>Difensori!AE62</f>
        <v>5.94</v>
      </c>
      <c r="M124" s="74">
        <f>Difensori!B62</f>
        <v>10.9</v>
      </c>
      <c r="N124" s="71">
        <f>Difensori!A62</f>
        <v>59</v>
      </c>
      <c r="O124" s="71" t="s">
        <v>226</v>
      </c>
      <c r="P124" s="71">
        <v>23.0</v>
      </c>
      <c r="Q124" s="71">
        <v>5.98</v>
      </c>
      <c r="R124" s="71" t="s">
        <v>71</v>
      </c>
      <c r="S124" s="71" t="s">
        <v>412</v>
      </c>
      <c r="T124" s="71" t="str">
        <f>Difensori!K62</f>
        <v>4a fascia</v>
      </c>
      <c r="U124" s="71" t="s">
        <v>457</v>
      </c>
      <c r="V124" s="71">
        <v>0.0</v>
      </c>
      <c r="W124" s="71">
        <f t="shared" si="1"/>
        <v>342</v>
      </c>
      <c r="AC124" s="71" t="s">
        <v>1514</v>
      </c>
      <c r="AD124" s="71" t="s">
        <v>1515</v>
      </c>
    </row>
    <row r="125" ht="15.75" customHeight="1">
      <c r="A125" s="71" t="s">
        <v>583</v>
      </c>
      <c r="B125" s="71" t="s">
        <v>62</v>
      </c>
      <c r="C125" s="71">
        <v>63.0</v>
      </c>
      <c r="D125" s="71" t="s">
        <v>518</v>
      </c>
      <c r="E125" s="71" t="s">
        <v>1209</v>
      </c>
      <c r="F125" s="71" t="s">
        <v>64</v>
      </c>
      <c r="G125" s="71" t="s">
        <v>666</v>
      </c>
      <c r="H125" s="71">
        <v>12.0</v>
      </c>
      <c r="I125" s="71">
        <v>11.0</v>
      </c>
      <c r="J125" s="71">
        <v>37.0</v>
      </c>
      <c r="K125" s="72">
        <f>Difensori!I63</f>
        <v>11</v>
      </c>
      <c r="L125" s="73">
        <f>Difensori!AE63</f>
        <v>5.5</v>
      </c>
      <c r="M125" s="74">
        <f>Difensori!B63</f>
        <v>10.8</v>
      </c>
      <c r="N125" s="71">
        <f>Difensori!A63</f>
        <v>60</v>
      </c>
      <c r="O125" s="71" t="s">
        <v>226</v>
      </c>
      <c r="P125" s="71">
        <v>0.0</v>
      </c>
      <c r="R125" s="71" t="s">
        <v>71</v>
      </c>
      <c r="S125" s="71" t="s">
        <v>520</v>
      </c>
      <c r="T125" s="71" t="str">
        <f>Difensori!K63</f>
        <v>3a fascia</v>
      </c>
      <c r="U125" s="71" t="s">
        <v>227</v>
      </c>
      <c r="V125" s="71">
        <v>0.0</v>
      </c>
      <c r="W125" s="71">
        <f t="shared" si="1"/>
        <v>90</v>
      </c>
      <c r="AC125" s="71" t="s">
        <v>1516</v>
      </c>
      <c r="AD125" s="71" t="s">
        <v>1517</v>
      </c>
    </row>
    <row r="126" ht="15.75" customHeight="1">
      <c r="A126" s="71" t="s">
        <v>1349</v>
      </c>
      <c r="B126" s="71" t="s">
        <v>62</v>
      </c>
      <c r="C126" s="71">
        <v>64.0</v>
      </c>
      <c r="D126" s="71" t="s">
        <v>523</v>
      </c>
      <c r="E126" s="71" t="s">
        <v>1228</v>
      </c>
      <c r="F126" s="71" t="s">
        <v>212</v>
      </c>
      <c r="G126" s="71" t="s">
        <v>666</v>
      </c>
      <c r="H126" s="71">
        <v>7.0</v>
      </c>
      <c r="I126" s="71">
        <v>7.0</v>
      </c>
      <c r="J126" s="71">
        <v>13.0</v>
      </c>
      <c r="K126" s="72">
        <f>Difensori!I64</f>
        <v>6</v>
      </c>
      <c r="L126" s="73">
        <f>Difensori!AE64</f>
        <v>5.88</v>
      </c>
      <c r="M126" s="74">
        <f>Difensori!B64</f>
        <v>10.8</v>
      </c>
      <c r="N126" s="71">
        <f>Difensori!A64</f>
        <v>60</v>
      </c>
      <c r="O126" s="71" t="s">
        <v>68</v>
      </c>
      <c r="P126" s="71">
        <v>24.0</v>
      </c>
      <c r="Q126" s="71">
        <v>5.9</v>
      </c>
      <c r="R126" s="71" t="s">
        <v>71</v>
      </c>
      <c r="S126" s="71" t="s">
        <v>501</v>
      </c>
      <c r="T126" s="71" t="str">
        <f>Difensori!K64</f>
        <v>4a fascia</v>
      </c>
      <c r="U126" s="71" t="s">
        <v>70</v>
      </c>
      <c r="V126" s="71">
        <v>2.0</v>
      </c>
      <c r="W126" s="71">
        <f t="shared" si="1"/>
        <v>262</v>
      </c>
      <c r="AC126" s="71" t="s">
        <v>1518</v>
      </c>
      <c r="AD126" s="71" t="s">
        <v>1519</v>
      </c>
    </row>
    <row r="127" ht="15.75" customHeight="1">
      <c r="A127" s="71" t="s">
        <v>1353</v>
      </c>
      <c r="B127" s="71" t="s">
        <v>62</v>
      </c>
      <c r="C127" s="71">
        <v>65.0</v>
      </c>
      <c r="D127" s="71" t="s">
        <v>526</v>
      </c>
      <c r="E127" s="71" t="s">
        <v>1213</v>
      </c>
      <c r="F127" s="71" t="s">
        <v>175</v>
      </c>
      <c r="G127" s="71" t="s">
        <v>666</v>
      </c>
      <c r="H127" s="71">
        <v>7.0</v>
      </c>
      <c r="I127" s="71">
        <v>7.0</v>
      </c>
      <c r="J127" s="71">
        <v>15.0</v>
      </c>
      <c r="K127" s="72">
        <f>Difensori!I65</f>
        <v>6</v>
      </c>
      <c r="L127" s="73">
        <f>Difensori!AE65</f>
        <v>5.84</v>
      </c>
      <c r="M127" s="74">
        <f>Difensori!B65</f>
        <v>10.6</v>
      </c>
      <c r="N127" s="71">
        <f>Difensori!A65</f>
        <v>62</v>
      </c>
      <c r="O127" s="71" t="s">
        <v>68</v>
      </c>
      <c r="P127" s="71">
        <v>29.0</v>
      </c>
      <c r="Q127" s="71">
        <v>5.84</v>
      </c>
      <c r="R127" s="71" t="s">
        <v>71</v>
      </c>
      <c r="S127" s="71" t="s">
        <v>528</v>
      </c>
      <c r="T127" s="71" t="str">
        <f>Difensori!K65</f>
        <v>4a fascia</v>
      </c>
      <c r="U127" s="71" t="s">
        <v>148</v>
      </c>
      <c r="V127" s="71">
        <v>1.0</v>
      </c>
      <c r="W127" s="71">
        <f t="shared" si="1"/>
        <v>224</v>
      </c>
      <c r="AC127" s="71" t="s">
        <v>1521</v>
      </c>
      <c r="AD127" s="71" t="s">
        <v>1522</v>
      </c>
    </row>
    <row r="128" ht="15.75" customHeight="1">
      <c r="A128" s="71" t="s">
        <v>1357</v>
      </c>
      <c r="B128" s="71" t="s">
        <v>62</v>
      </c>
      <c r="C128" s="71">
        <v>66.0</v>
      </c>
      <c r="D128" s="71" t="s">
        <v>532</v>
      </c>
      <c r="E128" s="71" t="s">
        <v>1210</v>
      </c>
      <c r="F128" s="71" t="s">
        <v>143</v>
      </c>
      <c r="G128" s="71" t="s">
        <v>666</v>
      </c>
      <c r="H128" s="71">
        <v>3.0</v>
      </c>
      <c r="I128" s="71">
        <v>4.0</v>
      </c>
      <c r="J128" s="71">
        <v>12.0</v>
      </c>
      <c r="K128" s="72">
        <f>Difensori!I66</f>
        <v>6</v>
      </c>
      <c r="L128" s="73">
        <f>Difensori!AE66</f>
        <v>5.88</v>
      </c>
      <c r="M128" s="74">
        <f>Difensori!B66</f>
        <v>10.5</v>
      </c>
      <c r="N128" s="71">
        <f>Difensori!A66</f>
        <v>63</v>
      </c>
      <c r="O128" s="71" t="s">
        <v>332</v>
      </c>
      <c r="P128" s="71">
        <v>16.0</v>
      </c>
      <c r="Q128" s="71">
        <v>6.09</v>
      </c>
      <c r="R128" s="71" t="s">
        <v>71</v>
      </c>
      <c r="S128" s="71" t="s">
        <v>534</v>
      </c>
      <c r="T128" s="71" t="str">
        <f>Difensori!K66</f>
        <v>4a fascia</v>
      </c>
      <c r="U128" s="71" t="s">
        <v>392</v>
      </c>
      <c r="V128" s="71">
        <v>2.0</v>
      </c>
      <c r="W128" s="71">
        <f t="shared" si="1"/>
        <v>282</v>
      </c>
      <c r="AC128" s="71" t="s">
        <v>1523</v>
      </c>
      <c r="AD128" s="71" t="s">
        <v>1524</v>
      </c>
    </row>
    <row r="129" ht="15.75" customHeight="1">
      <c r="A129" s="71" t="s">
        <v>1361</v>
      </c>
      <c r="B129" s="71" t="s">
        <v>62</v>
      </c>
      <c r="C129" s="71">
        <v>67.0</v>
      </c>
      <c r="D129" s="71" t="s">
        <v>536</v>
      </c>
      <c r="E129" s="71" t="s">
        <v>1241</v>
      </c>
      <c r="F129" s="71" t="s">
        <v>177</v>
      </c>
      <c r="G129" s="71" t="s">
        <v>666</v>
      </c>
      <c r="H129" s="71">
        <v>6.0</v>
      </c>
      <c r="I129" s="71">
        <v>6.0</v>
      </c>
      <c r="J129" s="71">
        <v>14.0</v>
      </c>
      <c r="K129" s="72">
        <f>Difensori!I67</f>
        <v>6</v>
      </c>
      <c r="L129" s="73">
        <f>Difensori!AE67</f>
        <v>5.84</v>
      </c>
      <c r="M129" s="74">
        <f>Difensori!B67</f>
        <v>10.4</v>
      </c>
      <c r="N129" s="71">
        <f>Difensori!A67</f>
        <v>64</v>
      </c>
      <c r="O129" s="71" t="s">
        <v>68</v>
      </c>
      <c r="P129" s="71">
        <v>31.0</v>
      </c>
      <c r="Q129" s="71">
        <v>5.84</v>
      </c>
      <c r="R129" s="71" t="s">
        <v>71</v>
      </c>
      <c r="S129" s="71" t="s">
        <v>501</v>
      </c>
      <c r="T129" s="71" t="str">
        <f>Difensori!K67</f>
        <v>4a fascia</v>
      </c>
      <c r="U129" s="71" t="s">
        <v>70</v>
      </c>
      <c r="V129" s="71">
        <v>2.0</v>
      </c>
      <c r="W129" s="71">
        <f t="shared" si="1"/>
        <v>248</v>
      </c>
      <c r="AC129" s="71" t="s">
        <v>1526</v>
      </c>
      <c r="AD129" s="71" t="s">
        <v>1527</v>
      </c>
    </row>
    <row r="130" ht="15.75" customHeight="1">
      <c r="A130" s="71" t="s">
        <v>1364</v>
      </c>
      <c r="B130" s="71" t="s">
        <v>62</v>
      </c>
      <c r="C130" s="71">
        <v>68.0</v>
      </c>
      <c r="D130" s="71" t="s">
        <v>540</v>
      </c>
      <c r="E130" s="71" t="s">
        <v>1237</v>
      </c>
      <c r="F130" s="71" t="s">
        <v>239</v>
      </c>
      <c r="G130" s="71" t="s">
        <v>666</v>
      </c>
      <c r="H130" s="71">
        <v>7.0</v>
      </c>
      <c r="I130" s="71">
        <v>7.0</v>
      </c>
      <c r="J130" s="71">
        <v>15.0</v>
      </c>
      <c r="K130" s="72">
        <f>Difensori!I68</f>
        <v>6</v>
      </c>
      <c r="L130" s="73">
        <f>Difensori!AE68</f>
        <v>5.82</v>
      </c>
      <c r="M130" s="74">
        <f>Difensori!B68</f>
        <v>10.3</v>
      </c>
      <c r="N130" s="71">
        <f>Difensori!A68</f>
        <v>65</v>
      </c>
      <c r="O130" s="71" t="s">
        <v>68</v>
      </c>
      <c r="P130" s="71">
        <v>34.0</v>
      </c>
      <c r="Q130" s="71">
        <v>5.82</v>
      </c>
      <c r="R130" s="71" t="s">
        <v>71</v>
      </c>
      <c r="S130" s="71" t="s">
        <v>542</v>
      </c>
      <c r="T130" s="71" t="str">
        <f>Difensori!K68</f>
        <v>4a fascia</v>
      </c>
      <c r="U130" s="71" t="s">
        <v>70</v>
      </c>
      <c r="V130" s="71">
        <v>2.0</v>
      </c>
      <c r="W130" s="71">
        <f t="shared" si="1"/>
        <v>224</v>
      </c>
      <c r="AC130" s="71" t="s">
        <v>1528</v>
      </c>
      <c r="AD130" s="71" t="s">
        <v>1529</v>
      </c>
    </row>
    <row r="131" ht="15.75" customHeight="1">
      <c r="A131" s="71" t="s">
        <v>1367</v>
      </c>
      <c r="B131" s="71" t="s">
        <v>62</v>
      </c>
      <c r="C131" s="71">
        <v>69.0</v>
      </c>
      <c r="D131" s="71" t="s">
        <v>544</v>
      </c>
      <c r="E131" s="71" t="s">
        <v>1233</v>
      </c>
      <c r="F131" s="71" t="s">
        <v>185</v>
      </c>
      <c r="G131" s="71" t="s">
        <v>666</v>
      </c>
      <c r="H131" s="71">
        <v>6.0</v>
      </c>
      <c r="I131" s="71">
        <v>9.0</v>
      </c>
      <c r="J131" s="71">
        <v>12.0</v>
      </c>
      <c r="K131" s="72">
        <f>Difensori!I69</f>
        <v>6</v>
      </c>
      <c r="L131" s="73">
        <f>Difensori!AE69</f>
        <v>5.87</v>
      </c>
      <c r="M131" s="74">
        <f>Difensori!B69</f>
        <v>10.3</v>
      </c>
      <c r="N131" s="71">
        <f>Difensori!A69</f>
        <v>65</v>
      </c>
      <c r="O131" s="71" t="s">
        <v>68</v>
      </c>
      <c r="P131" s="71">
        <v>26.0</v>
      </c>
      <c r="Q131" s="71">
        <v>5.87</v>
      </c>
      <c r="R131" s="71" t="s">
        <v>71</v>
      </c>
      <c r="S131" s="71" t="s">
        <v>520</v>
      </c>
      <c r="T131" s="71" t="str">
        <f>Difensori!K69</f>
        <v>4a fascia</v>
      </c>
      <c r="U131" s="71" t="s">
        <v>70</v>
      </c>
      <c r="V131" s="71">
        <v>2.0</v>
      </c>
      <c r="W131" s="71">
        <f t="shared" si="1"/>
        <v>282</v>
      </c>
      <c r="AC131" s="71" t="s">
        <v>1530</v>
      </c>
      <c r="AD131" s="71" t="s">
        <v>1531</v>
      </c>
    </row>
    <row r="132" ht="15.75" customHeight="1">
      <c r="A132" s="71" t="s">
        <v>1371</v>
      </c>
      <c r="B132" s="71" t="s">
        <v>62</v>
      </c>
      <c r="C132" s="71">
        <v>70.0</v>
      </c>
      <c r="D132" s="71" t="s">
        <v>548</v>
      </c>
      <c r="E132" s="71" t="s">
        <v>1210</v>
      </c>
      <c r="F132" s="71" t="s">
        <v>143</v>
      </c>
      <c r="G132" s="71" t="s">
        <v>666</v>
      </c>
      <c r="H132" s="71">
        <v>6.0</v>
      </c>
      <c r="I132" s="71">
        <v>6.0</v>
      </c>
      <c r="J132" s="71">
        <v>17.0</v>
      </c>
      <c r="K132" s="72">
        <f>Difensori!I70</f>
        <v>7</v>
      </c>
      <c r="L132" s="73">
        <f>Difensori!AE70</f>
        <v>5.78</v>
      </c>
      <c r="M132" s="74">
        <f>Difensori!B70</f>
        <v>10.2</v>
      </c>
      <c r="N132" s="71">
        <f>Difensori!A70</f>
        <v>67</v>
      </c>
      <c r="O132" s="71" t="s">
        <v>226</v>
      </c>
      <c r="P132" s="71">
        <v>22.0</v>
      </c>
      <c r="Q132" s="71">
        <v>5.82</v>
      </c>
      <c r="R132" s="71" t="s">
        <v>71</v>
      </c>
      <c r="S132" s="71" t="s">
        <v>549</v>
      </c>
      <c r="T132" s="71" t="str">
        <f>Difensori!K70</f>
        <v>3a fascia</v>
      </c>
      <c r="U132" s="71" t="s">
        <v>281</v>
      </c>
      <c r="V132" s="71">
        <v>0.0</v>
      </c>
      <c r="W132" s="71">
        <f t="shared" si="1"/>
        <v>208</v>
      </c>
      <c r="AC132" s="71" t="s">
        <v>1533</v>
      </c>
      <c r="AD132" s="71" t="s">
        <v>1534</v>
      </c>
    </row>
    <row r="133" ht="15.75" customHeight="1">
      <c r="A133" s="71" t="s">
        <v>1374</v>
      </c>
      <c r="B133" s="71" t="s">
        <v>62</v>
      </c>
      <c r="C133" s="71">
        <v>71.0</v>
      </c>
      <c r="D133" s="71" t="s">
        <v>552</v>
      </c>
      <c r="E133" s="71" t="s">
        <v>1222</v>
      </c>
      <c r="F133" s="71" t="s">
        <v>182</v>
      </c>
      <c r="G133" s="71" t="s">
        <v>666</v>
      </c>
      <c r="H133" s="71">
        <v>6.0</v>
      </c>
      <c r="I133" s="71">
        <v>6.0</v>
      </c>
      <c r="J133" s="71">
        <v>15.0</v>
      </c>
      <c r="K133" s="72">
        <f>Difensori!I71</f>
        <v>6</v>
      </c>
      <c r="L133" s="73">
        <f>Difensori!AE71</f>
        <v>5.8</v>
      </c>
      <c r="M133" s="74">
        <f>Difensori!B71</f>
        <v>10</v>
      </c>
      <c r="N133" s="71">
        <f>Difensori!A71</f>
        <v>68</v>
      </c>
      <c r="O133" s="71" t="s">
        <v>68</v>
      </c>
      <c r="P133" s="71">
        <v>25.0</v>
      </c>
      <c r="Q133" s="71">
        <v>5.8</v>
      </c>
      <c r="R133" s="71" t="s">
        <v>71</v>
      </c>
      <c r="S133" s="71" t="s">
        <v>557</v>
      </c>
      <c r="T133" s="71" t="str">
        <f>Difensori!K71</f>
        <v>4a fascia</v>
      </c>
      <c r="U133" s="71" t="s">
        <v>70</v>
      </c>
      <c r="V133" s="71">
        <v>2.0</v>
      </c>
      <c r="W133" s="71">
        <f t="shared" si="1"/>
        <v>224</v>
      </c>
      <c r="AC133" s="71" t="s">
        <v>1535</v>
      </c>
      <c r="AD133" s="71" t="s">
        <v>1536</v>
      </c>
    </row>
    <row r="134" ht="15.75" customHeight="1">
      <c r="A134" s="71" t="s">
        <v>1377</v>
      </c>
      <c r="B134" s="71" t="s">
        <v>62</v>
      </c>
      <c r="C134" s="71">
        <v>72.0</v>
      </c>
      <c r="D134" s="71" t="s">
        <v>559</v>
      </c>
      <c r="E134" s="71" t="s">
        <v>1205</v>
      </c>
      <c r="F134" s="71" t="s">
        <v>60</v>
      </c>
      <c r="G134" s="71" t="s">
        <v>666</v>
      </c>
      <c r="H134" s="71">
        <v>4.0</v>
      </c>
      <c r="I134" s="71">
        <v>5.0</v>
      </c>
      <c r="J134" s="71">
        <v>10.0</v>
      </c>
      <c r="K134" s="72">
        <f>Difensori!I72</f>
        <v>5</v>
      </c>
      <c r="L134" s="73">
        <f>Difensori!AE72</f>
        <v>5.88</v>
      </c>
      <c r="M134" s="74">
        <f>Difensori!B72</f>
        <v>10</v>
      </c>
      <c r="N134" s="71">
        <f>Difensori!A72</f>
        <v>68</v>
      </c>
      <c r="O134" s="71" t="s">
        <v>332</v>
      </c>
      <c r="P134" s="71">
        <v>21.0</v>
      </c>
      <c r="Q134" s="71">
        <v>5.95</v>
      </c>
      <c r="R134" s="71" t="s">
        <v>71</v>
      </c>
      <c r="S134" s="71" t="s">
        <v>245</v>
      </c>
      <c r="T134" s="71" t="str">
        <f>Difensori!K72</f>
        <v>4a fascia</v>
      </c>
      <c r="U134" s="71" t="s">
        <v>408</v>
      </c>
      <c r="V134" s="71">
        <v>1.0</v>
      </c>
      <c r="W134" s="71">
        <f t="shared" si="1"/>
        <v>342</v>
      </c>
      <c r="AC134" s="71" t="s">
        <v>1537</v>
      </c>
      <c r="AD134" s="71" t="s">
        <v>1538</v>
      </c>
    </row>
    <row r="135" ht="15.75" customHeight="1">
      <c r="A135" s="71" t="s">
        <v>1380</v>
      </c>
      <c r="B135" s="71" t="s">
        <v>62</v>
      </c>
      <c r="C135" s="71">
        <v>73.0</v>
      </c>
      <c r="D135" s="71" t="s">
        <v>562</v>
      </c>
      <c r="E135" s="71" t="s">
        <v>1210</v>
      </c>
      <c r="F135" s="71" t="s">
        <v>143</v>
      </c>
      <c r="G135" s="71" t="s">
        <v>666</v>
      </c>
      <c r="H135" s="71">
        <v>8.0</v>
      </c>
      <c r="I135" s="71">
        <v>7.0</v>
      </c>
      <c r="J135" s="71">
        <v>11.0</v>
      </c>
      <c r="K135" s="72">
        <f>Difensori!I73</f>
        <v>5</v>
      </c>
      <c r="L135" s="73">
        <f>Difensori!AE73</f>
        <v>5.86</v>
      </c>
      <c r="M135" s="74">
        <f>Difensori!B73</f>
        <v>9.9</v>
      </c>
      <c r="N135" s="71">
        <f>Difensori!A73</f>
        <v>70</v>
      </c>
      <c r="O135" s="71" t="s">
        <v>68</v>
      </c>
      <c r="P135" s="71">
        <v>28.0</v>
      </c>
      <c r="Q135" s="71">
        <v>5.86</v>
      </c>
      <c r="R135" s="71" t="s">
        <v>71</v>
      </c>
      <c r="S135" s="71" t="s">
        <v>549</v>
      </c>
      <c r="T135" s="71" t="str">
        <f>Difensori!K73</f>
        <v>4a fascia</v>
      </c>
      <c r="U135" s="71" t="s">
        <v>457</v>
      </c>
      <c r="V135" s="71">
        <v>0.0</v>
      </c>
      <c r="W135" s="71">
        <f t="shared" si="1"/>
        <v>323</v>
      </c>
      <c r="AC135" s="71" t="s">
        <v>1539</v>
      </c>
      <c r="AD135" s="71" t="s">
        <v>1540</v>
      </c>
    </row>
    <row r="136" ht="15.75" customHeight="1">
      <c r="A136" s="71" t="s">
        <v>1383</v>
      </c>
      <c r="B136" s="71" t="s">
        <v>62</v>
      </c>
      <c r="C136" s="71">
        <v>74.0</v>
      </c>
      <c r="D136" s="71" t="s">
        <v>567</v>
      </c>
      <c r="E136" s="71" t="s">
        <v>1219</v>
      </c>
      <c r="F136" s="71" t="s">
        <v>195</v>
      </c>
      <c r="G136" s="71" t="s">
        <v>666</v>
      </c>
      <c r="H136" s="71">
        <v>3.0</v>
      </c>
      <c r="I136" s="71">
        <v>4.0</v>
      </c>
      <c r="J136" s="71">
        <v>13.0</v>
      </c>
      <c r="K136" s="72">
        <f>Difensori!I74</f>
        <v>6</v>
      </c>
      <c r="L136" s="73">
        <f>Difensori!AE74</f>
        <v>5.82</v>
      </c>
      <c r="M136" s="74">
        <f>Difensori!B74</f>
        <v>9.8</v>
      </c>
      <c r="N136" s="71">
        <f>Difensori!A74</f>
        <v>71</v>
      </c>
      <c r="O136" s="71" t="s">
        <v>332</v>
      </c>
      <c r="P136" s="71">
        <v>23.0</v>
      </c>
      <c r="Q136" s="71">
        <v>5.85</v>
      </c>
      <c r="R136" s="71" t="s">
        <v>71</v>
      </c>
      <c r="S136" s="71" t="s">
        <v>568</v>
      </c>
      <c r="T136" s="71" t="str">
        <f>Difensori!K74</f>
        <v>4a fascia</v>
      </c>
      <c r="U136" s="71" t="s">
        <v>392</v>
      </c>
      <c r="V136" s="71">
        <v>2.0</v>
      </c>
      <c r="W136" s="71">
        <f t="shared" si="1"/>
        <v>262</v>
      </c>
      <c r="AC136" s="71" t="s">
        <v>1541</v>
      </c>
      <c r="AD136" s="71" t="s">
        <v>1542</v>
      </c>
    </row>
    <row r="137" ht="15.75" customHeight="1">
      <c r="A137" s="71" t="s">
        <v>1386</v>
      </c>
      <c r="B137" s="71" t="s">
        <v>62</v>
      </c>
      <c r="C137" s="71">
        <v>75.0</v>
      </c>
      <c r="D137" s="71" t="s">
        <v>571</v>
      </c>
      <c r="E137" s="71" t="s">
        <v>1215</v>
      </c>
      <c r="F137" s="71" t="s">
        <v>133</v>
      </c>
      <c r="G137" s="71" t="s">
        <v>666</v>
      </c>
      <c r="H137" s="71">
        <v>9.0</v>
      </c>
      <c r="I137" s="71">
        <v>10.0</v>
      </c>
      <c r="J137" s="71">
        <v>32.0</v>
      </c>
      <c r="K137" s="72">
        <f>Difensori!I75</f>
        <v>10</v>
      </c>
      <c r="L137" s="73">
        <f>Difensori!AE75</f>
        <v>5.5</v>
      </c>
      <c r="M137" s="74">
        <f>Difensori!B75</f>
        <v>9.6</v>
      </c>
      <c r="N137" s="71">
        <f>Difensori!A75</f>
        <v>72</v>
      </c>
      <c r="O137" s="71" t="s">
        <v>68</v>
      </c>
      <c r="P137" s="71">
        <v>0.0</v>
      </c>
      <c r="R137" s="71" t="s">
        <v>71</v>
      </c>
      <c r="S137" s="71" t="s">
        <v>304</v>
      </c>
      <c r="T137" s="71" t="str">
        <f>Difensori!K75</f>
        <v>3a fascia</v>
      </c>
      <c r="U137" s="71" t="s">
        <v>100</v>
      </c>
      <c r="V137" s="71">
        <v>2.0</v>
      </c>
      <c r="W137" s="71">
        <f t="shared" si="1"/>
        <v>104</v>
      </c>
      <c r="AC137" s="71" t="s">
        <v>1543</v>
      </c>
      <c r="AD137" s="71" t="s">
        <v>1544</v>
      </c>
    </row>
    <row r="138" ht="15.75" customHeight="1">
      <c r="A138" s="71" t="s">
        <v>1389</v>
      </c>
      <c r="B138" s="71" t="s">
        <v>62</v>
      </c>
      <c r="C138" s="71">
        <v>76.0</v>
      </c>
      <c r="D138" s="71" t="s">
        <v>579</v>
      </c>
      <c r="E138" s="71" t="s">
        <v>1213</v>
      </c>
      <c r="F138" s="71" t="s">
        <v>175</v>
      </c>
      <c r="G138" s="71" t="s">
        <v>666</v>
      </c>
      <c r="H138" s="71">
        <v>7.0</v>
      </c>
      <c r="I138" s="71">
        <v>6.0</v>
      </c>
      <c r="J138" s="71">
        <v>8.0</v>
      </c>
      <c r="K138" s="72">
        <f>Difensori!I76</f>
        <v>4</v>
      </c>
      <c r="L138" s="73">
        <f>Difensori!AE76</f>
        <v>5.88</v>
      </c>
      <c r="M138" s="74">
        <f>Difensori!B76</f>
        <v>9.5</v>
      </c>
      <c r="N138" s="71">
        <f>Difensori!A76</f>
        <v>73</v>
      </c>
      <c r="O138" s="71" t="s">
        <v>226</v>
      </c>
      <c r="P138" s="71">
        <v>32.0</v>
      </c>
      <c r="Q138" s="71">
        <v>5.88</v>
      </c>
      <c r="R138" s="71" t="s">
        <v>71</v>
      </c>
      <c r="S138" s="71" t="s">
        <v>583</v>
      </c>
      <c r="T138" s="71" t="str">
        <f>Difensori!K76</f>
        <v>4a fascia</v>
      </c>
      <c r="U138" s="71" t="s">
        <v>281</v>
      </c>
      <c r="V138" s="71">
        <v>0.0</v>
      </c>
      <c r="W138" s="71">
        <f t="shared" si="1"/>
        <v>384</v>
      </c>
      <c r="AC138" s="71" t="s">
        <v>1546</v>
      </c>
      <c r="AD138" s="71" t="s">
        <v>1547</v>
      </c>
    </row>
    <row r="139" ht="15.75" customHeight="1">
      <c r="A139" s="71" t="s">
        <v>1392</v>
      </c>
      <c r="B139" s="71" t="s">
        <v>62</v>
      </c>
      <c r="C139" s="71">
        <v>77.0</v>
      </c>
      <c r="D139" s="71" t="s">
        <v>586</v>
      </c>
      <c r="E139" s="71" t="s">
        <v>1233</v>
      </c>
      <c r="F139" s="71" t="s">
        <v>185</v>
      </c>
      <c r="G139" s="71" t="s">
        <v>666</v>
      </c>
      <c r="H139" s="71">
        <v>4.0</v>
      </c>
      <c r="I139" s="71">
        <v>4.0</v>
      </c>
      <c r="J139" s="71">
        <v>10.0</v>
      </c>
      <c r="K139" s="72">
        <f>Difensori!I77</f>
        <v>5</v>
      </c>
      <c r="L139" s="73">
        <f>Difensori!AE77</f>
        <v>5.84</v>
      </c>
      <c r="M139" s="74">
        <f>Difensori!B77</f>
        <v>9.4</v>
      </c>
      <c r="N139" s="71">
        <f>Difensori!A77</f>
        <v>74</v>
      </c>
      <c r="O139" s="71" t="s">
        <v>226</v>
      </c>
      <c r="P139" s="71">
        <v>25.0</v>
      </c>
      <c r="Q139" s="71">
        <v>5.84</v>
      </c>
      <c r="R139" s="71" t="s">
        <v>71</v>
      </c>
      <c r="S139" s="71" t="s">
        <v>520</v>
      </c>
      <c r="T139" s="71" t="str">
        <f>Difensori!K77</f>
        <v>4a fascia</v>
      </c>
      <c r="U139" s="71" t="s">
        <v>301</v>
      </c>
      <c r="V139" s="71">
        <v>1.0</v>
      </c>
      <c r="W139" s="71">
        <f t="shared" si="1"/>
        <v>342</v>
      </c>
      <c r="AC139" s="71" t="s">
        <v>1548</v>
      </c>
      <c r="AD139" s="71" t="s">
        <v>1549</v>
      </c>
    </row>
    <row r="140" ht="15.75" customHeight="1">
      <c r="A140" s="71" t="s">
        <v>1395</v>
      </c>
      <c r="B140" s="71" t="s">
        <v>62</v>
      </c>
      <c r="C140" s="71">
        <v>78.0</v>
      </c>
      <c r="D140" s="71" t="s">
        <v>593</v>
      </c>
      <c r="E140" s="71" t="s">
        <v>1215</v>
      </c>
      <c r="F140" s="71" t="s">
        <v>133</v>
      </c>
      <c r="G140" s="71" t="s">
        <v>666</v>
      </c>
      <c r="H140" s="71">
        <v>4.0</v>
      </c>
      <c r="I140" s="71">
        <v>4.0</v>
      </c>
      <c r="J140" s="71">
        <v>10.0</v>
      </c>
      <c r="K140" s="72">
        <f>Difensori!I78</f>
        <v>5</v>
      </c>
      <c r="L140" s="73">
        <f>Difensori!AE78</f>
        <v>5.84</v>
      </c>
      <c r="M140" s="74">
        <f>Difensori!B78</f>
        <v>9.4</v>
      </c>
      <c r="N140" s="71">
        <f>Difensori!A78</f>
        <v>74</v>
      </c>
      <c r="O140" s="71" t="s">
        <v>332</v>
      </c>
      <c r="P140" s="71">
        <v>25.0</v>
      </c>
      <c r="Q140" s="71">
        <v>5.84</v>
      </c>
      <c r="R140" s="71" t="s">
        <v>71</v>
      </c>
      <c r="S140" s="71" t="s">
        <v>304</v>
      </c>
      <c r="T140" s="71" t="str">
        <f>Difensori!K78</f>
        <v>4a fascia</v>
      </c>
      <c r="U140" s="71" t="s">
        <v>408</v>
      </c>
      <c r="V140" s="71">
        <v>1.0</v>
      </c>
      <c r="W140" s="71">
        <f t="shared" si="1"/>
        <v>342</v>
      </c>
      <c r="AC140" s="71" t="s">
        <v>1551</v>
      </c>
      <c r="AD140" s="71" t="s">
        <v>1552</v>
      </c>
    </row>
    <row r="141" ht="15.75" customHeight="1">
      <c r="A141" s="71" t="s">
        <v>1398</v>
      </c>
      <c r="B141" s="71" t="s">
        <v>62</v>
      </c>
      <c r="C141" s="71">
        <v>79.0</v>
      </c>
      <c r="D141" s="71" t="s">
        <v>608</v>
      </c>
      <c r="E141" s="71" t="s">
        <v>1256</v>
      </c>
      <c r="F141" s="71" t="s">
        <v>283</v>
      </c>
      <c r="G141" s="71" t="s">
        <v>666</v>
      </c>
      <c r="H141" s="71">
        <v>4.0</v>
      </c>
      <c r="I141" s="71">
        <v>4.0</v>
      </c>
      <c r="J141" s="71">
        <v>10.0</v>
      </c>
      <c r="K141" s="72">
        <f>Difensori!I79</f>
        <v>5</v>
      </c>
      <c r="L141" s="73">
        <f>Difensori!AE79</f>
        <v>5.83</v>
      </c>
      <c r="M141" s="74">
        <f>Difensori!B79</f>
        <v>9.2</v>
      </c>
      <c r="N141" s="71">
        <f>Difensori!A79</f>
        <v>76</v>
      </c>
      <c r="O141" s="71" t="s">
        <v>68</v>
      </c>
      <c r="P141" s="71">
        <v>27.0</v>
      </c>
      <c r="Q141" s="71">
        <v>5.83</v>
      </c>
      <c r="R141" s="71" t="s">
        <v>71</v>
      </c>
      <c r="S141" s="71" t="s">
        <v>288</v>
      </c>
      <c r="T141" s="71" t="str">
        <f>Difensori!K79</f>
        <v>4a fascia</v>
      </c>
      <c r="U141" s="71" t="s">
        <v>146</v>
      </c>
      <c r="V141" s="71">
        <v>0.0</v>
      </c>
      <c r="W141" s="71">
        <f t="shared" si="1"/>
        <v>342</v>
      </c>
      <c r="AC141" s="71" t="s">
        <v>1553</v>
      </c>
      <c r="AD141" s="71" t="s">
        <v>1554</v>
      </c>
    </row>
    <row r="142" ht="15.75" customHeight="1">
      <c r="A142" s="71" t="s">
        <v>1401</v>
      </c>
      <c r="B142" s="71" t="s">
        <v>62</v>
      </c>
      <c r="C142" s="71">
        <v>80.0</v>
      </c>
      <c r="D142" s="71" t="s">
        <v>613</v>
      </c>
      <c r="E142" s="71" t="s">
        <v>1225</v>
      </c>
      <c r="F142" s="71" t="s">
        <v>208</v>
      </c>
      <c r="G142" s="71" t="s">
        <v>666</v>
      </c>
      <c r="H142" s="71">
        <v>3.0</v>
      </c>
      <c r="I142" s="71">
        <v>3.0</v>
      </c>
      <c r="J142" s="71">
        <v>12.0</v>
      </c>
      <c r="K142" s="72">
        <f>Difensori!I80</f>
        <v>6</v>
      </c>
      <c r="L142" s="73">
        <f>Difensori!AE80</f>
        <v>5.78</v>
      </c>
      <c r="M142" s="74">
        <f>Difensori!B80</f>
        <v>8.9</v>
      </c>
      <c r="N142" s="71">
        <f>Difensori!A80</f>
        <v>77</v>
      </c>
      <c r="O142" s="71" t="s">
        <v>332</v>
      </c>
      <c r="P142" s="71">
        <v>14.0</v>
      </c>
      <c r="Q142" s="71">
        <v>6.0</v>
      </c>
      <c r="R142" s="71" t="s">
        <v>71</v>
      </c>
      <c r="S142" s="71" t="s">
        <v>288</v>
      </c>
      <c r="T142" s="71" t="str">
        <f>Difensori!K80</f>
        <v>4a fascia</v>
      </c>
      <c r="U142" s="71" t="s">
        <v>615</v>
      </c>
      <c r="V142" s="71">
        <v>1.0</v>
      </c>
      <c r="W142" s="71">
        <f t="shared" si="1"/>
        <v>282</v>
      </c>
      <c r="AC142" s="71" t="s">
        <v>1556</v>
      </c>
      <c r="AD142" s="71" t="s">
        <v>1557</v>
      </c>
    </row>
    <row r="143" ht="15.75" customHeight="1">
      <c r="A143" s="71" t="s">
        <v>1404</v>
      </c>
      <c r="B143" s="71" t="s">
        <v>62</v>
      </c>
      <c r="C143" s="71">
        <v>81.0</v>
      </c>
      <c r="D143" s="71" t="s">
        <v>618</v>
      </c>
      <c r="E143" s="71" t="s">
        <v>1228</v>
      </c>
      <c r="F143" s="71" t="s">
        <v>212</v>
      </c>
      <c r="G143" s="71" t="s">
        <v>666</v>
      </c>
      <c r="H143" s="71">
        <v>6.0</v>
      </c>
      <c r="I143" s="71">
        <v>8.0</v>
      </c>
      <c r="J143" s="71">
        <v>13.0</v>
      </c>
      <c r="K143" s="72">
        <f>Difensori!I81</f>
        <v>6</v>
      </c>
      <c r="L143" s="73">
        <f>Difensori!AE81</f>
        <v>5.74</v>
      </c>
      <c r="M143" s="74">
        <f>Difensori!B81</f>
        <v>8.6</v>
      </c>
      <c r="N143" s="71">
        <f>Difensori!A81</f>
        <v>78</v>
      </c>
      <c r="O143" s="71" t="s">
        <v>68</v>
      </c>
      <c r="P143" s="71">
        <v>24.0</v>
      </c>
      <c r="Q143" s="71">
        <v>5.75</v>
      </c>
      <c r="R143" s="71" t="s">
        <v>71</v>
      </c>
      <c r="S143" s="71" t="s">
        <v>621</v>
      </c>
      <c r="T143" s="71" t="str">
        <f>Difensori!K81</f>
        <v>4a fascia</v>
      </c>
      <c r="U143" s="71" t="s">
        <v>100</v>
      </c>
      <c r="V143" s="71">
        <v>2.0</v>
      </c>
      <c r="W143" s="71">
        <f t="shared" si="1"/>
        <v>262</v>
      </c>
      <c r="AC143" s="71" t="s">
        <v>1558</v>
      </c>
      <c r="AD143" s="71" t="s">
        <v>1559</v>
      </c>
    </row>
    <row r="144" ht="15.75" customHeight="1">
      <c r="A144" s="71" t="s">
        <v>1407</v>
      </c>
      <c r="B144" s="71" t="s">
        <v>62</v>
      </c>
      <c r="C144" s="71">
        <v>82.0</v>
      </c>
      <c r="D144" s="71" t="s">
        <v>624</v>
      </c>
      <c r="E144" s="71" t="s">
        <v>1225</v>
      </c>
      <c r="F144" s="71" t="s">
        <v>208</v>
      </c>
      <c r="G144" s="71" t="s">
        <v>666</v>
      </c>
      <c r="H144" s="71">
        <v>3.0</v>
      </c>
      <c r="I144" s="71">
        <v>3.0</v>
      </c>
      <c r="J144" s="71">
        <v>10.0</v>
      </c>
      <c r="K144" s="72">
        <f>Difensori!I82</f>
        <v>5</v>
      </c>
      <c r="L144" s="73">
        <f>Difensori!AE82</f>
        <v>5.79</v>
      </c>
      <c r="M144" s="74">
        <f>Difensori!B82</f>
        <v>8.6</v>
      </c>
      <c r="N144" s="71">
        <f>Difensori!A82</f>
        <v>78</v>
      </c>
      <c r="O144" s="71" t="s">
        <v>332</v>
      </c>
      <c r="P144" s="71">
        <v>31.0</v>
      </c>
      <c r="Q144" s="71">
        <v>5.79</v>
      </c>
      <c r="R144" s="71" t="s">
        <v>71</v>
      </c>
      <c r="S144" s="71" t="s">
        <v>288</v>
      </c>
      <c r="T144" s="71" t="str">
        <f>Difensori!K82</f>
        <v>4a fascia</v>
      </c>
      <c r="U144" s="71" t="s">
        <v>408</v>
      </c>
      <c r="V144" s="71">
        <v>1.0</v>
      </c>
      <c r="W144" s="71">
        <f t="shared" si="1"/>
        <v>342</v>
      </c>
      <c r="AC144" s="71" t="s">
        <v>1560</v>
      </c>
      <c r="AD144" s="71" t="s">
        <v>1561</v>
      </c>
    </row>
    <row r="145" ht="15.75" customHeight="1">
      <c r="A145" s="71" t="s">
        <v>1410</v>
      </c>
      <c r="B145" s="71" t="s">
        <v>62</v>
      </c>
      <c r="C145" s="71">
        <v>83.0</v>
      </c>
      <c r="D145" s="71" t="s">
        <v>628</v>
      </c>
      <c r="E145" s="71" t="s">
        <v>1237</v>
      </c>
      <c r="F145" s="71" t="s">
        <v>239</v>
      </c>
      <c r="G145" s="71" t="s">
        <v>666</v>
      </c>
      <c r="H145" s="71">
        <v>3.0</v>
      </c>
      <c r="I145" s="71">
        <v>3.0</v>
      </c>
      <c r="J145" s="71">
        <v>3.0</v>
      </c>
      <c r="K145" s="72">
        <f>Difensori!I83</f>
        <v>2</v>
      </c>
      <c r="L145" s="73">
        <f>Difensori!AE83</f>
        <v>5.9</v>
      </c>
      <c r="M145" s="74">
        <f>Difensori!B83</f>
        <v>8.6</v>
      </c>
      <c r="N145" s="71">
        <f>Difensori!A83</f>
        <v>78</v>
      </c>
      <c r="O145" s="71" t="s">
        <v>332</v>
      </c>
      <c r="P145" s="71">
        <v>17.0</v>
      </c>
      <c r="Q145" s="71">
        <v>6.09</v>
      </c>
      <c r="R145" s="71" t="s">
        <v>71</v>
      </c>
      <c r="S145" s="71" t="s">
        <v>630</v>
      </c>
      <c r="T145" s="71" t="str">
        <f>Difensori!K83</f>
        <v>Scommessa</v>
      </c>
      <c r="U145" s="71" t="s">
        <v>457</v>
      </c>
      <c r="V145" s="71">
        <v>0.0</v>
      </c>
      <c r="W145" s="71">
        <f t="shared" si="1"/>
        <v>462</v>
      </c>
      <c r="AC145" s="71" t="s">
        <v>1562</v>
      </c>
      <c r="AD145" s="71" t="s">
        <v>1563</v>
      </c>
    </row>
    <row r="146" ht="15.75" customHeight="1">
      <c r="A146" s="71" t="s">
        <v>1414</v>
      </c>
      <c r="B146" s="71" t="s">
        <v>62</v>
      </c>
      <c r="C146" s="71">
        <v>84.0</v>
      </c>
      <c r="D146" s="71" t="s">
        <v>632</v>
      </c>
      <c r="E146" s="71" t="s">
        <v>1207</v>
      </c>
      <c r="F146" s="71" t="s">
        <v>93</v>
      </c>
      <c r="G146" s="71" t="s">
        <v>666</v>
      </c>
      <c r="H146" s="71">
        <v>1.0</v>
      </c>
      <c r="I146" s="71">
        <v>1.0</v>
      </c>
      <c r="J146" s="71">
        <v>4.0</v>
      </c>
      <c r="K146" s="72">
        <f>Difensori!I84</f>
        <v>3</v>
      </c>
      <c r="L146" s="73">
        <f>Difensori!AE84</f>
        <v>5.88</v>
      </c>
      <c r="M146" s="74">
        <f>Difensori!B84</f>
        <v>8.5</v>
      </c>
      <c r="N146" s="71">
        <f>Difensori!A84</f>
        <v>81</v>
      </c>
      <c r="O146" s="71" t="s">
        <v>332</v>
      </c>
      <c r="P146" s="71">
        <v>9.0</v>
      </c>
      <c r="Q146" s="71">
        <v>6.56</v>
      </c>
      <c r="R146" s="71" t="s">
        <v>71</v>
      </c>
      <c r="S146" s="71" t="s">
        <v>636</v>
      </c>
      <c r="T146" s="71" t="str">
        <f>Difensori!K84</f>
        <v>4a fascia</v>
      </c>
      <c r="U146" s="71" t="s">
        <v>333</v>
      </c>
      <c r="V146" s="71">
        <v>0.0</v>
      </c>
      <c r="W146" s="71">
        <f t="shared" si="1"/>
        <v>448</v>
      </c>
      <c r="AC146" s="71" t="s">
        <v>1564</v>
      </c>
      <c r="AD146" s="71" t="s">
        <v>1565</v>
      </c>
    </row>
    <row r="147" ht="15.75" customHeight="1">
      <c r="A147" s="71" t="s">
        <v>1417</v>
      </c>
      <c r="B147" s="71" t="s">
        <v>62</v>
      </c>
      <c r="C147" s="71">
        <v>85.0</v>
      </c>
      <c r="D147" s="71" t="s">
        <v>639</v>
      </c>
      <c r="E147" s="71" t="s">
        <v>1243</v>
      </c>
      <c r="F147" s="71" t="s">
        <v>253</v>
      </c>
      <c r="G147" s="71" t="s">
        <v>666</v>
      </c>
      <c r="H147" s="71">
        <v>2.0</v>
      </c>
      <c r="I147" s="71">
        <v>2.0</v>
      </c>
      <c r="J147" s="71">
        <v>11.0</v>
      </c>
      <c r="K147" s="72">
        <f>Difensori!I85</f>
        <v>5</v>
      </c>
      <c r="L147" s="73">
        <f>Difensori!AE85</f>
        <v>5.76</v>
      </c>
      <c r="M147" s="74">
        <f>Difensori!B85</f>
        <v>8.4</v>
      </c>
      <c r="N147" s="71">
        <f>Difensori!A85</f>
        <v>82</v>
      </c>
      <c r="O147" s="71" t="s">
        <v>332</v>
      </c>
      <c r="P147" s="71">
        <v>14.0</v>
      </c>
      <c r="Q147" s="71">
        <v>5.96</v>
      </c>
      <c r="R147" s="71" t="s">
        <v>71</v>
      </c>
      <c r="S147" s="71" t="s">
        <v>583</v>
      </c>
      <c r="T147" s="71" t="str">
        <f>Difensori!K85</f>
        <v>4a fascia</v>
      </c>
      <c r="U147" s="71" t="s">
        <v>338</v>
      </c>
      <c r="V147" s="71">
        <v>0.0</v>
      </c>
      <c r="W147" s="71">
        <f t="shared" si="1"/>
        <v>323</v>
      </c>
      <c r="AC147" s="71" t="s">
        <v>1566</v>
      </c>
      <c r="AD147" s="71" t="s">
        <v>1567</v>
      </c>
    </row>
    <row r="148" ht="15.75" customHeight="1">
      <c r="A148" s="71" t="s">
        <v>1420</v>
      </c>
      <c r="B148" s="71" t="s">
        <v>62</v>
      </c>
      <c r="C148" s="71">
        <v>86.0</v>
      </c>
      <c r="D148" s="71" t="s">
        <v>642</v>
      </c>
      <c r="E148" s="71" t="s">
        <v>1210</v>
      </c>
      <c r="F148" s="71" t="s">
        <v>143</v>
      </c>
      <c r="G148" s="71" t="s">
        <v>666</v>
      </c>
      <c r="H148" s="71">
        <v>5.0</v>
      </c>
      <c r="I148" s="71">
        <v>6.0</v>
      </c>
      <c r="J148" s="71">
        <v>8.0</v>
      </c>
      <c r="K148" s="72">
        <f>Difensori!I86</f>
        <v>4</v>
      </c>
      <c r="L148" s="73">
        <f>Difensori!AE86</f>
        <v>5.8</v>
      </c>
      <c r="M148" s="74">
        <f>Difensori!B86</f>
        <v>8.2</v>
      </c>
      <c r="N148" s="71">
        <f>Difensori!A86</f>
        <v>83</v>
      </c>
      <c r="O148" s="71" t="s">
        <v>332</v>
      </c>
      <c r="P148" s="71">
        <v>17.0</v>
      </c>
      <c r="Q148" s="71">
        <v>5.94</v>
      </c>
      <c r="R148" s="71" t="s">
        <v>71</v>
      </c>
      <c r="S148" s="71" t="s">
        <v>646</v>
      </c>
      <c r="T148" s="71" t="str">
        <f>Difensori!K86</f>
        <v>4a fascia</v>
      </c>
      <c r="U148" s="71" t="s">
        <v>392</v>
      </c>
      <c r="V148" s="71">
        <v>2.0</v>
      </c>
      <c r="W148" s="71">
        <f t="shared" si="1"/>
        <v>384</v>
      </c>
      <c r="AC148" s="71" t="s">
        <v>1568</v>
      </c>
      <c r="AD148" s="71" t="s">
        <v>1569</v>
      </c>
    </row>
    <row r="149" ht="15.75" customHeight="1">
      <c r="A149" s="71" t="s">
        <v>1424</v>
      </c>
      <c r="B149" s="71" t="s">
        <v>62</v>
      </c>
      <c r="C149" s="71">
        <v>87.0</v>
      </c>
      <c r="D149" s="71" t="s">
        <v>649</v>
      </c>
      <c r="E149" s="71" t="s">
        <v>1243</v>
      </c>
      <c r="F149" s="71" t="s">
        <v>253</v>
      </c>
      <c r="G149" s="71" t="s">
        <v>666</v>
      </c>
      <c r="H149" s="71">
        <v>4.0</v>
      </c>
      <c r="I149" s="71">
        <v>5.0</v>
      </c>
      <c r="J149" s="71">
        <v>10.0</v>
      </c>
      <c r="K149" s="72">
        <f>Difensori!I87</f>
        <v>5</v>
      </c>
      <c r="L149" s="73">
        <f>Difensori!AE87</f>
        <v>5.76</v>
      </c>
      <c r="M149" s="74">
        <f>Difensori!B87</f>
        <v>8.1</v>
      </c>
      <c r="N149" s="71">
        <f>Difensori!A87</f>
        <v>84</v>
      </c>
      <c r="O149" s="71" t="s">
        <v>226</v>
      </c>
      <c r="P149" s="71">
        <v>27.0</v>
      </c>
      <c r="Q149" s="71">
        <v>5.76</v>
      </c>
      <c r="R149" s="71" t="s">
        <v>71</v>
      </c>
      <c r="S149" s="71" t="s">
        <v>583</v>
      </c>
      <c r="T149" s="71" t="str">
        <f>Difensori!K87</f>
        <v>4a fascia</v>
      </c>
      <c r="U149" s="71" t="s">
        <v>277</v>
      </c>
      <c r="V149" s="71">
        <v>2.0</v>
      </c>
      <c r="W149" s="71">
        <f t="shared" si="1"/>
        <v>342</v>
      </c>
      <c r="AC149" s="71" t="s">
        <v>1570</v>
      </c>
      <c r="AD149" s="71" t="s">
        <v>1571</v>
      </c>
    </row>
    <row r="150" ht="15.75" customHeight="1">
      <c r="A150" s="71" t="s">
        <v>1427</v>
      </c>
      <c r="B150" s="71" t="s">
        <v>62</v>
      </c>
      <c r="C150" s="71">
        <v>88.0</v>
      </c>
      <c r="D150" s="71" t="s">
        <v>651</v>
      </c>
      <c r="E150" s="71" t="s">
        <v>1222</v>
      </c>
      <c r="F150" s="71" t="s">
        <v>182</v>
      </c>
      <c r="G150" s="71" t="s">
        <v>666</v>
      </c>
      <c r="H150" s="71">
        <v>5.0</v>
      </c>
      <c r="I150" s="71">
        <v>4.0</v>
      </c>
      <c r="J150" s="71">
        <v>10.0</v>
      </c>
      <c r="K150" s="72">
        <f>Difensori!I88</f>
        <v>5</v>
      </c>
      <c r="L150" s="73">
        <f>Difensori!AE88</f>
        <v>5.76</v>
      </c>
      <c r="M150" s="74">
        <f>Difensori!B88</f>
        <v>8.1</v>
      </c>
      <c r="N150" s="71">
        <f>Difensori!A88</f>
        <v>84</v>
      </c>
      <c r="O150" s="71" t="s">
        <v>226</v>
      </c>
      <c r="P150" s="71">
        <v>18.0</v>
      </c>
      <c r="Q150" s="71">
        <v>5.86</v>
      </c>
      <c r="R150" s="71" t="s">
        <v>71</v>
      </c>
      <c r="S150" s="71" t="s">
        <v>654</v>
      </c>
      <c r="T150" s="71" t="str">
        <f>Difensori!K88</f>
        <v>4a fascia</v>
      </c>
      <c r="U150" s="71" t="s">
        <v>281</v>
      </c>
      <c r="V150" s="71">
        <v>0.0</v>
      </c>
      <c r="W150" s="71">
        <f t="shared" si="1"/>
        <v>342</v>
      </c>
      <c r="AC150" s="71" t="s">
        <v>1572</v>
      </c>
      <c r="AD150" s="71" t="s">
        <v>1573</v>
      </c>
    </row>
    <row r="151" ht="15.75" customHeight="1">
      <c r="A151" s="71" t="s">
        <v>1430</v>
      </c>
      <c r="B151" s="71" t="s">
        <v>62</v>
      </c>
      <c r="C151" s="71">
        <v>89.0</v>
      </c>
      <c r="D151" s="71" t="s">
        <v>656</v>
      </c>
      <c r="E151" s="71" t="s">
        <v>1228</v>
      </c>
      <c r="F151" s="71" t="s">
        <v>212</v>
      </c>
      <c r="G151" s="71" t="s">
        <v>666</v>
      </c>
      <c r="H151" s="71">
        <v>5.0</v>
      </c>
      <c r="I151" s="71">
        <v>6.0</v>
      </c>
      <c r="J151" s="71">
        <v>12.0</v>
      </c>
      <c r="K151" s="72">
        <f>Difensori!I89</f>
        <v>6</v>
      </c>
      <c r="L151" s="73">
        <f>Difensori!AE89</f>
        <v>5.72</v>
      </c>
      <c r="M151" s="74">
        <f>Difensori!B89</f>
        <v>8</v>
      </c>
      <c r="N151" s="71">
        <f>Difensori!A89</f>
        <v>86</v>
      </c>
      <c r="O151" s="71" t="s">
        <v>226</v>
      </c>
      <c r="P151" s="71">
        <v>12.0</v>
      </c>
      <c r="Q151" s="71">
        <v>5.96</v>
      </c>
      <c r="R151" s="71" t="s">
        <v>71</v>
      </c>
      <c r="S151" s="71" t="s">
        <v>665</v>
      </c>
      <c r="T151" s="71" t="str">
        <f>Difensori!K89</f>
        <v>4a fascia</v>
      </c>
      <c r="U151" s="71" t="s">
        <v>300</v>
      </c>
      <c r="V151" s="71">
        <v>2.0</v>
      </c>
      <c r="W151" s="71">
        <f t="shared" si="1"/>
        <v>282</v>
      </c>
      <c r="AC151" s="71" t="s">
        <v>1575</v>
      </c>
      <c r="AD151" s="71" t="s">
        <v>1576</v>
      </c>
    </row>
    <row r="152" ht="15.75" customHeight="1">
      <c r="A152" s="71" t="s">
        <v>1433</v>
      </c>
      <c r="B152" s="71" t="s">
        <v>62</v>
      </c>
      <c r="C152" s="71">
        <v>90.0</v>
      </c>
      <c r="D152" s="71" t="s">
        <v>668</v>
      </c>
      <c r="E152" s="71" t="s">
        <v>1219</v>
      </c>
      <c r="F152" s="71" t="s">
        <v>195</v>
      </c>
      <c r="G152" s="71" t="s">
        <v>666</v>
      </c>
      <c r="H152" s="71">
        <v>2.0</v>
      </c>
      <c r="I152" s="71">
        <v>2.0</v>
      </c>
      <c r="J152" s="71">
        <v>7.0</v>
      </c>
      <c r="K152" s="72">
        <f>Difensori!I90</f>
        <v>4</v>
      </c>
      <c r="L152" s="73">
        <f>Difensori!AE90</f>
        <v>5.8</v>
      </c>
      <c r="M152" s="74">
        <f>Difensori!B90</f>
        <v>8</v>
      </c>
      <c r="N152" s="71">
        <f>Difensori!A90</f>
        <v>86</v>
      </c>
      <c r="O152" s="71" t="s">
        <v>332</v>
      </c>
      <c r="P152" s="71">
        <v>24.0</v>
      </c>
      <c r="Q152" s="71">
        <v>5.81</v>
      </c>
      <c r="R152" s="71" t="s">
        <v>71</v>
      </c>
      <c r="S152" s="71" t="s">
        <v>636</v>
      </c>
      <c r="T152" s="71" t="str">
        <f>Difensori!K90</f>
        <v>4a fascia</v>
      </c>
      <c r="U152" s="71" t="s">
        <v>333</v>
      </c>
      <c r="V152" s="71">
        <v>0.0</v>
      </c>
      <c r="W152" s="71">
        <f t="shared" si="1"/>
        <v>408</v>
      </c>
      <c r="AC152" s="71" t="s">
        <v>1577</v>
      </c>
      <c r="AD152" s="71" t="s">
        <v>1578</v>
      </c>
    </row>
    <row r="153" ht="15.75" customHeight="1">
      <c r="A153" s="71" t="s">
        <v>1436</v>
      </c>
      <c r="B153" s="71" t="s">
        <v>62</v>
      </c>
      <c r="C153" s="71">
        <v>91.0</v>
      </c>
      <c r="D153" s="71" t="s">
        <v>682</v>
      </c>
      <c r="E153" s="71" t="s">
        <v>1256</v>
      </c>
      <c r="F153" s="71" t="s">
        <v>283</v>
      </c>
      <c r="G153" s="71" t="s">
        <v>666</v>
      </c>
      <c r="H153" s="71">
        <v>3.0</v>
      </c>
      <c r="I153" s="71">
        <v>3.0</v>
      </c>
      <c r="J153" s="71">
        <v>14.0</v>
      </c>
      <c r="K153" s="72">
        <f>Difensori!I91</f>
        <v>6</v>
      </c>
      <c r="L153" s="73">
        <f>Difensori!AE91</f>
        <v>5.68</v>
      </c>
      <c r="M153" s="74">
        <f>Difensori!B91</f>
        <v>7.9</v>
      </c>
      <c r="N153" s="71">
        <f>Difensori!A91</f>
        <v>88</v>
      </c>
      <c r="O153" s="71" t="s">
        <v>226</v>
      </c>
      <c r="P153" s="71">
        <v>21.0</v>
      </c>
      <c r="Q153" s="71">
        <v>5.71</v>
      </c>
      <c r="R153" s="71" t="s">
        <v>71</v>
      </c>
      <c r="S153" s="71" t="s">
        <v>696</v>
      </c>
      <c r="T153" s="71" t="str">
        <f>Difensori!K91</f>
        <v>4a fascia</v>
      </c>
      <c r="U153" s="71" t="s">
        <v>277</v>
      </c>
      <c r="V153" s="71">
        <v>2.0</v>
      </c>
      <c r="W153" s="71">
        <f t="shared" si="1"/>
        <v>248</v>
      </c>
      <c r="AC153" s="71" t="s">
        <v>1580</v>
      </c>
      <c r="AD153" s="71" t="s">
        <v>1581</v>
      </c>
    </row>
    <row r="154" ht="15.75" customHeight="1">
      <c r="A154" s="71" t="s">
        <v>1439</v>
      </c>
      <c r="B154" s="71" t="s">
        <v>62</v>
      </c>
      <c r="C154" s="71">
        <v>92.0</v>
      </c>
      <c r="D154" s="71" t="s">
        <v>710</v>
      </c>
      <c r="E154" s="71" t="s">
        <v>1215</v>
      </c>
      <c r="F154" s="71" t="s">
        <v>133</v>
      </c>
      <c r="G154" s="71" t="s">
        <v>666</v>
      </c>
      <c r="H154" s="71">
        <v>8.0</v>
      </c>
      <c r="I154" s="71">
        <v>8.0</v>
      </c>
      <c r="J154" s="71">
        <v>25.0</v>
      </c>
      <c r="K154" s="72">
        <f>Difensori!I92</f>
        <v>9</v>
      </c>
      <c r="L154" s="73">
        <f>Difensori!AE92</f>
        <v>5.5</v>
      </c>
      <c r="M154" s="74">
        <f>Difensori!B92</f>
        <v>7.8</v>
      </c>
      <c r="N154" s="71">
        <f>Difensori!A92</f>
        <v>89</v>
      </c>
      <c r="O154" s="71" t="s">
        <v>68</v>
      </c>
      <c r="P154" s="71">
        <v>0.0</v>
      </c>
      <c r="R154" s="71" t="s">
        <v>71</v>
      </c>
      <c r="S154" s="71" t="s">
        <v>630</v>
      </c>
      <c r="T154" s="71" t="str">
        <f>Difensori!K92</f>
        <v>3a fascia</v>
      </c>
      <c r="U154" s="71" t="s">
        <v>100</v>
      </c>
      <c r="V154" s="71">
        <v>2.0</v>
      </c>
      <c r="W154" s="71">
        <f t="shared" si="1"/>
        <v>133</v>
      </c>
      <c r="AC154" s="71" t="s">
        <v>1582</v>
      </c>
      <c r="AD154" s="71" t="s">
        <v>1583</v>
      </c>
    </row>
    <row r="155" ht="15.75" customHeight="1">
      <c r="A155" s="71" t="s">
        <v>1442</v>
      </c>
      <c r="B155" s="71" t="s">
        <v>62</v>
      </c>
      <c r="C155" s="71">
        <v>93.0</v>
      </c>
      <c r="D155" s="71" t="s">
        <v>720</v>
      </c>
      <c r="E155" s="71" t="s">
        <v>1209</v>
      </c>
      <c r="F155" s="71" t="s">
        <v>64</v>
      </c>
      <c r="G155" s="71" t="s">
        <v>666</v>
      </c>
      <c r="H155" s="71">
        <v>12.0</v>
      </c>
      <c r="I155" s="71">
        <v>12.0</v>
      </c>
      <c r="J155" s="71">
        <v>25.0</v>
      </c>
      <c r="K155" s="72">
        <f>Difensori!I93</f>
        <v>9</v>
      </c>
      <c r="L155" s="73">
        <f>Difensori!AE93</f>
        <v>5.5</v>
      </c>
      <c r="M155" s="74">
        <f>Difensori!B93</f>
        <v>7.8</v>
      </c>
      <c r="N155" s="71">
        <f>Difensori!A93</f>
        <v>89</v>
      </c>
      <c r="O155" s="71" t="s">
        <v>226</v>
      </c>
      <c r="P155" s="71">
        <v>0.0</v>
      </c>
      <c r="R155" s="71" t="s">
        <v>71</v>
      </c>
      <c r="S155" s="71" t="s">
        <v>723</v>
      </c>
      <c r="T155" s="71" t="str">
        <f>Difensori!K93</f>
        <v>3a fascia</v>
      </c>
      <c r="U155" s="71" t="s">
        <v>300</v>
      </c>
      <c r="V155" s="71">
        <v>2.0</v>
      </c>
      <c r="W155" s="71">
        <f t="shared" si="1"/>
        <v>133</v>
      </c>
      <c r="AC155" s="71" t="s">
        <v>1584</v>
      </c>
      <c r="AD155" s="71" t="s">
        <v>1585</v>
      </c>
    </row>
    <row r="156" ht="15.75" customHeight="1">
      <c r="A156" s="71" t="s">
        <v>1444</v>
      </c>
      <c r="B156" s="71" t="s">
        <v>62</v>
      </c>
      <c r="C156" s="71">
        <v>94.0</v>
      </c>
      <c r="D156" s="71" t="s">
        <v>697</v>
      </c>
      <c r="E156" s="71" t="s">
        <v>1243</v>
      </c>
      <c r="F156" s="71" t="s">
        <v>253</v>
      </c>
      <c r="G156" s="71" t="s">
        <v>666</v>
      </c>
      <c r="H156" s="71">
        <v>4.0</v>
      </c>
      <c r="I156" s="71">
        <v>4.0</v>
      </c>
      <c r="J156" s="71">
        <v>10.0</v>
      </c>
      <c r="K156" s="72">
        <f>Difensori!I94</f>
        <v>5</v>
      </c>
      <c r="L156" s="73">
        <f>Difensori!AE94</f>
        <v>5.74</v>
      </c>
      <c r="M156" s="74">
        <f>Difensori!B94</f>
        <v>7.8</v>
      </c>
      <c r="N156" s="71">
        <f>Difensori!A94</f>
        <v>89</v>
      </c>
      <c r="O156" s="71" t="s">
        <v>226</v>
      </c>
      <c r="P156" s="71">
        <v>34.0</v>
      </c>
      <c r="Q156" s="71">
        <v>5.74</v>
      </c>
      <c r="R156" s="71" t="s">
        <v>71</v>
      </c>
      <c r="S156" s="71" t="s">
        <v>583</v>
      </c>
      <c r="T156" s="71" t="str">
        <f>Difensori!K94</f>
        <v>4a fascia</v>
      </c>
      <c r="U156" s="71" t="s">
        <v>477</v>
      </c>
      <c r="V156" s="71">
        <v>0.0</v>
      </c>
      <c r="W156" s="71">
        <f t="shared" si="1"/>
        <v>342</v>
      </c>
      <c r="AC156" s="71" t="s">
        <v>1586</v>
      </c>
      <c r="AD156" s="71" t="s">
        <v>1587</v>
      </c>
    </row>
    <row r="157" ht="15.75" customHeight="1">
      <c r="A157" s="71" t="s">
        <v>1446</v>
      </c>
      <c r="B157" s="71" t="s">
        <v>62</v>
      </c>
      <c r="C157" s="71">
        <v>95.0</v>
      </c>
      <c r="D157" s="71" t="s">
        <v>727</v>
      </c>
      <c r="E157" s="71" t="s">
        <v>1236</v>
      </c>
      <c r="F157" s="71" t="s">
        <v>232</v>
      </c>
      <c r="G157" s="71" t="s">
        <v>666</v>
      </c>
      <c r="H157" s="71">
        <v>4.0</v>
      </c>
      <c r="I157" s="71">
        <v>4.0</v>
      </c>
      <c r="J157" s="71">
        <v>12.0</v>
      </c>
      <c r="K157" s="72">
        <f>Difensori!I95</f>
        <v>6</v>
      </c>
      <c r="L157" s="73">
        <f>Difensori!AE95</f>
        <v>5.7</v>
      </c>
      <c r="M157" s="74">
        <f>Difensori!B95</f>
        <v>7.7</v>
      </c>
      <c r="N157" s="71">
        <f>Difensori!A95</f>
        <v>92</v>
      </c>
      <c r="O157" s="71" t="s">
        <v>226</v>
      </c>
      <c r="P157" s="71">
        <v>19.0</v>
      </c>
      <c r="Q157" s="71">
        <v>5.76</v>
      </c>
      <c r="R157" s="71" t="s">
        <v>71</v>
      </c>
      <c r="S157" s="71" t="s">
        <v>646</v>
      </c>
      <c r="T157" s="71" t="str">
        <f>Difensori!K95</f>
        <v>4a fascia</v>
      </c>
      <c r="U157" s="71" t="s">
        <v>277</v>
      </c>
      <c r="V157" s="71">
        <v>2.0</v>
      </c>
      <c r="W157" s="71">
        <f t="shared" si="1"/>
        <v>282</v>
      </c>
      <c r="AC157" s="71" t="s">
        <v>1589</v>
      </c>
      <c r="AD157" s="71" t="s">
        <v>1590</v>
      </c>
    </row>
    <row r="158" ht="15.75" customHeight="1">
      <c r="A158" s="71" t="s">
        <v>1448</v>
      </c>
      <c r="B158" s="71" t="s">
        <v>62</v>
      </c>
      <c r="C158" s="71">
        <v>96.0</v>
      </c>
      <c r="D158" s="71" t="s">
        <v>730</v>
      </c>
      <c r="E158" s="71" t="s">
        <v>1213</v>
      </c>
      <c r="F158" s="71" t="s">
        <v>175</v>
      </c>
      <c r="G158" s="71" t="s">
        <v>666</v>
      </c>
      <c r="H158" s="71">
        <v>2.0</v>
      </c>
      <c r="I158" s="71">
        <v>2.0</v>
      </c>
      <c r="J158" s="71">
        <v>4.0</v>
      </c>
      <c r="K158" s="72">
        <f>Difensori!I96</f>
        <v>3</v>
      </c>
      <c r="L158" s="73">
        <f>Difensori!AE96</f>
        <v>5.83</v>
      </c>
      <c r="M158" s="74">
        <f>Difensori!B96</f>
        <v>7.7</v>
      </c>
      <c r="N158" s="71">
        <f>Difensori!A96</f>
        <v>92</v>
      </c>
      <c r="O158" s="71" t="s">
        <v>332</v>
      </c>
      <c r="P158" s="71">
        <v>35.0</v>
      </c>
      <c r="Q158" s="71">
        <v>5.83</v>
      </c>
      <c r="R158" s="71" t="s">
        <v>71</v>
      </c>
      <c r="S158" s="71" t="s">
        <v>583</v>
      </c>
      <c r="T158" s="71" t="str">
        <f>Difensori!K96</f>
        <v>4a fascia</v>
      </c>
      <c r="U158" s="71" t="s">
        <v>338</v>
      </c>
      <c r="V158" s="71">
        <v>0.0</v>
      </c>
      <c r="W158" s="71">
        <f t="shared" si="1"/>
        <v>448</v>
      </c>
      <c r="AC158" s="71" t="s">
        <v>1591</v>
      </c>
      <c r="AD158" s="71" t="s">
        <v>1592</v>
      </c>
    </row>
    <row r="159" ht="15.75" customHeight="1">
      <c r="A159" s="71" t="s">
        <v>1450</v>
      </c>
      <c r="B159" s="71" t="s">
        <v>62</v>
      </c>
      <c r="C159" s="71">
        <v>97.0</v>
      </c>
      <c r="D159" s="71" t="s">
        <v>737</v>
      </c>
      <c r="E159" s="71" t="s">
        <v>1247</v>
      </c>
      <c r="F159" s="71" t="s">
        <v>264</v>
      </c>
      <c r="G159" s="71" t="s">
        <v>666</v>
      </c>
      <c r="H159" s="71">
        <v>6.0</v>
      </c>
      <c r="I159" s="71">
        <v>5.0</v>
      </c>
      <c r="J159" s="71">
        <v>13.0</v>
      </c>
      <c r="K159" s="72">
        <f>Difensori!I97</f>
        <v>6</v>
      </c>
      <c r="L159" s="73">
        <f>Difensori!AE97</f>
        <v>5.68</v>
      </c>
      <c r="M159" s="74">
        <f>Difensori!B97</f>
        <v>7.6</v>
      </c>
      <c r="N159" s="71">
        <f>Difensori!A97</f>
        <v>94</v>
      </c>
      <c r="O159" s="71" t="s">
        <v>68</v>
      </c>
      <c r="P159" s="71">
        <v>18.0</v>
      </c>
      <c r="Q159" s="71">
        <v>5.75</v>
      </c>
      <c r="R159" s="71" t="s">
        <v>71</v>
      </c>
      <c r="S159" s="71" t="s">
        <v>739</v>
      </c>
      <c r="T159" s="71" t="str">
        <f>Difensori!K97</f>
        <v>4a fascia</v>
      </c>
      <c r="U159" s="71" t="s">
        <v>100</v>
      </c>
      <c r="V159" s="71">
        <v>2.0</v>
      </c>
      <c r="W159" s="71">
        <f t="shared" si="1"/>
        <v>262</v>
      </c>
      <c r="AC159" s="71" t="s">
        <v>1593</v>
      </c>
      <c r="AD159" s="71" t="s">
        <v>1594</v>
      </c>
    </row>
    <row r="160" ht="15.75" customHeight="1">
      <c r="A160" s="71" t="s">
        <v>1453</v>
      </c>
      <c r="B160" s="71" t="s">
        <v>62</v>
      </c>
      <c r="C160" s="71">
        <v>98.0</v>
      </c>
      <c r="D160" s="71" t="s">
        <v>746</v>
      </c>
      <c r="E160" s="71" t="s">
        <v>1236</v>
      </c>
      <c r="F160" s="71" t="s">
        <v>232</v>
      </c>
      <c r="G160" s="71" t="s">
        <v>666</v>
      </c>
      <c r="H160" s="71">
        <v>5.0</v>
      </c>
      <c r="I160" s="71">
        <v>6.0</v>
      </c>
      <c r="J160" s="71">
        <v>12.0</v>
      </c>
      <c r="K160" s="72">
        <f>Difensori!I98</f>
        <v>6</v>
      </c>
      <c r="L160" s="73">
        <f>Difensori!AE98</f>
        <v>5.69</v>
      </c>
      <c r="M160" s="74">
        <f>Difensori!B98</f>
        <v>7.5</v>
      </c>
      <c r="N160" s="71">
        <f>Difensori!A98</f>
        <v>95</v>
      </c>
      <c r="O160" s="71" t="s">
        <v>68</v>
      </c>
      <c r="P160" s="71">
        <v>36.0</v>
      </c>
      <c r="Q160" s="71">
        <v>5.69</v>
      </c>
      <c r="R160" s="71" t="s">
        <v>71</v>
      </c>
      <c r="S160" s="71" t="s">
        <v>630</v>
      </c>
      <c r="T160" s="71" t="str">
        <f>Difensori!K98</f>
        <v>4a fascia</v>
      </c>
      <c r="U160" s="71" t="s">
        <v>70</v>
      </c>
      <c r="V160" s="71">
        <v>2.0</v>
      </c>
      <c r="W160" s="71">
        <f t="shared" si="1"/>
        <v>282</v>
      </c>
      <c r="AC160" s="71" t="s">
        <v>1596</v>
      </c>
      <c r="AD160" s="71" t="s">
        <v>1597</v>
      </c>
    </row>
    <row r="161" ht="15.75" customHeight="1">
      <c r="A161" s="71" t="s">
        <v>1455</v>
      </c>
      <c r="B161" s="71" t="s">
        <v>62</v>
      </c>
      <c r="C161" s="71">
        <v>99.0</v>
      </c>
      <c r="D161" s="71" t="s">
        <v>755</v>
      </c>
      <c r="E161" s="71" t="s">
        <v>1217</v>
      </c>
      <c r="F161" s="71" t="s">
        <v>191</v>
      </c>
      <c r="G161" s="71" t="s">
        <v>666</v>
      </c>
      <c r="H161" s="71">
        <v>5.0</v>
      </c>
      <c r="I161" s="71">
        <v>5.0</v>
      </c>
      <c r="J161" s="71">
        <v>13.0</v>
      </c>
      <c r="K161" s="72">
        <f>Difensori!I99</f>
        <v>6</v>
      </c>
      <c r="L161" s="73">
        <f>Difensori!AE99</f>
        <v>5.66</v>
      </c>
      <c r="M161" s="74">
        <f>Difensori!B99</f>
        <v>7.3</v>
      </c>
      <c r="N161" s="71">
        <f>Difensori!A99</f>
        <v>96</v>
      </c>
      <c r="O161" s="71" t="s">
        <v>332</v>
      </c>
      <c r="P161" s="71">
        <v>22.0</v>
      </c>
      <c r="Q161" s="71">
        <v>5.68</v>
      </c>
      <c r="R161" s="71" t="s">
        <v>71</v>
      </c>
      <c r="S161" s="71" t="s">
        <v>636</v>
      </c>
      <c r="T161" s="71" t="str">
        <f>Difensori!K99</f>
        <v>4a fascia</v>
      </c>
      <c r="U161" s="71" t="s">
        <v>408</v>
      </c>
      <c r="V161" s="71">
        <v>1.0</v>
      </c>
      <c r="W161" s="71">
        <f t="shared" si="1"/>
        <v>262</v>
      </c>
      <c r="AC161" s="71" t="s">
        <v>1599</v>
      </c>
      <c r="AD161" s="71" t="s">
        <v>1600</v>
      </c>
    </row>
    <row r="162" ht="15.75" customHeight="1">
      <c r="A162" s="71" t="s">
        <v>1458</v>
      </c>
      <c r="B162" s="71" t="s">
        <v>62</v>
      </c>
      <c r="C162" s="71">
        <v>100.0</v>
      </c>
      <c r="D162" s="71" t="s">
        <v>762</v>
      </c>
      <c r="E162" s="71" t="s">
        <v>1237</v>
      </c>
      <c r="F162" s="71" t="s">
        <v>239</v>
      </c>
      <c r="G162" s="71" t="s">
        <v>666</v>
      </c>
      <c r="H162" s="71">
        <v>5.0</v>
      </c>
      <c r="I162" s="71">
        <v>5.0</v>
      </c>
      <c r="J162" s="71">
        <v>13.0</v>
      </c>
      <c r="K162" s="72">
        <f>Difensori!I100</f>
        <v>6</v>
      </c>
      <c r="L162" s="73">
        <f>Difensori!AE100</f>
        <v>5.66</v>
      </c>
      <c r="M162" s="74">
        <f>Difensori!B100</f>
        <v>7.3</v>
      </c>
      <c r="N162" s="71">
        <f>Difensori!A100</f>
        <v>96</v>
      </c>
      <c r="O162" s="71" t="s">
        <v>68</v>
      </c>
      <c r="P162" s="71">
        <v>22.0</v>
      </c>
      <c r="Q162" s="71">
        <v>5.68</v>
      </c>
      <c r="R162" s="71" t="s">
        <v>71</v>
      </c>
      <c r="S162" s="71" t="s">
        <v>630</v>
      </c>
      <c r="T162" s="71" t="str">
        <f>Difensori!K100</f>
        <v>4a fascia</v>
      </c>
      <c r="U162" s="71" t="s">
        <v>70</v>
      </c>
      <c r="V162" s="71">
        <v>2.0</v>
      </c>
      <c r="W162" s="71">
        <f t="shared" si="1"/>
        <v>262</v>
      </c>
      <c r="AC162" s="71" t="s">
        <v>1601</v>
      </c>
      <c r="AD162" s="71" t="s">
        <v>1602</v>
      </c>
    </row>
    <row r="163" ht="15.75" customHeight="1">
      <c r="A163" s="71" t="s">
        <v>1460</v>
      </c>
      <c r="B163" s="71" t="s">
        <v>62</v>
      </c>
      <c r="C163" s="71">
        <v>101.0</v>
      </c>
      <c r="D163" s="71" t="s">
        <v>773</v>
      </c>
      <c r="E163" s="71" t="s">
        <v>1237</v>
      </c>
      <c r="F163" s="71" t="s">
        <v>239</v>
      </c>
      <c r="G163" s="71" t="s">
        <v>666</v>
      </c>
      <c r="H163" s="71">
        <v>3.0</v>
      </c>
      <c r="I163" s="71">
        <v>4.0</v>
      </c>
      <c r="J163" s="71">
        <v>14.0</v>
      </c>
      <c r="K163" s="72">
        <f>Difensori!I101</f>
        <v>6</v>
      </c>
      <c r="L163" s="73">
        <f>Difensori!AE101</f>
        <v>5.64</v>
      </c>
      <c r="M163" s="74">
        <f>Difensori!B101</f>
        <v>7.2</v>
      </c>
      <c r="N163" s="71">
        <f>Difensori!A101</f>
        <v>98</v>
      </c>
      <c r="O163" s="71" t="s">
        <v>226</v>
      </c>
      <c r="P163" s="71">
        <v>16.0</v>
      </c>
      <c r="Q163" s="71">
        <v>5.72</v>
      </c>
      <c r="R163" s="71" t="s">
        <v>71</v>
      </c>
      <c r="S163" s="71" t="s">
        <v>630</v>
      </c>
      <c r="T163" s="71" t="str">
        <f>Difensori!K101</f>
        <v>4a fascia</v>
      </c>
      <c r="U163" s="71" t="s">
        <v>277</v>
      </c>
      <c r="V163" s="71">
        <v>2.0</v>
      </c>
      <c r="W163" s="71">
        <f t="shared" si="1"/>
        <v>248</v>
      </c>
      <c r="AC163" s="71" t="s">
        <v>1604</v>
      </c>
      <c r="AD163" s="71" t="s">
        <v>1605</v>
      </c>
    </row>
    <row r="164" ht="15.75" customHeight="1">
      <c r="A164" s="71" t="s">
        <v>1462</v>
      </c>
      <c r="B164" s="71" t="s">
        <v>62</v>
      </c>
      <c r="C164" s="71">
        <v>102.0</v>
      </c>
      <c r="D164" s="71" t="s">
        <v>777</v>
      </c>
      <c r="E164" s="71" t="s">
        <v>1256</v>
      </c>
      <c r="F164" s="71" t="s">
        <v>283</v>
      </c>
      <c r="G164" s="71" t="s">
        <v>666</v>
      </c>
      <c r="H164" s="71">
        <v>3.0</v>
      </c>
      <c r="I164" s="71">
        <v>3.0</v>
      </c>
      <c r="J164" s="71">
        <v>10.0</v>
      </c>
      <c r="K164" s="72">
        <f>Difensori!I102</f>
        <v>5</v>
      </c>
      <c r="L164" s="73">
        <f>Difensori!AE102</f>
        <v>5.7</v>
      </c>
      <c r="M164" s="74">
        <f>Difensori!B102</f>
        <v>7.2</v>
      </c>
      <c r="N164" s="71">
        <f>Difensori!A102</f>
        <v>98</v>
      </c>
      <c r="O164" s="71" t="s">
        <v>226</v>
      </c>
      <c r="P164" s="71">
        <v>28.0</v>
      </c>
      <c r="Q164" s="71">
        <v>5.7</v>
      </c>
      <c r="R164" s="71" t="s">
        <v>71</v>
      </c>
      <c r="S164" s="71" t="s">
        <v>630</v>
      </c>
      <c r="T164" s="71" t="str">
        <f>Difensori!K102</f>
        <v>4a fascia</v>
      </c>
      <c r="U164" s="71" t="s">
        <v>301</v>
      </c>
      <c r="V164" s="71">
        <v>1.0</v>
      </c>
      <c r="W164" s="71">
        <f t="shared" si="1"/>
        <v>342</v>
      </c>
      <c r="AC164" s="71" t="s">
        <v>1606</v>
      </c>
      <c r="AD164" s="71" t="s">
        <v>1607</v>
      </c>
    </row>
    <row r="165" ht="15.75" customHeight="1">
      <c r="A165" s="71" t="s">
        <v>1464</v>
      </c>
      <c r="B165" s="71" t="s">
        <v>62</v>
      </c>
      <c r="C165" s="71">
        <v>103.0</v>
      </c>
      <c r="D165" s="71" t="s">
        <v>779</v>
      </c>
      <c r="E165" s="71" t="s">
        <v>1219</v>
      </c>
      <c r="F165" s="71" t="s">
        <v>195</v>
      </c>
      <c r="G165" s="71" t="s">
        <v>666</v>
      </c>
      <c r="H165" s="71">
        <v>3.0</v>
      </c>
      <c r="I165" s="71">
        <v>4.0</v>
      </c>
      <c r="J165" s="71">
        <v>10.0</v>
      </c>
      <c r="K165" s="72">
        <f>Difensori!I103</f>
        <v>5</v>
      </c>
      <c r="L165" s="73">
        <f>Difensori!AE103</f>
        <v>5.7</v>
      </c>
      <c r="M165" s="74">
        <f>Difensori!B103</f>
        <v>7.2</v>
      </c>
      <c r="N165" s="71">
        <f>Difensori!A103</f>
        <v>98</v>
      </c>
      <c r="O165" s="71" t="s">
        <v>332</v>
      </c>
      <c r="P165" s="71">
        <v>23.0</v>
      </c>
      <c r="Q165" s="71">
        <v>5.72</v>
      </c>
      <c r="R165" s="71" t="s">
        <v>71</v>
      </c>
      <c r="S165" s="71" t="s">
        <v>583</v>
      </c>
      <c r="T165" s="71" t="str">
        <f>Difensori!K103</f>
        <v>4a fascia</v>
      </c>
      <c r="U165" s="71" t="s">
        <v>473</v>
      </c>
      <c r="V165" s="71">
        <v>2.0</v>
      </c>
      <c r="W165" s="71">
        <f t="shared" si="1"/>
        <v>342</v>
      </c>
      <c r="AC165" s="71" t="s">
        <v>1608</v>
      </c>
      <c r="AD165" s="71" t="s">
        <v>1609</v>
      </c>
    </row>
    <row r="166" ht="15.75" customHeight="1">
      <c r="A166" s="71" t="s">
        <v>1466</v>
      </c>
      <c r="B166" s="71" t="s">
        <v>62</v>
      </c>
      <c r="C166" s="71">
        <v>104.0</v>
      </c>
      <c r="D166" s="71" t="s">
        <v>781</v>
      </c>
      <c r="E166" s="71" t="s">
        <v>1213</v>
      </c>
      <c r="F166" s="71" t="s">
        <v>175</v>
      </c>
      <c r="G166" s="71" t="s">
        <v>666</v>
      </c>
      <c r="H166" s="71">
        <v>3.0</v>
      </c>
      <c r="I166" s="71">
        <v>3.0</v>
      </c>
      <c r="J166" s="71">
        <v>13.0</v>
      </c>
      <c r="K166" s="72">
        <f>Difensori!I104</f>
        <v>6</v>
      </c>
      <c r="L166" s="73">
        <f>Difensori!AE104</f>
        <v>5.62</v>
      </c>
      <c r="M166" s="74">
        <f>Difensori!B104</f>
        <v>6.7</v>
      </c>
      <c r="N166" s="71">
        <f>Difensori!A104</f>
        <v>101</v>
      </c>
      <c r="O166" s="71" t="s">
        <v>332</v>
      </c>
      <c r="P166" s="71">
        <v>14.0</v>
      </c>
      <c r="Q166" s="71">
        <v>5.71</v>
      </c>
      <c r="R166" s="71" t="s">
        <v>71</v>
      </c>
      <c r="S166" s="71" t="s">
        <v>196</v>
      </c>
      <c r="T166" s="71" t="str">
        <f>Difensori!K104</f>
        <v>4a fascia</v>
      </c>
      <c r="U166" s="71" t="s">
        <v>408</v>
      </c>
      <c r="V166" s="71">
        <v>1.0</v>
      </c>
      <c r="W166" s="71">
        <f t="shared" si="1"/>
        <v>262</v>
      </c>
      <c r="AC166" s="71" t="s">
        <v>1610</v>
      </c>
      <c r="AD166" s="71" t="s">
        <v>1611</v>
      </c>
    </row>
    <row r="167" ht="15.75" customHeight="1">
      <c r="A167" s="71" t="s">
        <v>1468</v>
      </c>
      <c r="B167" s="71" t="s">
        <v>62</v>
      </c>
      <c r="C167" s="71">
        <v>105.0</v>
      </c>
      <c r="D167" s="71" t="s">
        <v>783</v>
      </c>
      <c r="E167" s="71" t="s">
        <v>1225</v>
      </c>
      <c r="F167" s="71" t="s">
        <v>208</v>
      </c>
      <c r="G167" s="71" t="s">
        <v>666</v>
      </c>
      <c r="H167" s="71">
        <v>8.0</v>
      </c>
      <c r="I167" s="71">
        <v>7.0</v>
      </c>
      <c r="J167" s="71">
        <v>20.0</v>
      </c>
      <c r="K167" s="72">
        <f>Difensori!I105</f>
        <v>8</v>
      </c>
      <c r="L167" s="73">
        <f>Difensori!AE105</f>
        <v>5.5</v>
      </c>
      <c r="M167" s="74">
        <f>Difensori!B105</f>
        <v>6.6</v>
      </c>
      <c r="N167" s="71">
        <f>Difensori!A105</f>
        <v>102</v>
      </c>
      <c r="O167" s="71" t="s">
        <v>68</v>
      </c>
      <c r="P167" s="71">
        <v>0.0</v>
      </c>
      <c r="R167" s="71" t="s">
        <v>71</v>
      </c>
      <c r="S167" s="71" t="s">
        <v>412</v>
      </c>
      <c r="T167" s="71" t="str">
        <f>Difensori!K105</f>
        <v>3a fascia</v>
      </c>
      <c r="U167" s="71" t="s">
        <v>100</v>
      </c>
      <c r="V167" s="71">
        <v>2.0</v>
      </c>
      <c r="W167" s="71">
        <f t="shared" si="1"/>
        <v>173</v>
      </c>
      <c r="AC167" s="71" t="s">
        <v>1612</v>
      </c>
      <c r="AD167" s="71" t="s">
        <v>1613</v>
      </c>
    </row>
    <row r="168" ht="15.75" customHeight="1">
      <c r="A168" s="71" t="s">
        <v>1470</v>
      </c>
      <c r="B168" s="71" t="s">
        <v>62</v>
      </c>
      <c r="C168" s="71">
        <v>106.0</v>
      </c>
      <c r="D168" s="71" t="s">
        <v>786</v>
      </c>
      <c r="E168" s="71" t="s">
        <v>1222</v>
      </c>
      <c r="F168" s="71" t="s">
        <v>182</v>
      </c>
      <c r="G168" s="71" t="s">
        <v>666</v>
      </c>
      <c r="H168" s="71">
        <v>8.0</v>
      </c>
      <c r="I168" s="71">
        <v>8.0</v>
      </c>
      <c r="J168" s="71">
        <v>20.0</v>
      </c>
      <c r="K168" s="72">
        <f>Difensori!I106</f>
        <v>8</v>
      </c>
      <c r="L168" s="73">
        <f>Difensori!AE106</f>
        <v>5.5</v>
      </c>
      <c r="M168" s="74">
        <f>Difensori!B106</f>
        <v>6.6</v>
      </c>
      <c r="N168" s="71">
        <f>Difensori!A106</f>
        <v>102</v>
      </c>
      <c r="O168" s="71" t="s">
        <v>68</v>
      </c>
      <c r="P168" s="71">
        <v>0.0</v>
      </c>
      <c r="R168" s="71" t="s">
        <v>71</v>
      </c>
      <c r="S168" s="71" t="s">
        <v>113</v>
      </c>
      <c r="T168" s="71" t="str">
        <f>Difensori!K106</f>
        <v>3a fascia</v>
      </c>
      <c r="U168" s="71" t="s">
        <v>214</v>
      </c>
      <c r="V168" s="71">
        <v>0.0</v>
      </c>
      <c r="W168" s="71">
        <f t="shared" si="1"/>
        <v>173</v>
      </c>
      <c r="AC168" s="71" t="s">
        <v>1614</v>
      </c>
      <c r="AD168" s="71" t="s">
        <v>1615</v>
      </c>
    </row>
    <row r="169" ht="15.75" customHeight="1">
      <c r="A169" s="71" t="s">
        <v>1472</v>
      </c>
      <c r="B169" s="71" t="s">
        <v>62</v>
      </c>
      <c r="C169" s="71">
        <v>107.0</v>
      </c>
      <c r="D169" s="71" t="s">
        <v>788</v>
      </c>
      <c r="E169" s="71" t="s">
        <v>1247</v>
      </c>
      <c r="F169" s="71" t="s">
        <v>264</v>
      </c>
      <c r="G169" s="71" t="s">
        <v>666</v>
      </c>
      <c r="H169" s="71">
        <v>1.0</v>
      </c>
      <c r="I169" s="71">
        <v>1.0</v>
      </c>
      <c r="J169" s="71">
        <v>10.0</v>
      </c>
      <c r="K169" s="72">
        <f>Difensori!I107</f>
        <v>5</v>
      </c>
      <c r="L169" s="73">
        <f>Difensori!AE107</f>
        <v>5.66</v>
      </c>
      <c r="M169" s="74">
        <f>Difensori!B107</f>
        <v>6.6</v>
      </c>
      <c r="N169" s="71">
        <f>Difensori!A107</f>
        <v>102</v>
      </c>
      <c r="O169" s="71" t="s">
        <v>332</v>
      </c>
      <c r="P169" s="71">
        <v>9.0</v>
      </c>
      <c r="Q169" s="71">
        <v>5.94</v>
      </c>
      <c r="R169" s="71" t="s">
        <v>71</v>
      </c>
      <c r="S169" s="71" t="s">
        <v>270</v>
      </c>
      <c r="T169" s="71" t="str">
        <f>Difensori!K107</f>
        <v>4a fascia</v>
      </c>
      <c r="U169" s="71" t="s">
        <v>338</v>
      </c>
      <c r="V169" s="71">
        <v>0.0</v>
      </c>
      <c r="W169" s="71">
        <f t="shared" si="1"/>
        <v>342</v>
      </c>
      <c r="AC169" s="71" t="s">
        <v>1617</v>
      </c>
      <c r="AD169" s="71" t="s">
        <v>1618</v>
      </c>
    </row>
    <row r="170" ht="15.75" customHeight="1">
      <c r="A170" s="71" t="s">
        <v>1474</v>
      </c>
      <c r="B170" s="71" t="s">
        <v>62</v>
      </c>
      <c r="C170" s="71">
        <v>108.0</v>
      </c>
      <c r="D170" s="71" t="s">
        <v>790</v>
      </c>
      <c r="E170" s="71" t="s">
        <v>1236</v>
      </c>
      <c r="F170" s="71" t="s">
        <v>232</v>
      </c>
      <c r="G170" s="71" t="s">
        <v>666</v>
      </c>
      <c r="H170" s="71">
        <v>5.0</v>
      </c>
      <c r="I170" s="71">
        <v>5.0</v>
      </c>
      <c r="J170" s="71">
        <v>12.0</v>
      </c>
      <c r="K170" s="72">
        <f>Difensori!I108</f>
        <v>6</v>
      </c>
      <c r="L170" s="73">
        <f>Difensori!AE108</f>
        <v>5.62</v>
      </c>
      <c r="M170" s="74">
        <f>Difensori!B108</f>
        <v>6.4</v>
      </c>
      <c r="N170" s="71">
        <f>Difensori!A108</f>
        <v>105</v>
      </c>
      <c r="O170" s="71" t="s">
        <v>68</v>
      </c>
      <c r="P170" s="71">
        <v>21.0</v>
      </c>
      <c r="Q170" s="71">
        <v>5.64</v>
      </c>
      <c r="R170" s="71" t="s">
        <v>71</v>
      </c>
      <c r="S170" s="71" t="s">
        <v>417</v>
      </c>
      <c r="T170" s="71" t="str">
        <f>Difensori!K108</f>
        <v>4a fascia</v>
      </c>
      <c r="U170" s="71" t="s">
        <v>70</v>
      </c>
      <c r="V170" s="71">
        <v>2.0</v>
      </c>
      <c r="W170" s="71">
        <f t="shared" si="1"/>
        <v>282</v>
      </c>
      <c r="AC170" s="71" t="s">
        <v>1619</v>
      </c>
      <c r="AD170" s="71" t="s">
        <v>1620</v>
      </c>
    </row>
    <row r="171" ht="15.75" customHeight="1">
      <c r="A171" s="71" t="s">
        <v>1477</v>
      </c>
      <c r="B171" s="71" t="s">
        <v>62</v>
      </c>
      <c r="C171" s="71">
        <v>109.0</v>
      </c>
      <c r="D171" s="71" t="s">
        <v>792</v>
      </c>
      <c r="E171" s="71" t="s">
        <v>1219</v>
      </c>
      <c r="F171" s="71" t="s">
        <v>195</v>
      </c>
      <c r="G171" s="71" t="s">
        <v>666</v>
      </c>
      <c r="H171" s="71">
        <v>7.0</v>
      </c>
      <c r="I171" s="71">
        <v>7.0</v>
      </c>
      <c r="J171" s="71">
        <v>19.0</v>
      </c>
      <c r="K171" s="72">
        <f>Difensori!I109</f>
        <v>7</v>
      </c>
      <c r="L171" s="73">
        <f>Difensori!AE109</f>
        <v>5.5</v>
      </c>
      <c r="M171" s="74">
        <f>Difensori!B109</f>
        <v>6.3</v>
      </c>
      <c r="N171" s="71">
        <f>Difensori!A109</f>
        <v>106</v>
      </c>
      <c r="O171" s="71" t="s">
        <v>68</v>
      </c>
      <c r="P171" s="71">
        <v>0.0</v>
      </c>
      <c r="R171" s="71" t="s">
        <v>71</v>
      </c>
      <c r="S171" s="71" t="s">
        <v>223</v>
      </c>
      <c r="T171" s="71" t="str">
        <f>Difensori!K109</f>
        <v>3a fascia</v>
      </c>
      <c r="U171" s="71" t="s">
        <v>214</v>
      </c>
      <c r="V171" s="71">
        <v>0.0</v>
      </c>
      <c r="W171" s="71">
        <f t="shared" si="1"/>
        <v>191</v>
      </c>
      <c r="AC171" s="71" t="s">
        <v>1622</v>
      </c>
      <c r="AD171" s="71" t="s">
        <v>1623</v>
      </c>
    </row>
    <row r="172" ht="15.75" customHeight="1">
      <c r="A172" s="71" t="s">
        <v>1479</v>
      </c>
      <c r="B172" s="71" t="s">
        <v>62</v>
      </c>
      <c r="C172" s="71">
        <v>110.0</v>
      </c>
      <c r="D172" s="71" t="s">
        <v>794</v>
      </c>
      <c r="E172" s="71" t="s">
        <v>1225</v>
      </c>
      <c r="F172" s="71" t="s">
        <v>208</v>
      </c>
      <c r="G172" s="71" t="s">
        <v>666</v>
      </c>
      <c r="H172" s="71">
        <v>4.0</v>
      </c>
      <c r="I172" s="71">
        <v>4.0</v>
      </c>
      <c r="J172" s="71">
        <v>8.0</v>
      </c>
      <c r="K172" s="72">
        <f>Difensori!I110</f>
        <v>4</v>
      </c>
      <c r="L172" s="73">
        <f>Difensori!AE110</f>
        <v>5.67</v>
      </c>
      <c r="M172" s="74">
        <f>Difensori!B110</f>
        <v>6.2</v>
      </c>
      <c r="N172" s="71">
        <f>Difensori!A110</f>
        <v>107</v>
      </c>
      <c r="O172" s="71" t="s">
        <v>332</v>
      </c>
      <c r="P172" s="71">
        <v>35.0</v>
      </c>
      <c r="Q172" s="71">
        <v>5.67</v>
      </c>
      <c r="R172" s="71" t="s">
        <v>71</v>
      </c>
      <c r="S172" s="71" t="s">
        <v>412</v>
      </c>
      <c r="T172" s="71" t="str">
        <f>Difensori!K110</f>
        <v>4a fascia</v>
      </c>
      <c r="U172" s="71" t="s">
        <v>408</v>
      </c>
      <c r="V172" s="71">
        <v>1.0</v>
      </c>
      <c r="W172" s="71">
        <f t="shared" si="1"/>
        <v>384</v>
      </c>
      <c r="AC172" s="71" t="s">
        <v>1624</v>
      </c>
      <c r="AD172" s="71" t="s">
        <v>1625</v>
      </c>
    </row>
    <row r="173" ht="15.75" customHeight="1">
      <c r="A173" s="71" t="s">
        <v>1481</v>
      </c>
      <c r="B173" s="71" t="s">
        <v>62</v>
      </c>
      <c r="C173" s="71">
        <v>111.0</v>
      </c>
      <c r="D173" s="71" t="s">
        <v>796</v>
      </c>
      <c r="E173" s="71" t="s">
        <v>1217</v>
      </c>
      <c r="F173" s="71" t="s">
        <v>191</v>
      </c>
      <c r="G173" s="71" t="s">
        <v>666</v>
      </c>
      <c r="H173" s="71">
        <v>7.0</v>
      </c>
      <c r="I173" s="71">
        <v>7.0</v>
      </c>
      <c r="J173" s="71">
        <v>18.0</v>
      </c>
      <c r="K173" s="72">
        <f>Difensori!I111</f>
        <v>7</v>
      </c>
      <c r="L173" s="73">
        <f>Difensori!AE111</f>
        <v>5.5</v>
      </c>
      <c r="M173" s="74">
        <f>Difensori!B111</f>
        <v>6.1</v>
      </c>
      <c r="N173" s="71">
        <f>Difensori!A111</f>
        <v>108</v>
      </c>
      <c r="O173" s="71" t="s">
        <v>68</v>
      </c>
      <c r="P173" s="71">
        <v>0.0</v>
      </c>
      <c r="R173" s="71" t="s">
        <v>71</v>
      </c>
      <c r="S173" s="71" t="s">
        <v>223</v>
      </c>
      <c r="T173" s="71" t="str">
        <f>Difensori!K111</f>
        <v>3a fascia</v>
      </c>
      <c r="U173" s="71" t="s">
        <v>214</v>
      </c>
      <c r="V173" s="71">
        <v>0.0</v>
      </c>
      <c r="W173" s="71">
        <f t="shared" si="1"/>
        <v>200</v>
      </c>
      <c r="AC173" s="71" t="s">
        <v>1626</v>
      </c>
      <c r="AD173" s="71" t="s">
        <v>1627</v>
      </c>
    </row>
    <row r="174" ht="15.75" customHeight="1">
      <c r="A174" s="71" t="s">
        <v>1484</v>
      </c>
      <c r="B174" s="71" t="s">
        <v>62</v>
      </c>
      <c r="C174" s="71">
        <v>112.0</v>
      </c>
      <c r="D174" s="71" t="s">
        <v>798</v>
      </c>
      <c r="E174" s="71" t="s">
        <v>1225</v>
      </c>
      <c r="F174" s="71" t="s">
        <v>208</v>
      </c>
      <c r="G174" s="71" t="s">
        <v>666</v>
      </c>
      <c r="H174" s="71">
        <v>8.0</v>
      </c>
      <c r="I174" s="71">
        <v>7.0</v>
      </c>
      <c r="J174" s="71">
        <v>18.0</v>
      </c>
      <c r="K174" s="72">
        <f>Difensori!I112</f>
        <v>7</v>
      </c>
      <c r="L174" s="73">
        <f>Difensori!AE112</f>
        <v>5.48</v>
      </c>
      <c r="M174" s="74">
        <f>Difensori!B112</f>
        <v>5.8</v>
      </c>
      <c r="N174" s="71">
        <f>Difensori!A112</f>
        <v>109</v>
      </c>
      <c r="O174" s="71" t="s">
        <v>68</v>
      </c>
      <c r="P174" s="71">
        <v>1.0</v>
      </c>
      <c r="Q174" s="71">
        <v>5.0</v>
      </c>
      <c r="R174" s="71" t="s">
        <v>71</v>
      </c>
      <c r="S174" s="71" t="s">
        <v>412</v>
      </c>
      <c r="T174" s="71" t="str">
        <f>Difensori!K112</f>
        <v>3a fascia</v>
      </c>
      <c r="U174" s="71" t="s">
        <v>100</v>
      </c>
      <c r="V174" s="71">
        <v>2.0</v>
      </c>
      <c r="W174" s="71">
        <f t="shared" si="1"/>
        <v>200</v>
      </c>
      <c r="AC174" s="71" t="s">
        <v>1628</v>
      </c>
      <c r="AD174" s="71" t="s">
        <v>1629</v>
      </c>
    </row>
    <row r="175" ht="15.75" customHeight="1">
      <c r="A175" s="71" t="s">
        <v>1486</v>
      </c>
      <c r="B175" s="71" t="s">
        <v>62</v>
      </c>
      <c r="C175" s="71">
        <v>113.0</v>
      </c>
      <c r="D175" s="71" t="s">
        <v>801</v>
      </c>
      <c r="E175" s="71" t="s">
        <v>1209</v>
      </c>
      <c r="F175" s="71" t="s">
        <v>64</v>
      </c>
      <c r="G175" s="71" t="s">
        <v>666</v>
      </c>
      <c r="H175" s="71">
        <v>6.0</v>
      </c>
      <c r="I175" s="71">
        <v>6.0</v>
      </c>
      <c r="J175" s="71">
        <v>14.0</v>
      </c>
      <c r="K175" s="72">
        <f>Difensori!I113</f>
        <v>6</v>
      </c>
      <c r="L175" s="73">
        <f>Difensori!AE113</f>
        <v>5.54</v>
      </c>
      <c r="M175" s="74">
        <f>Difensori!B113</f>
        <v>5.7</v>
      </c>
      <c r="N175" s="71">
        <f>Difensori!A113</f>
        <v>110</v>
      </c>
      <c r="O175" s="71" t="s">
        <v>332</v>
      </c>
      <c r="P175" s="71">
        <v>1.0</v>
      </c>
      <c r="Q175" s="71">
        <v>6.5</v>
      </c>
      <c r="R175" s="71" t="s">
        <v>71</v>
      </c>
      <c r="S175" s="71" t="s">
        <v>85</v>
      </c>
      <c r="T175" s="71" t="str">
        <f>Difensori!K113</f>
        <v>4a fascia</v>
      </c>
      <c r="U175" s="71" t="s">
        <v>408</v>
      </c>
      <c r="V175" s="71">
        <v>1.0</v>
      </c>
      <c r="W175" s="71">
        <f t="shared" si="1"/>
        <v>248</v>
      </c>
      <c r="AC175" s="71" t="s">
        <v>1631</v>
      </c>
      <c r="AD175" s="71" t="s">
        <v>1632</v>
      </c>
    </row>
    <row r="176" ht="15.75" customHeight="1">
      <c r="A176" s="71" t="s">
        <v>1488</v>
      </c>
      <c r="B176" s="71" t="s">
        <v>62</v>
      </c>
      <c r="C176" s="71">
        <v>114.0</v>
      </c>
      <c r="D176" s="71" t="s">
        <v>802</v>
      </c>
      <c r="E176" s="71" t="s">
        <v>1219</v>
      </c>
      <c r="F176" s="71" t="s">
        <v>195</v>
      </c>
      <c r="G176" s="71" t="s">
        <v>666</v>
      </c>
      <c r="H176" s="71">
        <v>7.0</v>
      </c>
      <c r="I176" s="71">
        <v>8.0</v>
      </c>
      <c r="J176" s="71">
        <v>16.0</v>
      </c>
      <c r="K176" s="72">
        <f>Difensori!I114</f>
        <v>7</v>
      </c>
      <c r="L176" s="73">
        <f>Difensori!AE114</f>
        <v>5.5</v>
      </c>
      <c r="M176" s="74">
        <f>Difensori!B114</f>
        <v>5.6</v>
      </c>
      <c r="N176" s="71">
        <f>Difensori!A114</f>
        <v>111</v>
      </c>
      <c r="O176" s="71" t="s">
        <v>68</v>
      </c>
      <c r="P176" s="71">
        <v>0.0</v>
      </c>
      <c r="R176" s="71" t="s">
        <v>71</v>
      </c>
      <c r="S176" s="71" t="s">
        <v>223</v>
      </c>
      <c r="T176" s="71" t="str">
        <f>Difensori!K114</f>
        <v>3a fascia</v>
      </c>
      <c r="U176" s="71" t="s">
        <v>100</v>
      </c>
      <c r="V176" s="71">
        <v>2.0</v>
      </c>
      <c r="W176" s="71">
        <f t="shared" si="1"/>
        <v>215</v>
      </c>
      <c r="AC176" s="71" t="s">
        <v>1634</v>
      </c>
      <c r="AD176" s="71" t="s">
        <v>1635</v>
      </c>
    </row>
    <row r="177" ht="15.75" customHeight="1">
      <c r="A177" s="71" t="s">
        <v>1490</v>
      </c>
      <c r="B177" s="71" t="s">
        <v>62</v>
      </c>
      <c r="C177" s="71">
        <v>115.0</v>
      </c>
      <c r="D177" s="71" t="s">
        <v>804</v>
      </c>
      <c r="E177" s="71" t="s">
        <v>1225</v>
      </c>
      <c r="F177" s="71" t="s">
        <v>208</v>
      </c>
      <c r="G177" s="71" t="s">
        <v>666</v>
      </c>
      <c r="H177" s="71">
        <v>6.0</v>
      </c>
      <c r="I177" s="71">
        <v>5.0</v>
      </c>
      <c r="J177" s="71">
        <v>16.0</v>
      </c>
      <c r="K177" s="72">
        <f>Difensori!I115</f>
        <v>7</v>
      </c>
      <c r="L177" s="73">
        <f>Difensori!AE115</f>
        <v>5.5</v>
      </c>
      <c r="M177" s="74">
        <f>Difensori!B115</f>
        <v>5.6</v>
      </c>
      <c r="N177" s="71">
        <f>Difensori!A115</f>
        <v>111</v>
      </c>
      <c r="O177" s="71" t="s">
        <v>226</v>
      </c>
      <c r="P177" s="71">
        <v>0.0</v>
      </c>
      <c r="R177" s="71" t="s">
        <v>71</v>
      </c>
      <c r="S177" s="71" t="s">
        <v>412</v>
      </c>
      <c r="T177" s="71" t="str">
        <f>Difensori!K115</f>
        <v>3a fascia</v>
      </c>
      <c r="U177" s="71" t="s">
        <v>495</v>
      </c>
      <c r="V177" s="71">
        <v>1.0</v>
      </c>
      <c r="W177" s="71">
        <f t="shared" si="1"/>
        <v>215</v>
      </c>
      <c r="AC177" s="71" t="s">
        <v>1636</v>
      </c>
      <c r="AD177" s="71" t="s">
        <v>1637</v>
      </c>
    </row>
    <row r="178" ht="15.75" customHeight="1">
      <c r="A178" s="71" t="s">
        <v>1492</v>
      </c>
      <c r="B178" s="71" t="s">
        <v>62</v>
      </c>
      <c r="C178" s="71">
        <v>116.0</v>
      </c>
      <c r="D178" s="71" t="s">
        <v>805</v>
      </c>
      <c r="E178" s="71" t="s">
        <v>1247</v>
      </c>
      <c r="F178" s="71" t="s">
        <v>264</v>
      </c>
      <c r="G178" s="71" t="s">
        <v>666</v>
      </c>
      <c r="H178" s="71">
        <v>4.0</v>
      </c>
      <c r="I178" s="71">
        <v>4.0</v>
      </c>
      <c r="J178" s="71">
        <v>10.0</v>
      </c>
      <c r="K178" s="72">
        <f>Difensori!I116</f>
        <v>5</v>
      </c>
      <c r="L178" s="73">
        <f>Difensori!AE116</f>
        <v>5.6</v>
      </c>
      <c r="M178" s="74">
        <f>Difensori!B116</f>
        <v>5.6</v>
      </c>
      <c r="N178" s="71">
        <f>Difensori!A116</f>
        <v>111</v>
      </c>
      <c r="O178" s="71" t="s">
        <v>226</v>
      </c>
      <c r="P178" s="71">
        <v>21.0</v>
      </c>
      <c r="Q178" s="71">
        <v>5.62</v>
      </c>
      <c r="R178" s="71" t="s">
        <v>71</v>
      </c>
      <c r="S178" s="71" t="s">
        <v>270</v>
      </c>
      <c r="T178" s="71" t="str">
        <f>Difensori!K116</f>
        <v>4a fascia</v>
      </c>
      <c r="U178" s="71" t="s">
        <v>227</v>
      </c>
      <c r="V178" s="71">
        <v>0.0</v>
      </c>
      <c r="W178" s="71">
        <f t="shared" si="1"/>
        <v>342</v>
      </c>
      <c r="AC178" s="71" t="s">
        <v>1639</v>
      </c>
      <c r="AD178" s="71" t="s">
        <v>1640</v>
      </c>
    </row>
    <row r="179" ht="15.75" customHeight="1">
      <c r="A179" s="71" t="s">
        <v>1495</v>
      </c>
      <c r="B179" s="71" t="s">
        <v>62</v>
      </c>
      <c r="C179" s="71">
        <v>117.0</v>
      </c>
      <c r="D179" s="71" t="s">
        <v>809</v>
      </c>
      <c r="E179" s="71" t="s">
        <v>1252</v>
      </c>
      <c r="F179" s="71" t="s">
        <v>272</v>
      </c>
      <c r="G179" s="71" t="s">
        <v>666</v>
      </c>
      <c r="H179" s="71">
        <v>3.0</v>
      </c>
      <c r="I179" s="71">
        <v>3.0</v>
      </c>
      <c r="J179" s="71">
        <v>14.0</v>
      </c>
      <c r="K179" s="72">
        <f>Difensori!I117</f>
        <v>6</v>
      </c>
      <c r="L179" s="73">
        <f>Difensori!AE117</f>
        <v>5.52</v>
      </c>
      <c r="M179" s="74">
        <f>Difensori!B117</f>
        <v>5.4</v>
      </c>
      <c r="N179" s="71">
        <f>Difensori!A117</f>
        <v>114</v>
      </c>
      <c r="O179" s="71" t="s">
        <v>68</v>
      </c>
      <c r="P179" s="71">
        <v>1.0</v>
      </c>
      <c r="Q179" s="71">
        <v>6.0</v>
      </c>
      <c r="R179" s="71" t="s">
        <v>71</v>
      </c>
      <c r="S179" s="71" t="s">
        <v>288</v>
      </c>
      <c r="T179" s="71" t="str">
        <f>Difensori!K117</f>
        <v>4a fascia</v>
      </c>
      <c r="U179" s="71" t="s">
        <v>100</v>
      </c>
      <c r="V179" s="71">
        <v>2.0</v>
      </c>
      <c r="W179" s="71">
        <f t="shared" si="1"/>
        <v>248</v>
      </c>
      <c r="AC179" s="71" t="s">
        <v>1641</v>
      </c>
      <c r="AD179" s="71" t="s">
        <v>1642</v>
      </c>
    </row>
    <row r="180" ht="15.75" customHeight="1">
      <c r="A180" s="71" t="s">
        <v>1497</v>
      </c>
      <c r="B180" s="71" t="s">
        <v>62</v>
      </c>
      <c r="C180" s="71">
        <v>118.0</v>
      </c>
      <c r="D180" s="71" t="s">
        <v>823</v>
      </c>
      <c r="E180" s="71" t="s">
        <v>1222</v>
      </c>
      <c r="F180" s="71" t="s">
        <v>182</v>
      </c>
      <c r="G180" s="71" t="s">
        <v>666</v>
      </c>
      <c r="H180" s="71">
        <v>1.0</v>
      </c>
      <c r="I180" s="71">
        <v>1.0</v>
      </c>
      <c r="J180" s="71">
        <v>4.0</v>
      </c>
      <c r="K180" s="72">
        <f>Difensori!I118</f>
        <v>3</v>
      </c>
      <c r="L180" s="73">
        <f>Difensori!AE118</f>
        <v>5.68</v>
      </c>
      <c r="M180" s="74">
        <f>Difensori!B118</f>
        <v>5.4</v>
      </c>
      <c r="N180" s="71">
        <f>Difensori!A118</f>
        <v>114</v>
      </c>
      <c r="O180" s="71" t="s">
        <v>332</v>
      </c>
      <c r="P180" s="71">
        <v>10.0</v>
      </c>
      <c r="Q180" s="71">
        <v>5.95</v>
      </c>
      <c r="R180" s="71" t="s">
        <v>71</v>
      </c>
      <c r="S180" s="71" t="s">
        <v>113</v>
      </c>
      <c r="T180" s="71" t="str">
        <f>Difensori!K118</f>
        <v>4a fascia</v>
      </c>
      <c r="U180" s="71" t="s">
        <v>333</v>
      </c>
      <c r="V180" s="71">
        <v>0.0</v>
      </c>
      <c r="W180" s="71">
        <f t="shared" si="1"/>
        <v>448</v>
      </c>
      <c r="AC180" s="71" t="s">
        <v>1644</v>
      </c>
      <c r="AD180" s="71" t="s">
        <v>1645</v>
      </c>
    </row>
    <row r="181" ht="15.75" customHeight="1">
      <c r="A181" s="71" t="s">
        <v>1499</v>
      </c>
      <c r="B181" s="71" t="s">
        <v>62</v>
      </c>
      <c r="C181" s="71">
        <v>119.0</v>
      </c>
      <c r="D181" s="71" t="s">
        <v>825</v>
      </c>
      <c r="E181" s="71" t="s">
        <v>1245</v>
      </c>
      <c r="F181" s="71" t="s">
        <v>261</v>
      </c>
      <c r="G181" s="71" t="s">
        <v>666</v>
      </c>
      <c r="H181" s="71">
        <v>5.0</v>
      </c>
      <c r="I181" s="71">
        <v>7.0</v>
      </c>
      <c r="J181" s="71">
        <v>15.0</v>
      </c>
      <c r="K181" s="72">
        <f>Difensori!I119</f>
        <v>6</v>
      </c>
      <c r="L181" s="73">
        <f>Difensori!AE119</f>
        <v>5.5</v>
      </c>
      <c r="M181" s="74">
        <f>Difensori!B119</f>
        <v>5.3</v>
      </c>
      <c r="N181" s="71">
        <f>Difensori!A119</f>
        <v>116</v>
      </c>
      <c r="O181" s="71" t="s">
        <v>68</v>
      </c>
      <c r="P181" s="71">
        <v>0.0</v>
      </c>
      <c r="R181" s="71" t="s">
        <v>71</v>
      </c>
      <c r="S181" s="71" t="s">
        <v>311</v>
      </c>
      <c r="T181" s="71" t="str">
        <f>Difensori!K119</f>
        <v>4a fascia</v>
      </c>
      <c r="U181" s="71" t="s">
        <v>100</v>
      </c>
      <c r="V181" s="71">
        <v>2.0</v>
      </c>
      <c r="W181" s="71">
        <f t="shared" si="1"/>
        <v>224</v>
      </c>
      <c r="AC181" s="71" t="s">
        <v>1646</v>
      </c>
      <c r="AD181" s="71" t="s">
        <v>1647</v>
      </c>
    </row>
    <row r="182" ht="15.75" customHeight="1">
      <c r="A182" s="71" t="s">
        <v>1501</v>
      </c>
      <c r="B182" s="71" t="s">
        <v>62</v>
      </c>
      <c r="C182" s="71">
        <v>120.0</v>
      </c>
      <c r="D182" s="71" t="s">
        <v>829</v>
      </c>
      <c r="E182" s="71" t="s">
        <v>1243</v>
      </c>
      <c r="F182" s="71" t="s">
        <v>253</v>
      </c>
      <c r="G182" s="71" t="s">
        <v>666</v>
      </c>
      <c r="H182" s="71">
        <v>6.0</v>
      </c>
      <c r="I182" s="71">
        <v>6.0</v>
      </c>
      <c r="J182" s="71">
        <v>15.0</v>
      </c>
      <c r="K182" s="72">
        <f>Difensori!I120</f>
        <v>6</v>
      </c>
      <c r="L182" s="73">
        <f>Difensori!AE120</f>
        <v>5.5</v>
      </c>
      <c r="M182" s="74">
        <f>Difensori!B120</f>
        <v>5.3</v>
      </c>
      <c r="N182" s="71">
        <f>Difensori!A120</f>
        <v>116</v>
      </c>
      <c r="O182" s="71" t="s">
        <v>68</v>
      </c>
      <c r="P182" s="71">
        <v>0.0</v>
      </c>
      <c r="R182" s="71" t="s">
        <v>71</v>
      </c>
      <c r="S182" s="71" t="s">
        <v>196</v>
      </c>
      <c r="T182" s="71" t="str">
        <f>Difensori!K120</f>
        <v>4a fascia</v>
      </c>
      <c r="U182" s="71" t="s">
        <v>214</v>
      </c>
      <c r="V182" s="71">
        <v>0.0</v>
      </c>
      <c r="W182" s="71">
        <f t="shared" si="1"/>
        <v>224</v>
      </c>
      <c r="AC182" s="71" t="s">
        <v>1649</v>
      </c>
      <c r="AD182" s="71" t="s">
        <v>1650</v>
      </c>
    </row>
    <row r="183" ht="15.75" customHeight="1">
      <c r="A183" s="71" t="s">
        <v>1504</v>
      </c>
      <c r="B183" s="71" t="s">
        <v>62</v>
      </c>
      <c r="C183" s="71">
        <v>121.0</v>
      </c>
      <c r="D183" s="71" t="s">
        <v>832</v>
      </c>
      <c r="E183" s="71" t="s">
        <v>1205</v>
      </c>
      <c r="F183" s="71" t="s">
        <v>60</v>
      </c>
      <c r="G183" s="71" t="s">
        <v>666</v>
      </c>
      <c r="H183" s="71">
        <v>8.0</v>
      </c>
      <c r="I183" s="71">
        <v>8.0</v>
      </c>
      <c r="J183" s="71">
        <v>15.0</v>
      </c>
      <c r="K183" s="72">
        <f>Difensori!I121</f>
        <v>6</v>
      </c>
      <c r="L183" s="73">
        <f>Difensori!AE121</f>
        <v>5.5</v>
      </c>
      <c r="M183" s="74">
        <f>Difensori!B121</f>
        <v>5.3</v>
      </c>
      <c r="N183" s="71">
        <f>Difensori!A121</f>
        <v>116</v>
      </c>
      <c r="O183" s="71" t="s">
        <v>226</v>
      </c>
      <c r="P183" s="71">
        <v>0.0</v>
      </c>
      <c r="R183" s="71" t="s">
        <v>71</v>
      </c>
      <c r="S183" s="71" t="s">
        <v>245</v>
      </c>
      <c r="T183" s="71" t="str">
        <f>Difensori!K121</f>
        <v>4a fascia</v>
      </c>
      <c r="U183" s="71" t="s">
        <v>495</v>
      </c>
      <c r="V183" s="71">
        <v>1.0</v>
      </c>
      <c r="W183" s="71">
        <f t="shared" si="1"/>
        <v>224</v>
      </c>
      <c r="AC183" s="71" t="s">
        <v>1651</v>
      </c>
      <c r="AD183" s="71" t="s">
        <v>1652</v>
      </c>
    </row>
    <row r="184" ht="15.75" customHeight="1">
      <c r="A184" s="71" t="s">
        <v>1506</v>
      </c>
      <c r="B184" s="71" t="s">
        <v>62</v>
      </c>
      <c r="C184" s="71">
        <v>122.0</v>
      </c>
      <c r="D184" s="71" t="s">
        <v>835</v>
      </c>
      <c r="E184" s="71" t="s">
        <v>1252</v>
      </c>
      <c r="F184" s="71" t="s">
        <v>272</v>
      </c>
      <c r="G184" s="71" t="s">
        <v>666</v>
      </c>
      <c r="H184" s="71">
        <v>6.0</v>
      </c>
      <c r="I184" s="71">
        <v>7.0</v>
      </c>
      <c r="J184" s="71">
        <v>15.0</v>
      </c>
      <c r="K184" s="72">
        <f>Difensori!I122</f>
        <v>6</v>
      </c>
      <c r="L184" s="73">
        <f>Difensori!AE122</f>
        <v>5.5</v>
      </c>
      <c r="M184" s="74">
        <f>Difensori!B122</f>
        <v>5.3</v>
      </c>
      <c r="N184" s="71">
        <f>Difensori!A122</f>
        <v>116</v>
      </c>
      <c r="O184" s="71" t="s">
        <v>68</v>
      </c>
      <c r="P184" s="71">
        <v>0.0</v>
      </c>
      <c r="R184" s="71" t="s">
        <v>71</v>
      </c>
      <c r="S184" s="71" t="s">
        <v>288</v>
      </c>
      <c r="T184" s="71" t="str">
        <f>Difensori!K122</f>
        <v>4a fascia</v>
      </c>
      <c r="U184" s="71" t="s">
        <v>100</v>
      </c>
      <c r="V184" s="71">
        <v>2.0</v>
      </c>
      <c r="W184" s="71">
        <f t="shared" si="1"/>
        <v>224</v>
      </c>
      <c r="AC184" s="71" t="s">
        <v>1654</v>
      </c>
      <c r="AD184" s="71" t="s">
        <v>1655</v>
      </c>
    </row>
    <row r="185" ht="15.75" customHeight="1">
      <c r="A185" s="71" t="s">
        <v>1508</v>
      </c>
      <c r="B185" s="71" t="s">
        <v>62</v>
      </c>
      <c r="C185" s="71">
        <v>123.0</v>
      </c>
      <c r="D185" s="71" t="s">
        <v>840</v>
      </c>
      <c r="E185" s="71" t="s">
        <v>1237</v>
      </c>
      <c r="F185" s="71" t="s">
        <v>239</v>
      </c>
      <c r="G185" s="71" t="s">
        <v>666</v>
      </c>
      <c r="H185" s="71">
        <v>6.0</v>
      </c>
      <c r="I185" s="71">
        <v>6.0</v>
      </c>
      <c r="J185" s="71">
        <v>15.0</v>
      </c>
      <c r="K185" s="72">
        <f>Difensori!I123</f>
        <v>6</v>
      </c>
      <c r="L185" s="73">
        <f>Difensori!AE123</f>
        <v>5.5</v>
      </c>
      <c r="M185" s="74">
        <f>Difensori!B123</f>
        <v>5.3</v>
      </c>
      <c r="N185" s="71">
        <f>Difensori!A123</f>
        <v>116</v>
      </c>
      <c r="O185" s="71" t="s">
        <v>68</v>
      </c>
      <c r="P185" s="71">
        <v>0.0</v>
      </c>
      <c r="R185" s="71" t="s">
        <v>71</v>
      </c>
      <c r="S185" s="71" t="s">
        <v>311</v>
      </c>
      <c r="T185" s="71" t="str">
        <f>Difensori!K123</f>
        <v>4a fascia</v>
      </c>
      <c r="U185" s="71" t="s">
        <v>214</v>
      </c>
      <c r="V185" s="71">
        <v>0.0</v>
      </c>
      <c r="W185" s="71">
        <f t="shared" si="1"/>
        <v>224</v>
      </c>
      <c r="AC185" s="71" t="s">
        <v>1656</v>
      </c>
      <c r="AD185" s="71" t="s">
        <v>1657</v>
      </c>
    </row>
    <row r="186" ht="15.75" customHeight="1">
      <c r="A186" s="71" t="s">
        <v>1510</v>
      </c>
      <c r="B186" s="71" t="s">
        <v>62</v>
      </c>
      <c r="C186" s="71">
        <v>124.0</v>
      </c>
      <c r="D186" s="71" t="s">
        <v>844</v>
      </c>
      <c r="E186" s="71" t="s">
        <v>1219</v>
      </c>
      <c r="F186" s="71" t="s">
        <v>195</v>
      </c>
      <c r="G186" s="71" t="s">
        <v>666</v>
      </c>
      <c r="H186" s="71">
        <v>2.0</v>
      </c>
      <c r="I186" s="71">
        <v>2.0</v>
      </c>
      <c r="J186" s="71">
        <v>5.0</v>
      </c>
      <c r="K186" s="72">
        <f>Difensori!I124</f>
        <v>3</v>
      </c>
      <c r="L186" s="73">
        <f>Difensori!AE124</f>
        <v>5.66</v>
      </c>
      <c r="M186" s="74">
        <f>Difensori!B124</f>
        <v>5.3</v>
      </c>
      <c r="N186" s="71">
        <f>Difensori!A124</f>
        <v>116</v>
      </c>
      <c r="O186" s="71" t="s">
        <v>332</v>
      </c>
      <c r="P186" s="71">
        <v>17.0</v>
      </c>
      <c r="Q186" s="71">
        <v>5.74</v>
      </c>
      <c r="R186" s="71" t="s">
        <v>71</v>
      </c>
      <c r="S186" s="71" t="s">
        <v>223</v>
      </c>
      <c r="T186" s="71" t="str">
        <f>Difensori!K124</f>
        <v>4a fascia</v>
      </c>
      <c r="U186" s="71" t="s">
        <v>333</v>
      </c>
      <c r="V186" s="71">
        <v>0.0</v>
      </c>
      <c r="W186" s="71">
        <f t="shared" si="1"/>
        <v>427</v>
      </c>
      <c r="AC186" s="71" t="s">
        <v>1658</v>
      </c>
      <c r="AD186" s="71" t="s">
        <v>1659</v>
      </c>
    </row>
    <row r="187" ht="15.75" customHeight="1">
      <c r="A187" s="71" t="s">
        <v>1512</v>
      </c>
      <c r="B187" s="71" t="s">
        <v>62</v>
      </c>
      <c r="C187" s="71">
        <v>125.0</v>
      </c>
      <c r="D187" s="71" t="s">
        <v>846</v>
      </c>
      <c r="E187" s="71" t="s">
        <v>1219</v>
      </c>
      <c r="F187" s="71" t="s">
        <v>195</v>
      </c>
      <c r="G187" s="71" t="s">
        <v>666</v>
      </c>
      <c r="H187" s="71">
        <v>5.0</v>
      </c>
      <c r="I187" s="71">
        <v>6.0</v>
      </c>
      <c r="J187" s="71">
        <v>14.0</v>
      </c>
      <c r="K187" s="72">
        <f>Difensori!I125</f>
        <v>6</v>
      </c>
      <c r="L187" s="73">
        <f>Difensori!AE125</f>
        <v>5.5</v>
      </c>
      <c r="M187" s="74">
        <f>Difensori!B125</f>
        <v>5.1</v>
      </c>
      <c r="N187" s="71">
        <f>Difensori!A125</f>
        <v>122</v>
      </c>
      <c r="O187" s="71" t="s">
        <v>226</v>
      </c>
      <c r="P187" s="71">
        <v>0.0</v>
      </c>
      <c r="R187" s="71" t="s">
        <v>71</v>
      </c>
      <c r="S187" s="71" t="s">
        <v>223</v>
      </c>
      <c r="T187" s="71" t="str">
        <f>Difensori!K125</f>
        <v>4a fascia</v>
      </c>
      <c r="U187" s="71" t="s">
        <v>300</v>
      </c>
      <c r="V187" s="71">
        <v>2.0</v>
      </c>
      <c r="W187" s="71">
        <f t="shared" si="1"/>
        <v>248</v>
      </c>
      <c r="AC187" s="71" t="s">
        <v>1661</v>
      </c>
      <c r="AD187" s="71" t="s">
        <v>1662</v>
      </c>
    </row>
    <row r="188" ht="15.75" customHeight="1">
      <c r="A188" s="71" t="s">
        <v>1514</v>
      </c>
      <c r="B188" s="71" t="s">
        <v>62</v>
      </c>
      <c r="C188" s="71">
        <v>126.0</v>
      </c>
      <c r="D188" s="71" t="s">
        <v>850</v>
      </c>
      <c r="E188" s="71" t="s">
        <v>1252</v>
      </c>
      <c r="F188" s="71" t="s">
        <v>272</v>
      </c>
      <c r="G188" s="71" t="s">
        <v>666</v>
      </c>
      <c r="H188" s="71">
        <v>1.0</v>
      </c>
      <c r="I188" s="71">
        <v>1.0</v>
      </c>
      <c r="J188" s="71">
        <v>8.0</v>
      </c>
      <c r="K188" s="72">
        <f>Difensori!I126</f>
        <v>4</v>
      </c>
      <c r="L188" s="73">
        <f>Difensori!AE126</f>
        <v>5.6</v>
      </c>
      <c r="M188" s="74">
        <f>Difensori!B126</f>
        <v>5.1</v>
      </c>
      <c r="N188" s="71">
        <f>Difensori!A126</f>
        <v>122</v>
      </c>
      <c r="O188" s="71" t="s">
        <v>332</v>
      </c>
      <c r="P188" s="71">
        <v>9.0</v>
      </c>
      <c r="Q188" s="71">
        <v>5.78</v>
      </c>
      <c r="R188" s="71" t="s">
        <v>71</v>
      </c>
      <c r="S188" s="71" t="s">
        <v>288</v>
      </c>
      <c r="T188" s="71" t="str">
        <f>Difensori!K126</f>
        <v>4a fascia</v>
      </c>
      <c r="U188" s="71" t="s">
        <v>338</v>
      </c>
      <c r="V188" s="71">
        <v>0.0</v>
      </c>
      <c r="W188" s="71">
        <f t="shared" si="1"/>
        <v>384</v>
      </c>
      <c r="AC188" s="71" t="s">
        <v>1663</v>
      </c>
      <c r="AD188" s="71" t="s">
        <v>1664</v>
      </c>
    </row>
    <row r="189" ht="15.75" customHeight="1">
      <c r="A189" s="71" t="s">
        <v>1516</v>
      </c>
      <c r="B189" s="71" t="s">
        <v>62</v>
      </c>
      <c r="C189" s="71">
        <v>127.0</v>
      </c>
      <c r="D189" s="71" t="s">
        <v>855</v>
      </c>
      <c r="E189" s="71" t="s">
        <v>1233</v>
      </c>
      <c r="F189" s="71" t="s">
        <v>185</v>
      </c>
      <c r="G189" s="71" t="s">
        <v>666</v>
      </c>
      <c r="H189" s="71">
        <v>2.0</v>
      </c>
      <c r="I189" s="71">
        <v>3.0</v>
      </c>
      <c r="J189" s="71">
        <v>5.0</v>
      </c>
      <c r="K189" s="72">
        <f>Difensori!I127</f>
        <v>3</v>
      </c>
      <c r="L189" s="73">
        <f>Difensori!AE127</f>
        <v>5.64</v>
      </c>
      <c r="M189" s="74">
        <f>Difensori!B127</f>
        <v>5</v>
      </c>
      <c r="N189" s="71">
        <f>Difensori!A127</f>
        <v>124</v>
      </c>
      <c r="O189" s="71" t="s">
        <v>332</v>
      </c>
      <c r="P189" s="71">
        <v>16.0</v>
      </c>
      <c r="Q189" s="71">
        <v>5.72</v>
      </c>
      <c r="R189" s="71" t="s">
        <v>71</v>
      </c>
      <c r="S189" s="71" t="s">
        <v>158</v>
      </c>
      <c r="T189" s="71" t="str">
        <f>Difensori!K127</f>
        <v>4a fascia</v>
      </c>
      <c r="U189" s="71" t="s">
        <v>473</v>
      </c>
      <c r="V189" s="71">
        <v>2.0</v>
      </c>
      <c r="W189" s="71">
        <f t="shared" si="1"/>
        <v>427</v>
      </c>
      <c r="AC189" s="71" t="s">
        <v>1666</v>
      </c>
      <c r="AD189" s="71" t="s">
        <v>1667</v>
      </c>
    </row>
    <row r="190" ht="15.75" customHeight="1">
      <c r="A190" s="71" t="s">
        <v>1518</v>
      </c>
      <c r="B190" s="71" t="s">
        <v>62</v>
      </c>
      <c r="C190" s="71">
        <v>128.0</v>
      </c>
      <c r="D190" s="71" t="s">
        <v>862</v>
      </c>
      <c r="E190" s="71" t="s">
        <v>1245</v>
      </c>
      <c r="F190" s="71" t="s">
        <v>261</v>
      </c>
      <c r="G190" s="71" t="s">
        <v>666</v>
      </c>
      <c r="H190" s="71">
        <v>4.0</v>
      </c>
      <c r="I190" s="71">
        <v>5.0</v>
      </c>
      <c r="J190" s="71">
        <v>13.0</v>
      </c>
      <c r="K190" s="72">
        <f>Difensori!I128</f>
        <v>6</v>
      </c>
      <c r="L190" s="73">
        <f>Difensori!AE128</f>
        <v>5.5</v>
      </c>
      <c r="M190" s="74">
        <f>Difensori!B128</f>
        <v>4.8</v>
      </c>
      <c r="N190" s="71">
        <f>Difensori!A128</f>
        <v>125</v>
      </c>
      <c r="O190" s="71" t="s">
        <v>68</v>
      </c>
      <c r="P190" s="71">
        <v>0.0</v>
      </c>
      <c r="R190" s="71" t="s">
        <v>71</v>
      </c>
      <c r="S190" s="71" t="s">
        <v>311</v>
      </c>
      <c r="T190" s="71" t="str">
        <f>Difensori!K128</f>
        <v>4a fascia</v>
      </c>
      <c r="U190" s="71" t="s">
        <v>100</v>
      </c>
      <c r="V190" s="71">
        <v>2.0</v>
      </c>
      <c r="W190" s="71">
        <f t="shared" si="1"/>
        <v>262</v>
      </c>
      <c r="AC190" s="71" t="s">
        <v>1668</v>
      </c>
      <c r="AD190" s="71" t="s">
        <v>1669</v>
      </c>
    </row>
    <row r="191" ht="15.75" customHeight="1">
      <c r="A191" s="71" t="s">
        <v>1521</v>
      </c>
      <c r="B191" s="71" t="s">
        <v>62</v>
      </c>
      <c r="C191" s="71">
        <v>129.0</v>
      </c>
      <c r="D191" s="71" t="s">
        <v>866</v>
      </c>
      <c r="E191" s="71" t="s">
        <v>1215</v>
      </c>
      <c r="F191" s="71" t="s">
        <v>133</v>
      </c>
      <c r="G191" s="71" t="s">
        <v>666</v>
      </c>
      <c r="H191" s="71">
        <v>7.0</v>
      </c>
      <c r="I191" s="71">
        <v>6.0</v>
      </c>
      <c r="J191" s="71">
        <v>13.0</v>
      </c>
      <c r="K191" s="72">
        <f>Difensori!I129</f>
        <v>6</v>
      </c>
      <c r="L191" s="73">
        <f>Difensori!AE129</f>
        <v>5.5</v>
      </c>
      <c r="M191" s="74">
        <f>Difensori!B129</f>
        <v>4.8</v>
      </c>
      <c r="N191" s="71">
        <f>Difensori!A129</f>
        <v>125</v>
      </c>
      <c r="O191" s="71" t="s">
        <v>226</v>
      </c>
      <c r="P191" s="71">
        <v>0.0</v>
      </c>
      <c r="R191" s="71" t="s">
        <v>71</v>
      </c>
      <c r="S191" s="71" t="s">
        <v>304</v>
      </c>
      <c r="T191" s="71" t="str">
        <f>Difensori!K129</f>
        <v>4a fascia</v>
      </c>
      <c r="U191" s="71" t="s">
        <v>227</v>
      </c>
      <c r="V191" s="71">
        <v>0.0</v>
      </c>
      <c r="W191" s="71">
        <f t="shared" si="1"/>
        <v>262</v>
      </c>
      <c r="AD191" s="71" t="s">
        <v>1670</v>
      </c>
    </row>
    <row r="192" ht="15.75" customHeight="1">
      <c r="A192" s="71" t="s">
        <v>1523</v>
      </c>
      <c r="B192" s="71" t="s">
        <v>62</v>
      </c>
      <c r="C192" s="71">
        <v>130.0</v>
      </c>
      <c r="D192" s="71" t="s">
        <v>870</v>
      </c>
      <c r="E192" s="71" t="s">
        <v>1245</v>
      </c>
      <c r="F192" s="71" t="s">
        <v>261</v>
      </c>
      <c r="G192" s="71" t="s">
        <v>666</v>
      </c>
      <c r="H192" s="71">
        <v>6.0</v>
      </c>
      <c r="I192" s="71">
        <v>6.0</v>
      </c>
      <c r="J192" s="71">
        <v>13.0</v>
      </c>
      <c r="K192" s="72">
        <f>Difensori!I130</f>
        <v>6</v>
      </c>
      <c r="L192" s="73">
        <f>Difensori!AE130</f>
        <v>5.5</v>
      </c>
      <c r="M192" s="74">
        <f>Difensori!B130</f>
        <v>4.8</v>
      </c>
      <c r="N192" s="71">
        <f>Difensori!A130</f>
        <v>125</v>
      </c>
      <c r="O192" s="71" t="s">
        <v>68</v>
      </c>
      <c r="P192" s="71">
        <v>0.0</v>
      </c>
      <c r="R192" s="71" t="s">
        <v>71</v>
      </c>
      <c r="S192" s="71" t="s">
        <v>311</v>
      </c>
      <c r="T192" s="71" t="str">
        <f>Difensori!K130</f>
        <v>4a fascia</v>
      </c>
      <c r="U192" s="71" t="s">
        <v>100</v>
      </c>
      <c r="V192" s="71">
        <v>2.0</v>
      </c>
      <c r="W192" s="71">
        <f t="shared" si="1"/>
        <v>262</v>
      </c>
      <c r="AD192" s="71" t="s">
        <v>1671</v>
      </c>
    </row>
    <row r="193" ht="15.75" customHeight="1">
      <c r="A193" s="71" t="s">
        <v>1526</v>
      </c>
      <c r="B193" s="71" t="s">
        <v>62</v>
      </c>
      <c r="C193" s="71">
        <v>131.0</v>
      </c>
      <c r="D193" s="71" t="s">
        <v>875</v>
      </c>
      <c r="E193" s="71" t="s">
        <v>1252</v>
      </c>
      <c r="F193" s="71" t="s">
        <v>272</v>
      </c>
      <c r="G193" s="71" t="s">
        <v>666</v>
      </c>
      <c r="H193" s="71">
        <v>4.0</v>
      </c>
      <c r="I193" s="71">
        <v>4.0</v>
      </c>
      <c r="J193" s="71">
        <v>12.0</v>
      </c>
      <c r="K193" s="72">
        <f>Difensori!I131</f>
        <v>6</v>
      </c>
      <c r="L193" s="73">
        <f>Difensori!AE131</f>
        <v>5.5</v>
      </c>
      <c r="M193" s="74">
        <f>Difensori!B131</f>
        <v>4.6</v>
      </c>
      <c r="N193" s="71">
        <f>Difensori!A131</f>
        <v>128</v>
      </c>
      <c r="O193" s="71" t="s">
        <v>68</v>
      </c>
      <c r="P193" s="71">
        <v>0.0</v>
      </c>
      <c r="R193" s="71" t="s">
        <v>71</v>
      </c>
      <c r="S193" s="71" t="s">
        <v>288</v>
      </c>
      <c r="T193" s="71" t="str">
        <f>Difensori!K131</f>
        <v>4a fascia</v>
      </c>
      <c r="U193" s="71" t="s">
        <v>100</v>
      </c>
      <c r="V193" s="71">
        <v>2.0</v>
      </c>
      <c r="W193" s="71">
        <f t="shared" si="1"/>
        <v>282</v>
      </c>
      <c r="AD193" s="71" t="s">
        <v>1672</v>
      </c>
    </row>
    <row r="194" ht="15.75" customHeight="1">
      <c r="A194" s="71" t="s">
        <v>1528</v>
      </c>
      <c r="B194" s="71" t="s">
        <v>62</v>
      </c>
      <c r="C194" s="71">
        <v>132.0</v>
      </c>
      <c r="D194" s="71" t="s">
        <v>879</v>
      </c>
      <c r="E194" s="71" t="s">
        <v>1228</v>
      </c>
      <c r="F194" s="71" t="s">
        <v>212</v>
      </c>
      <c r="G194" s="71" t="s">
        <v>666</v>
      </c>
      <c r="H194" s="71">
        <v>4.0</v>
      </c>
      <c r="I194" s="71">
        <v>4.0</v>
      </c>
      <c r="J194" s="71">
        <v>12.0</v>
      </c>
      <c r="K194" s="72">
        <f>Difensori!I132</f>
        <v>6</v>
      </c>
      <c r="L194" s="73">
        <f>Difensori!AE132</f>
        <v>5.5</v>
      </c>
      <c r="M194" s="74">
        <f>Difensori!B132</f>
        <v>4.6</v>
      </c>
      <c r="N194" s="71">
        <f>Difensori!A132</f>
        <v>128</v>
      </c>
      <c r="O194" s="71" t="s">
        <v>332</v>
      </c>
      <c r="P194" s="71">
        <v>0.0</v>
      </c>
      <c r="R194" s="71" t="s">
        <v>71</v>
      </c>
      <c r="S194" s="71" t="s">
        <v>179</v>
      </c>
      <c r="T194" s="71" t="str">
        <f>Difensori!K132</f>
        <v>4a fascia</v>
      </c>
      <c r="U194" s="71" t="s">
        <v>615</v>
      </c>
      <c r="V194" s="71">
        <v>1.0</v>
      </c>
      <c r="W194" s="71">
        <f t="shared" si="1"/>
        <v>282</v>
      </c>
      <c r="AD194" s="71" t="s">
        <v>1673</v>
      </c>
    </row>
    <row r="195" ht="15.75" customHeight="1">
      <c r="A195" s="71" t="s">
        <v>1530</v>
      </c>
      <c r="B195" s="71" t="s">
        <v>62</v>
      </c>
      <c r="C195" s="71">
        <v>133.0</v>
      </c>
      <c r="D195" s="71" t="s">
        <v>884</v>
      </c>
      <c r="E195" s="71" t="s">
        <v>1247</v>
      </c>
      <c r="F195" s="71" t="s">
        <v>264</v>
      </c>
      <c r="G195" s="71" t="s">
        <v>666</v>
      </c>
      <c r="H195" s="71">
        <v>4.0</v>
      </c>
      <c r="I195" s="71">
        <v>5.0</v>
      </c>
      <c r="J195" s="71">
        <v>12.0</v>
      </c>
      <c r="K195" s="72">
        <f>Difensori!I133</f>
        <v>6</v>
      </c>
      <c r="L195" s="73">
        <f>Difensori!AE133</f>
        <v>5.5</v>
      </c>
      <c r="M195" s="74">
        <f>Difensori!B133</f>
        <v>4.6</v>
      </c>
      <c r="N195" s="71">
        <f>Difensori!A133</f>
        <v>128</v>
      </c>
      <c r="O195" s="71" t="s">
        <v>68</v>
      </c>
      <c r="P195" s="71">
        <v>0.0</v>
      </c>
      <c r="R195" s="71" t="s">
        <v>71</v>
      </c>
      <c r="S195" s="71" t="s">
        <v>270</v>
      </c>
      <c r="T195" s="71" t="str">
        <f>Difensori!K133</f>
        <v>4a fascia</v>
      </c>
      <c r="U195" s="71" t="s">
        <v>100</v>
      </c>
      <c r="V195" s="71">
        <v>2.0</v>
      </c>
      <c r="W195" s="71">
        <f t="shared" si="1"/>
        <v>282</v>
      </c>
    </row>
    <row r="196" ht="15.75" customHeight="1">
      <c r="A196" s="71" t="s">
        <v>1533</v>
      </c>
      <c r="B196" s="71" t="s">
        <v>62</v>
      </c>
      <c r="C196" s="71">
        <v>134.0</v>
      </c>
      <c r="D196" s="71" t="s">
        <v>885</v>
      </c>
      <c r="E196" s="71" t="s">
        <v>1247</v>
      </c>
      <c r="F196" s="71" t="s">
        <v>264</v>
      </c>
      <c r="G196" s="71" t="s">
        <v>666</v>
      </c>
      <c r="H196" s="71">
        <v>3.0</v>
      </c>
      <c r="I196" s="71">
        <v>4.0</v>
      </c>
      <c r="J196" s="71">
        <v>12.0</v>
      </c>
      <c r="K196" s="72">
        <f>Difensori!I134</f>
        <v>6</v>
      </c>
      <c r="L196" s="73">
        <f>Difensori!AE134</f>
        <v>5.5</v>
      </c>
      <c r="M196" s="74">
        <f>Difensori!B134</f>
        <v>4.6</v>
      </c>
      <c r="N196" s="71">
        <f>Difensori!A134</f>
        <v>128</v>
      </c>
      <c r="O196" s="71" t="s">
        <v>68</v>
      </c>
      <c r="P196" s="71">
        <v>0.0</v>
      </c>
      <c r="R196" s="71" t="s">
        <v>71</v>
      </c>
      <c r="S196" s="71" t="s">
        <v>270</v>
      </c>
      <c r="T196" s="71" t="str">
        <f>Difensori!K134</f>
        <v>4a fascia</v>
      </c>
      <c r="U196" s="71" t="s">
        <v>100</v>
      </c>
      <c r="V196" s="71">
        <v>2.0</v>
      </c>
      <c r="W196" s="71">
        <f t="shared" si="1"/>
        <v>282</v>
      </c>
    </row>
    <row r="197" ht="15.75" customHeight="1">
      <c r="A197" s="71" t="s">
        <v>1535</v>
      </c>
      <c r="B197" s="71" t="s">
        <v>62</v>
      </c>
      <c r="C197" s="71">
        <v>135.0</v>
      </c>
      <c r="D197" s="71" t="s">
        <v>890</v>
      </c>
      <c r="E197" s="71" t="s">
        <v>1243</v>
      </c>
      <c r="F197" s="71" t="s">
        <v>253</v>
      </c>
      <c r="G197" s="71" t="s">
        <v>666</v>
      </c>
      <c r="H197" s="71">
        <v>5.0</v>
      </c>
      <c r="I197" s="71">
        <v>6.0</v>
      </c>
      <c r="J197" s="71">
        <v>12.0</v>
      </c>
      <c r="K197" s="72">
        <f>Difensori!I135</f>
        <v>6</v>
      </c>
      <c r="L197" s="73">
        <f>Difensori!AE135</f>
        <v>5.5</v>
      </c>
      <c r="M197" s="74">
        <f>Difensori!B135</f>
        <v>4.6</v>
      </c>
      <c r="N197" s="71">
        <f>Difensori!A135</f>
        <v>128</v>
      </c>
      <c r="O197" s="71" t="s">
        <v>68</v>
      </c>
      <c r="P197" s="71">
        <v>0.0</v>
      </c>
      <c r="R197" s="71" t="s">
        <v>71</v>
      </c>
      <c r="S197" s="71" t="s">
        <v>196</v>
      </c>
      <c r="T197" s="71" t="str">
        <f>Difensori!K135</f>
        <v>4a fascia</v>
      </c>
      <c r="U197" s="71" t="s">
        <v>100</v>
      </c>
      <c r="V197" s="71">
        <v>2.0</v>
      </c>
      <c r="W197" s="71">
        <f t="shared" si="1"/>
        <v>282</v>
      </c>
    </row>
    <row r="198" ht="15.75" customHeight="1">
      <c r="A198" s="71" t="s">
        <v>1537</v>
      </c>
      <c r="B198" s="71" t="s">
        <v>62</v>
      </c>
      <c r="C198" s="71">
        <v>136.0</v>
      </c>
      <c r="D198" s="71" t="s">
        <v>894</v>
      </c>
      <c r="E198" s="71" t="s">
        <v>1228</v>
      </c>
      <c r="F198" s="71" t="s">
        <v>212</v>
      </c>
      <c r="G198" s="71" t="s">
        <v>666</v>
      </c>
      <c r="H198" s="71">
        <v>5.0</v>
      </c>
      <c r="I198" s="71">
        <v>5.0</v>
      </c>
      <c r="J198" s="71">
        <v>12.0</v>
      </c>
      <c r="K198" s="72">
        <f>Difensori!I136</f>
        <v>6</v>
      </c>
      <c r="L198" s="73">
        <f>Difensori!AE136</f>
        <v>5.5</v>
      </c>
      <c r="M198" s="74">
        <f>Difensori!B136</f>
        <v>4.6</v>
      </c>
      <c r="N198" s="71">
        <f>Difensori!A136</f>
        <v>128</v>
      </c>
      <c r="O198" s="71" t="s">
        <v>226</v>
      </c>
      <c r="P198" s="71">
        <v>0.0</v>
      </c>
      <c r="R198" s="71" t="s">
        <v>71</v>
      </c>
      <c r="S198" s="71" t="s">
        <v>179</v>
      </c>
      <c r="T198" s="71" t="str">
        <f>Difensori!K136</f>
        <v>4a fascia</v>
      </c>
      <c r="U198" s="71" t="s">
        <v>227</v>
      </c>
      <c r="V198" s="71">
        <v>0.0</v>
      </c>
      <c r="W198" s="71">
        <f t="shared" si="1"/>
        <v>282</v>
      </c>
    </row>
    <row r="199" ht="15.75" customHeight="1">
      <c r="A199" s="71" t="s">
        <v>1539</v>
      </c>
      <c r="B199" s="71" t="s">
        <v>62</v>
      </c>
      <c r="C199" s="71">
        <v>137.0</v>
      </c>
      <c r="D199" s="71" t="s">
        <v>899</v>
      </c>
      <c r="E199" s="71" t="s">
        <v>1225</v>
      </c>
      <c r="F199" s="71" t="s">
        <v>208</v>
      </c>
      <c r="G199" s="71" t="s">
        <v>666</v>
      </c>
      <c r="H199" s="71">
        <v>6.0</v>
      </c>
      <c r="I199" s="71">
        <v>6.0</v>
      </c>
      <c r="J199" s="71">
        <v>12.0</v>
      </c>
      <c r="K199" s="72">
        <f>Difensori!I137</f>
        <v>6</v>
      </c>
      <c r="L199" s="73">
        <f>Difensori!AE137</f>
        <v>5.5</v>
      </c>
      <c r="M199" s="74">
        <f>Difensori!B137</f>
        <v>4.6</v>
      </c>
      <c r="N199" s="71">
        <f>Difensori!A137</f>
        <v>128</v>
      </c>
      <c r="O199" s="71" t="s">
        <v>68</v>
      </c>
      <c r="P199" s="71">
        <v>0.0</v>
      </c>
      <c r="R199" s="71" t="s">
        <v>71</v>
      </c>
      <c r="S199" s="71" t="s">
        <v>412</v>
      </c>
      <c r="T199" s="71" t="str">
        <f>Difensori!K137</f>
        <v>4a fascia</v>
      </c>
      <c r="U199" s="71" t="s">
        <v>294</v>
      </c>
      <c r="V199" s="71">
        <v>1.0</v>
      </c>
      <c r="W199" s="71">
        <f t="shared" si="1"/>
        <v>282</v>
      </c>
    </row>
    <row r="200" ht="15.75" customHeight="1">
      <c r="A200" s="71" t="s">
        <v>1541</v>
      </c>
      <c r="B200" s="71" t="s">
        <v>62</v>
      </c>
      <c r="C200" s="71">
        <v>138.0</v>
      </c>
      <c r="D200" s="71" t="s">
        <v>904</v>
      </c>
      <c r="E200" s="71" t="s">
        <v>1233</v>
      </c>
      <c r="F200" s="71" t="s">
        <v>185</v>
      </c>
      <c r="G200" s="71" t="s">
        <v>666</v>
      </c>
      <c r="H200" s="71">
        <v>4.0</v>
      </c>
      <c r="I200" s="71">
        <v>4.0</v>
      </c>
      <c r="J200" s="71">
        <v>8.0</v>
      </c>
      <c r="K200" s="72">
        <f>Difensori!I138</f>
        <v>4</v>
      </c>
      <c r="L200" s="73">
        <f>Difensori!AE138</f>
        <v>5.56</v>
      </c>
      <c r="M200" s="74">
        <f>Difensori!B138</f>
        <v>4.5</v>
      </c>
      <c r="N200" s="71">
        <f>Difensori!A138</f>
        <v>135</v>
      </c>
      <c r="O200" s="71" t="s">
        <v>332</v>
      </c>
      <c r="P200" s="71">
        <v>5.0</v>
      </c>
      <c r="Q200" s="71">
        <v>5.8</v>
      </c>
      <c r="R200" s="71" t="s">
        <v>71</v>
      </c>
      <c r="S200" s="71" t="s">
        <v>158</v>
      </c>
      <c r="T200" s="71" t="str">
        <f>Difensori!K138</f>
        <v>4a fascia</v>
      </c>
      <c r="U200" s="71" t="s">
        <v>333</v>
      </c>
      <c r="V200" s="71">
        <v>0.0</v>
      </c>
      <c r="W200" s="71">
        <f t="shared" si="1"/>
        <v>384</v>
      </c>
    </row>
    <row r="201" ht="15.75" customHeight="1">
      <c r="A201" s="71" t="s">
        <v>1543</v>
      </c>
      <c r="B201" s="71" t="s">
        <v>62</v>
      </c>
      <c r="C201" s="71">
        <v>139.0</v>
      </c>
      <c r="D201" s="71" t="s">
        <v>911</v>
      </c>
      <c r="E201" s="71" t="s">
        <v>1205</v>
      </c>
      <c r="F201" s="71" t="s">
        <v>60</v>
      </c>
      <c r="G201" s="71" t="s">
        <v>666</v>
      </c>
      <c r="H201" s="71">
        <v>6.0</v>
      </c>
      <c r="I201" s="71">
        <v>6.0</v>
      </c>
      <c r="J201" s="71">
        <v>11.0</v>
      </c>
      <c r="K201" s="72">
        <f>Difensori!I139</f>
        <v>5</v>
      </c>
      <c r="L201" s="73">
        <f>Difensori!AE139</f>
        <v>5.5</v>
      </c>
      <c r="M201" s="74">
        <f>Difensori!B139</f>
        <v>4.3</v>
      </c>
      <c r="N201" s="71">
        <f>Difensori!A139</f>
        <v>136</v>
      </c>
      <c r="O201" s="71" t="s">
        <v>332</v>
      </c>
      <c r="P201" s="71">
        <v>0.0</v>
      </c>
      <c r="R201" s="71" t="s">
        <v>71</v>
      </c>
      <c r="S201" s="71" t="s">
        <v>245</v>
      </c>
      <c r="T201" s="71" t="str">
        <f>Difensori!K139</f>
        <v>4a fascia</v>
      </c>
      <c r="U201" s="71" t="s">
        <v>338</v>
      </c>
      <c r="V201" s="71">
        <v>0.0</v>
      </c>
      <c r="W201" s="71">
        <f t="shared" si="1"/>
        <v>323</v>
      </c>
    </row>
    <row r="202" ht="15.75" customHeight="1">
      <c r="A202" s="71" t="s">
        <v>1546</v>
      </c>
      <c r="B202" s="71" t="s">
        <v>62</v>
      </c>
      <c r="C202" s="71">
        <v>140.0</v>
      </c>
      <c r="D202" s="71" t="s">
        <v>917</v>
      </c>
      <c r="E202" s="71" t="s">
        <v>1217</v>
      </c>
      <c r="F202" s="71" t="s">
        <v>191</v>
      </c>
      <c r="G202" s="71" t="s">
        <v>666</v>
      </c>
      <c r="H202" s="71">
        <v>4.0</v>
      </c>
      <c r="I202" s="71">
        <v>4.0</v>
      </c>
      <c r="J202" s="71">
        <v>11.0</v>
      </c>
      <c r="K202" s="72">
        <f>Difensori!I140</f>
        <v>5</v>
      </c>
      <c r="L202" s="73">
        <f>Difensori!AE140</f>
        <v>5.5</v>
      </c>
      <c r="M202" s="74">
        <f>Difensori!B140</f>
        <v>4.3</v>
      </c>
      <c r="N202" s="71">
        <f>Difensori!A140</f>
        <v>136</v>
      </c>
      <c r="O202" s="71" t="s">
        <v>332</v>
      </c>
      <c r="P202" s="71">
        <v>0.0</v>
      </c>
      <c r="R202" s="71" t="s">
        <v>71</v>
      </c>
      <c r="S202" s="71" t="s">
        <v>223</v>
      </c>
      <c r="T202" s="71" t="str">
        <f>Difensori!K140</f>
        <v>4a fascia</v>
      </c>
      <c r="U202" s="71" t="s">
        <v>338</v>
      </c>
      <c r="V202" s="71">
        <v>0.0</v>
      </c>
      <c r="W202" s="71">
        <f t="shared" si="1"/>
        <v>323</v>
      </c>
    </row>
    <row r="203" ht="15.75" customHeight="1">
      <c r="A203" s="71" t="s">
        <v>1548</v>
      </c>
      <c r="B203" s="71" t="s">
        <v>62</v>
      </c>
      <c r="C203" s="71">
        <v>141.0</v>
      </c>
      <c r="D203" s="71" t="s">
        <v>921</v>
      </c>
      <c r="E203" s="71" t="s">
        <v>1252</v>
      </c>
      <c r="F203" s="71" t="s">
        <v>272</v>
      </c>
      <c r="G203" s="71" t="s">
        <v>666</v>
      </c>
      <c r="H203" s="71">
        <v>4.0</v>
      </c>
      <c r="I203" s="71">
        <v>3.0</v>
      </c>
      <c r="J203" s="71">
        <v>11.0</v>
      </c>
      <c r="K203" s="72">
        <f>Difensori!I141</f>
        <v>5</v>
      </c>
      <c r="L203" s="73">
        <f>Difensori!AE141</f>
        <v>5.5</v>
      </c>
      <c r="M203" s="74">
        <f>Difensori!B141</f>
        <v>4.3</v>
      </c>
      <c r="N203" s="71">
        <f>Difensori!A141</f>
        <v>136</v>
      </c>
      <c r="O203" s="71" t="s">
        <v>68</v>
      </c>
      <c r="P203" s="71">
        <v>0.0</v>
      </c>
      <c r="R203" s="71" t="s">
        <v>71</v>
      </c>
      <c r="S203" s="71" t="s">
        <v>288</v>
      </c>
      <c r="T203" s="71" t="str">
        <f>Difensori!K141</f>
        <v>4a fascia</v>
      </c>
      <c r="U203" s="71" t="s">
        <v>100</v>
      </c>
      <c r="V203" s="71">
        <v>2.0</v>
      </c>
      <c r="W203" s="71">
        <f t="shared" si="1"/>
        <v>323</v>
      </c>
    </row>
    <row r="204" ht="15.75" customHeight="1">
      <c r="A204" s="71" t="s">
        <v>1551</v>
      </c>
      <c r="B204" s="71" t="s">
        <v>62</v>
      </c>
      <c r="C204" s="71">
        <v>142.0</v>
      </c>
      <c r="D204" s="71" t="s">
        <v>704</v>
      </c>
      <c r="E204" s="71" t="s">
        <v>1233</v>
      </c>
      <c r="F204" s="71" t="s">
        <v>185</v>
      </c>
      <c r="G204" s="71" t="s">
        <v>666</v>
      </c>
      <c r="H204" s="71">
        <v>2.0</v>
      </c>
      <c r="I204" s="71">
        <v>3.0</v>
      </c>
      <c r="J204" s="71">
        <v>11.0</v>
      </c>
      <c r="K204" s="72">
        <f>Difensori!I142</f>
        <v>5</v>
      </c>
      <c r="L204" s="73">
        <f>Difensori!AE142</f>
        <v>5.5</v>
      </c>
      <c r="M204" s="74">
        <f>Difensori!B142</f>
        <v>4.3</v>
      </c>
      <c r="N204" s="71">
        <f>Difensori!A142</f>
        <v>136</v>
      </c>
      <c r="O204" s="71" t="s">
        <v>332</v>
      </c>
      <c r="P204" s="71">
        <v>4.0</v>
      </c>
      <c r="Q204" s="71">
        <v>5.5</v>
      </c>
      <c r="R204" s="71" t="s">
        <v>71</v>
      </c>
      <c r="S204" s="71" t="s">
        <v>158</v>
      </c>
      <c r="T204" s="71" t="str">
        <f>Difensori!K142</f>
        <v>4a fascia</v>
      </c>
      <c r="U204" s="71" t="s">
        <v>284</v>
      </c>
      <c r="V204" s="71">
        <v>1.0</v>
      </c>
      <c r="W204" s="71">
        <f t="shared" si="1"/>
        <v>323</v>
      </c>
    </row>
    <row r="205" ht="15.75" customHeight="1">
      <c r="A205" s="71" t="s">
        <v>1553</v>
      </c>
      <c r="B205" s="71" t="s">
        <v>62</v>
      </c>
      <c r="C205" s="71">
        <v>143.0</v>
      </c>
      <c r="D205" s="71" t="s">
        <v>928</v>
      </c>
      <c r="E205" s="71" t="s">
        <v>1233</v>
      </c>
      <c r="F205" s="71" t="s">
        <v>185</v>
      </c>
      <c r="G205" s="71" t="s">
        <v>666</v>
      </c>
      <c r="H205" s="71">
        <v>1.0</v>
      </c>
      <c r="I205" s="71">
        <v>2.0</v>
      </c>
      <c r="J205" s="71">
        <v>10.0</v>
      </c>
      <c r="K205" s="72">
        <f>Difensori!I143</f>
        <v>5</v>
      </c>
      <c r="L205" s="73">
        <f>Difensori!AE143</f>
        <v>5.5</v>
      </c>
      <c r="M205" s="74">
        <f>Difensori!B143</f>
        <v>4.1</v>
      </c>
      <c r="N205" s="71">
        <f>Difensori!A143</f>
        <v>140</v>
      </c>
      <c r="O205" s="71" t="s">
        <v>332</v>
      </c>
      <c r="P205" s="71">
        <v>0.0</v>
      </c>
      <c r="R205" s="71" t="s">
        <v>71</v>
      </c>
      <c r="S205" s="71" t="s">
        <v>158</v>
      </c>
      <c r="T205" s="71" t="str">
        <f>Difensori!K143</f>
        <v>4a fascia</v>
      </c>
      <c r="U205" s="71" t="s">
        <v>473</v>
      </c>
      <c r="V205" s="71">
        <v>2.0</v>
      </c>
      <c r="W205" s="71">
        <f t="shared" si="1"/>
        <v>342</v>
      </c>
    </row>
    <row r="206" ht="15.75" customHeight="1">
      <c r="A206" s="71" t="s">
        <v>1556</v>
      </c>
      <c r="B206" s="71" t="s">
        <v>62</v>
      </c>
      <c r="C206" s="71">
        <v>144.0</v>
      </c>
      <c r="D206" s="71" t="s">
        <v>934</v>
      </c>
      <c r="E206" s="71" t="s">
        <v>1241</v>
      </c>
      <c r="F206" s="71" t="s">
        <v>177</v>
      </c>
      <c r="G206" s="71" t="s">
        <v>666</v>
      </c>
      <c r="H206" s="71">
        <v>3.0</v>
      </c>
      <c r="I206" s="71">
        <v>3.0</v>
      </c>
      <c r="J206" s="71">
        <v>10.0</v>
      </c>
      <c r="K206" s="72">
        <f>Difensori!I144</f>
        <v>5</v>
      </c>
      <c r="L206" s="73">
        <f>Difensori!AE144</f>
        <v>5.5</v>
      </c>
      <c r="M206" s="74">
        <f>Difensori!B144</f>
        <v>4.1</v>
      </c>
      <c r="N206" s="71">
        <f>Difensori!A144</f>
        <v>140</v>
      </c>
      <c r="O206" s="71" t="s">
        <v>226</v>
      </c>
      <c r="P206" s="71">
        <v>0.0</v>
      </c>
      <c r="R206" s="71" t="s">
        <v>71</v>
      </c>
      <c r="S206" s="71" t="s">
        <v>179</v>
      </c>
      <c r="T206" s="71" t="str">
        <f>Difensori!K144</f>
        <v>4a fascia</v>
      </c>
      <c r="U206" s="71" t="s">
        <v>227</v>
      </c>
      <c r="V206" s="71">
        <v>0.0</v>
      </c>
      <c r="W206" s="71">
        <f t="shared" si="1"/>
        <v>342</v>
      </c>
    </row>
    <row r="207" ht="15.75" customHeight="1">
      <c r="A207" s="71" t="s">
        <v>1558</v>
      </c>
      <c r="B207" s="71" t="s">
        <v>62</v>
      </c>
      <c r="C207" s="71">
        <v>145.0</v>
      </c>
      <c r="D207" s="71" t="s">
        <v>937</v>
      </c>
      <c r="E207" s="71" t="s">
        <v>1247</v>
      </c>
      <c r="F207" s="71" t="s">
        <v>264</v>
      </c>
      <c r="G207" s="71" t="s">
        <v>666</v>
      </c>
      <c r="H207" s="71">
        <v>4.0</v>
      </c>
      <c r="I207" s="71">
        <v>3.0</v>
      </c>
      <c r="J207" s="71">
        <v>10.0</v>
      </c>
      <c r="K207" s="72">
        <f>Difensori!I145</f>
        <v>5</v>
      </c>
      <c r="L207" s="73">
        <f>Difensori!AE145</f>
        <v>5.5</v>
      </c>
      <c r="M207" s="74">
        <f>Difensori!B145</f>
        <v>4.1</v>
      </c>
      <c r="N207" s="71">
        <f>Difensori!A145</f>
        <v>140</v>
      </c>
      <c r="O207" s="71" t="s">
        <v>332</v>
      </c>
      <c r="P207" s="71">
        <v>0.0</v>
      </c>
      <c r="R207" s="71" t="s">
        <v>71</v>
      </c>
      <c r="S207" s="71" t="s">
        <v>270</v>
      </c>
      <c r="T207" s="71" t="str">
        <f>Difensori!K145</f>
        <v>4a fascia</v>
      </c>
      <c r="U207" s="71" t="s">
        <v>615</v>
      </c>
      <c r="V207" s="71">
        <v>1.0</v>
      </c>
      <c r="W207" s="71">
        <f t="shared" si="1"/>
        <v>342</v>
      </c>
    </row>
    <row r="208" ht="15.75" customHeight="1">
      <c r="A208" s="71" t="s">
        <v>1560</v>
      </c>
      <c r="B208" s="71" t="s">
        <v>62</v>
      </c>
      <c r="C208" s="71">
        <v>146.0</v>
      </c>
      <c r="D208" s="71" t="s">
        <v>944</v>
      </c>
      <c r="E208" s="71" t="s">
        <v>1247</v>
      </c>
      <c r="F208" s="71" t="s">
        <v>264</v>
      </c>
      <c r="G208" s="71" t="s">
        <v>666</v>
      </c>
      <c r="H208" s="71">
        <v>5.0</v>
      </c>
      <c r="I208" s="71">
        <v>5.0</v>
      </c>
      <c r="J208" s="71">
        <v>10.0</v>
      </c>
      <c r="K208" s="72">
        <f>Difensori!I146</f>
        <v>5</v>
      </c>
      <c r="L208" s="73">
        <f>Difensori!AE146</f>
        <v>5.5</v>
      </c>
      <c r="M208" s="74">
        <f>Difensori!B146</f>
        <v>4.1</v>
      </c>
      <c r="N208" s="71">
        <f>Difensori!A146</f>
        <v>140</v>
      </c>
      <c r="O208" s="71" t="s">
        <v>68</v>
      </c>
      <c r="P208" s="71">
        <v>0.0</v>
      </c>
      <c r="R208" s="71" t="s">
        <v>71</v>
      </c>
      <c r="S208" s="71" t="s">
        <v>270</v>
      </c>
      <c r="T208" s="71" t="str">
        <f>Difensori!K146</f>
        <v>4a fascia</v>
      </c>
      <c r="U208" s="71" t="s">
        <v>100</v>
      </c>
      <c r="V208" s="71">
        <v>2.0</v>
      </c>
      <c r="W208" s="71">
        <f t="shared" si="1"/>
        <v>342</v>
      </c>
    </row>
    <row r="209" ht="15.75" customHeight="1">
      <c r="A209" s="71" t="s">
        <v>1562</v>
      </c>
      <c r="B209" s="71" t="s">
        <v>62</v>
      </c>
      <c r="C209" s="71">
        <v>147.0</v>
      </c>
      <c r="D209" s="71" t="s">
        <v>950</v>
      </c>
      <c r="E209" s="71" t="s">
        <v>1205</v>
      </c>
      <c r="F209" s="71" t="s">
        <v>60</v>
      </c>
      <c r="G209" s="71" t="s">
        <v>666</v>
      </c>
      <c r="H209" s="71">
        <v>1.0</v>
      </c>
      <c r="I209" s="71">
        <v>2.0</v>
      </c>
      <c r="J209" s="71">
        <v>10.0</v>
      </c>
      <c r="K209" s="72">
        <f>Difensori!I147</f>
        <v>5</v>
      </c>
      <c r="L209" s="73">
        <f>Difensori!AE147</f>
        <v>5.5</v>
      </c>
      <c r="M209" s="74">
        <f>Difensori!B147</f>
        <v>4.1</v>
      </c>
      <c r="N209" s="71">
        <f>Difensori!A147</f>
        <v>140</v>
      </c>
      <c r="O209" s="71" t="s">
        <v>332</v>
      </c>
      <c r="P209" s="71">
        <v>0.0</v>
      </c>
      <c r="R209" s="71" t="s">
        <v>71</v>
      </c>
      <c r="S209" s="71" t="s">
        <v>245</v>
      </c>
      <c r="T209" s="71" t="str">
        <f>Difensori!K147</f>
        <v>4a fascia</v>
      </c>
      <c r="U209" s="71" t="s">
        <v>473</v>
      </c>
      <c r="V209" s="71">
        <v>2.0</v>
      </c>
      <c r="W209" s="71">
        <f t="shared" si="1"/>
        <v>342</v>
      </c>
    </row>
    <row r="210" ht="15.75" customHeight="1">
      <c r="A210" s="71" t="s">
        <v>1564</v>
      </c>
      <c r="B210" s="71" t="s">
        <v>62</v>
      </c>
      <c r="C210" s="71">
        <v>148.0</v>
      </c>
      <c r="D210" s="71" t="s">
        <v>958</v>
      </c>
      <c r="E210" s="71" t="s">
        <v>1241</v>
      </c>
      <c r="F210" s="71" t="s">
        <v>177</v>
      </c>
      <c r="G210" s="71" t="s">
        <v>666</v>
      </c>
      <c r="H210" s="71">
        <v>4.0</v>
      </c>
      <c r="I210" s="71">
        <v>4.0</v>
      </c>
      <c r="J210" s="71">
        <v>10.0</v>
      </c>
      <c r="K210" s="72">
        <f>Difensori!I148</f>
        <v>5</v>
      </c>
      <c r="L210" s="73">
        <f>Difensori!AE148</f>
        <v>5.5</v>
      </c>
      <c r="M210" s="74">
        <f>Difensori!B148</f>
        <v>4.1</v>
      </c>
      <c r="N210" s="71">
        <f>Difensori!A148</f>
        <v>140</v>
      </c>
      <c r="O210" s="71" t="s">
        <v>226</v>
      </c>
      <c r="P210" s="71">
        <v>0.0</v>
      </c>
      <c r="R210" s="71" t="s">
        <v>71</v>
      </c>
      <c r="S210" s="71" t="s">
        <v>179</v>
      </c>
      <c r="T210" s="71" t="str">
        <f>Difensori!K148</f>
        <v>4a fascia</v>
      </c>
      <c r="U210" s="71" t="s">
        <v>227</v>
      </c>
      <c r="V210" s="71">
        <v>0.0</v>
      </c>
      <c r="W210" s="71">
        <f t="shared" si="1"/>
        <v>342</v>
      </c>
    </row>
    <row r="211" ht="15.75" customHeight="1">
      <c r="A211" s="71" t="s">
        <v>1566</v>
      </c>
      <c r="B211" s="71" t="s">
        <v>62</v>
      </c>
      <c r="C211" s="71">
        <v>149.0</v>
      </c>
      <c r="D211" s="71" t="s">
        <v>967</v>
      </c>
      <c r="E211" s="71" t="s">
        <v>1245</v>
      </c>
      <c r="F211" s="71" t="s">
        <v>261</v>
      </c>
      <c r="G211" s="71" t="s">
        <v>666</v>
      </c>
      <c r="H211" s="71">
        <v>5.0</v>
      </c>
      <c r="I211" s="71">
        <v>6.0</v>
      </c>
      <c r="J211" s="71">
        <v>10.0</v>
      </c>
      <c r="K211" s="72">
        <f>Difensori!I149</f>
        <v>5</v>
      </c>
      <c r="L211" s="73">
        <f>Difensori!AE149</f>
        <v>5.5</v>
      </c>
      <c r="M211" s="74">
        <f>Difensori!B149</f>
        <v>4.1</v>
      </c>
      <c r="N211" s="71">
        <f>Difensori!A149</f>
        <v>140</v>
      </c>
      <c r="O211" s="71" t="s">
        <v>68</v>
      </c>
      <c r="P211" s="71">
        <v>0.0</v>
      </c>
      <c r="R211" s="71" t="s">
        <v>71</v>
      </c>
      <c r="S211" s="71" t="s">
        <v>311</v>
      </c>
      <c r="T211" s="71" t="str">
        <f>Difensori!K149</f>
        <v>4a fascia</v>
      </c>
      <c r="U211" s="71" t="s">
        <v>100</v>
      </c>
      <c r="V211" s="71">
        <v>2.0</v>
      </c>
      <c r="W211" s="71">
        <f t="shared" si="1"/>
        <v>342</v>
      </c>
    </row>
    <row r="212" ht="15.75" customHeight="1">
      <c r="A212" s="71" t="s">
        <v>1568</v>
      </c>
      <c r="B212" s="71" t="s">
        <v>62</v>
      </c>
      <c r="C212" s="71">
        <v>150.0</v>
      </c>
      <c r="D212" s="71" t="s">
        <v>975</v>
      </c>
      <c r="E212" s="71" t="s">
        <v>1247</v>
      </c>
      <c r="F212" s="71" t="s">
        <v>264</v>
      </c>
      <c r="G212" s="71" t="s">
        <v>666</v>
      </c>
      <c r="H212" s="71">
        <v>3.0</v>
      </c>
      <c r="I212" s="71">
        <v>3.0</v>
      </c>
      <c r="J212" s="71">
        <v>10.0</v>
      </c>
      <c r="K212" s="72">
        <f>Difensori!I150</f>
        <v>5</v>
      </c>
      <c r="L212" s="73">
        <f>Difensori!AE150</f>
        <v>5.5</v>
      </c>
      <c r="M212" s="74">
        <f>Difensori!B150</f>
        <v>4.1</v>
      </c>
      <c r="N212" s="71">
        <f>Difensori!A150</f>
        <v>140</v>
      </c>
      <c r="O212" s="71" t="s">
        <v>332</v>
      </c>
      <c r="P212" s="71">
        <v>0.0</v>
      </c>
      <c r="R212" s="71" t="s">
        <v>71</v>
      </c>
      <c r="S212" s="71" t="s">
        <v>270</v>
      </c>
      <c r="T212" s="71" t="str">
        <f>Difensori!K150</f>
        <v>4a fascia</v>
      </c>
      <c r="U212" s="71" t="s">
        <v>473</v>
      </c>
      <c r="V212" s="71">
        <v>2.0</v>
      </c>
      <c r="W212" s="71">
        <f t="shared" si="1"/>
        <v>342</v>
      </c>
    </row>
    <row r="213" ht="15.75" customHeight="1">
      <c r="A213" s="71" t="s">
        <v>1570</v>
      </c>
      <c r="B213" s="71" t="s">
        <v>62</v>
      </c>
      <c r="C213" s="71">
        <v>151.0</v>
      </c>
      <c r="D213" s="71" t="s">
        <v>979</v>
      </c>
      <c r="E213" s="71" t="s">
        <v>1241</v>
      </c>
      <c r="F213" s="71" t="s">
        <v>177</v>
      </c>
      <c r="G213" s="71" t="s">
        <v>666</v>
      </c>
      <c r="H213" s="71">
        <v>2.0</v>
      </c>
      <c r="I213" s="71">
        <v>2.0</v>
      </c>
      <c r="J213" s="71">
        <v>5.0</v>
      </c>
      <c r="K213" s="72">
        <f>Difensori!I151</f>
        <v>3</v>
      </c>
      <c r="L213" s="73">
        <f>Difensori!AE151</f>
        <v>5.58</v>
      </c>
      <c r="M213" s="74">
        <f>Difensori!B151</f>
        <v>4.1</v>
      </c>
      <c r="N213" s="71">
        <f>Difensori!A151</f>
        <v>140</v>
      </c>
      <c r="O213" s="71" t="s">
        <v>332</v>
      </c>
      <c r="P213" s="71">
        <v>13.0</v>
      </c>
      <c r="Q213" s="71">
        <v>5.65</v>
      </c>
      <c r="R213" s="71" t="s">
        <v>71</v>
      </c>
      <c r="S213" s="71" t="s">
        <v>179</v>
      </c>
      <c r="T213" s="71" t="str">
        <f>Difensori!K151</f>
        <v>4a fascia</v>
      </c>
      <c r="U213" s="71" t="s">
        <v>333</v>
      </c>
      <c r="V213" s="71">
        <v>0.0</v>
      </c>
      <c r="W213" s="71">
        <f t="shared" si="1"/>
        <v>427</v>
      </c>
    </row>
    <row r="214" ht="15.75" customHeight="1">
      <c r="A214" s="71" t="s">
        <v>1572</v>
      </c>
      <c r="B214" s="71" t="s">
        <v>62</v>
      </c>
      <c r="C214" s="71">
        <v>152.0</v>
      </c>
      <c r="D214" s="71" t="s">
        <v>984</v>
      </c>
      <c r="E214" s="71" t="s">
        <v>1222</v>
      </c>
      <c r="F214" s="71" t="s">
        <v>182</v>
      </c>
      <c r="G214" s="71" t="s">
        <v>666</v>
      </c>
      <c r="H214" s="71">
        <v>2.0</v>
      </c>
      <c r="I214" s="71">
        <v>3.0</v>
      </c>
      <c r="J214" s="71">
        <v>12.0</v>
      </c>
      <c r="K214" s="72">
        <f>Difensori!I152</f>
        <v>6</v>
      </c>
      <c r="L214" s="73">
        <f>Difensori!AE152</f>
        <v>5.46</v>
      </c>
      <c r="M214" s="74">
        <f>Difensori!B152</f>
        <v>3.9</v>
      </c>
      <c r="N214" s="71">
        <f>Difensori!A152</f>
        <v>149</v>
      </c>
      <c r="O214" s="71" t="s">
        <v>332</v>
      </c>
      <c r="P214" s="71">
        <v>6.0</v>
      </c>
      <c r="Q214" s="71">
        <v>5.33</v>
      </c>
      <c r="R214" s="71" t="s">
        <v>71</v>
      </c>
      <c r="S214" s="71" t="s">
        <v>113</v>
      </c>
      <c r="T214" s="71" t="str">
        <f>Difensori!K152</f>
        <v>4a fascia</v>
      </c>
      <c r="U214" s="71" t="s">
        <v>392</v>
      </c>
      <c r="V214" s="71">
        <v>2.0</v>
      </c>
      <c r="W214" s="71">
        <f t="shared" si="1"/>
        <v>282</v>
      </c>
    </row>
    <row r="215" ht="15.75" customHeight="1">
      <c r="A215" s="71" t="s">
        <v>1575</v>
      </c>
      <c r="B215" s="71" t="s">
        <v>62</v>
      </c>
      <c r="C215" s="71">
        <v>153.0</v>
      </c>
      <c r="D215" s="71" t="s">
        <v>670</v>
      </c>
      <c r="E215" s="71" t="s">
        <v>1217</v>
      </c>
      <c r="F215" s="71" t="s">
        <v>191</v>
      </c>
      <c r="G215" s="71" t="s">
        <v>666</v>
      </c>
      <c r="H215" s="71">
        <v>1.0</v>
      </c>
      <c r="I215" s="71">
        <v>1.0</v>
      </c>
      <c r="J215" s="71">
        <v>3.0</v>
      </c>
      <c r="K215" s="72">
        <f>Difensori!I153</f>
        <v>2</v>
      </c>
      <c r="L215" s="73">
        <f>Difensori!AE153</f>
        <v>5.6</v>
      </c>
      <c r="M215" s="74">
        <f>Difensori!B153</f>
        <v>3.9</v>
      </c>
      <c r="N215" s="71">
        <f>Difensori!A153</f>
        <v>149</v>
      </c>
      <c r="O215" s="71" t="s">
        <v>332</v>
      </c>
      <c r="P215" s="71">
        <v>11.0</v>
      </c>
      <c r="Q215" s="71">
        <v>5.73</v>
      </c>
      <c r="R215" s="71" t="s">
        <v>71</v>
      </c>
      <c r="S215" s="71" t="s">
        <v>223</v>
      </c>
      <c r="T215" s="71" t="str">
        <f>Difensori!K153</f>
        <v>Scommessa</v>
      </c>
      <c r="U215" s="71" t="s">
        <v>498</v>
      </c>
      <c r="V215" s="71">
        <v>0.0</v>
      </c>
      <c r="W215" s="71">
        <f t="shared" si="1"/>
        <v>462</v>
      </c>
    </row>
    <row r="216" ht="15.75" customHeight="1">
      <c r="A216" s="71" t="s">
        <v>1577</v>
      </c>
      <c r="B216" s="71" t="s">
        <v>62</v>
      </c>
      <c r="C216" s="71">
        <v>154.0</v>
      </c>
      <c r="D216" s="71" t="s">
        <v>992</v>
      </c>
      <c r="E216" s="71" t="s">
        <v>1252</v>
      </c>
      <c r="F216" s="71" t="s">
        <v>272</v>
      </c>
      <c r="G216" s="71" t="s">
        <v>666</v>
      </c>
      <c r="H216" s="71">
        <v>3.0</v>
      </c>
      <c r="I216" s="71">
        <v>3.0</v>
      </c>
      <c r="J216" s="71">
        <v>9.0</v>
      </c>
      <c r="K216" s="72">
        <f>Difensori!I154</f>
        <v>5</v>
      </c>
      <c r="L216" s="73">
        <f>Difensori!AE154</f>
        <v>5.5</v>
      </c>
      <c r="M216" s="74">
        <f>Difensori!B154</f>
        <v>3.8</v>
      </c>
      <c r="N216" s="71">
        <f>Difensori!A154</f>
        <v>151</v>
      </c>
      <c r="O216" s="71" t="s">
        <v>226</v>
      </c>
      <c r="P216" s="71">
        <v>0.0</v>
      </c>
      <c r="R216" s="71" t="s">
        <v>71</v>
      </c>
      <c r="S216" s="71" t="s">
        <v>288</v>
      </c>
      <c r="T216" s="71" t="str">
        <f>Difensori!K154</f>
        <v>4a fascia</v>
      </c>
      <c r="U216" s="71" t="s">
        <v>300</v>
      </c>
      <c r="V216" s="71">
        <v>2.0</v>
      </c>
      <c r="W216" s="71">
        <f t="shared" si="1"/>
        <v>380</v>
      </c>
    </row>
    <row r="217" ht="15.75" customHeight="1">
      <c r="A217" s="71" t="s">
        <v>1580</v>
      </c>
      <c r="B217" s="71" t="s">
        <v>62</v>
      </c>
      <c r="C217" s="71">
        <v>155.0</v>
      </c>
      <c r="D217" s="71" t="s">
        <v>997</v>
      </c>
      <c r="E217" s="71" t="s">
        <v>1222</v>
      </c>
      <c r="F217" s="71" t="s">
        <v>182</v>
      </c>
      <c r="G217" s="71" t="s">
        <v>666</v>
      </c>
      <c r="H217" s="71">
        <v>3.0</v>
      </c>
      <c r="I217" s="71">
        <v>3.0</v>
      </c>
      <c r="J217" s="71">
        <v>5.0</v>
      </c>
      <c r="K217" s="72">
        <f>Difensori!I155</f>
        <v>3</v>
      </c>
      <c r="L217" s="73">
        <f>Difensori!AE155</f>
        <v>5.56</v>
      </c>
      <c r="M217" s="74">
        <f>Difensori!B155</f>
        <v>3.7</v>
      </c>
      <c r="N217" s="71">
        <f>Difensori!A155</f>
        <v>152</v>
      </c>
      <c r="O217" s="71" t="s">
        <v>332</v>
      </c>
      <c r="P217" s="71">
        <v>10.0</v>
      </c>
      <c r="Q217" s="71">
        <v>5.65</v>
      </c>
      <c r="R217" s="71" t="s">
        <v>71</v>
      </c>
      <c r="S217" s="71" t="s">
        <v>113</v>
      </c>
      <c r="T217" s="71" t="str">
        <f>Difensori!K155</f>
        <v>4a fascia</v>
      </c>
      <c r="U217" s="71" t="s">
        <v>333</v>
      </c>
      <c r="V217" s="71">
        <v>0.0</v>
      </c>
      <c r="W217" s="71">
        <f t="shared" si="1"/>
        <v>427</v>
      </c>
    </row>
    <row r="218" ht="15.75" customHeight="1">
      <c r="A218" s="71" t="s">
        <v>1582</v>
      </c>
      <c r="B218" s="71" t="s">
        <v>62</v>
      </c>
      <c r="C218" s="71">
        <v>156.0</v>
      </c>
      <c r="D218" s="71" t="s">
        <v>1003</v>
      </c>
      <c r="E218" s="71" t="s">
        <v>1245</v>
      </c>
      <c r="F218" s="71" t="s">
        <v>261</v>
      </c>
      <c r="G218" s="71" t="s">
        <v>666</v>
      </c>
      <c r="H218" s="71">
        <v>3.0</v>
      </c>
      <c r="I218" s="71">
        <v>4.0</v>
      </c>
      <c r="J218" s="71">
        <v>8.0</v>
      </c>
      <c r="K218" s="72">
        <f>Difensori!I156</f>
        <v>4</v>
      </c>
      <c r="L218" s="73">
        <f>Difensori!AE156</f>
        <v>5.5</v>
      </c>
      <c r="M218" s="74">
        <f>Difensori!B156</f>
        <v>3.6</v>
      </c>
      <c r="N218" s="71">
        <f>Difensori!A156</f>
        <v>153</v>
      </c>
      <c r="O218" s="71" t="s">
        <v>226</v>
      </c>
      <c r="P218" s="71">
        <v>0.0</v>
      </c>
      <c r="R218" s="71" t="s">
        <v>71</v>
      </c>
      <c r="S218" s="71" t="s">
        <v>311</v>
      </c>
      <c r="T218" s="71" t="str">
        <f>Difensori!K156</f>
        <v>4a fascia</v>
      </c>
      <c r="U218" s="71" t="s">
        <v>300</v>
      </c>
      <c r="V218" s="71">
        <v>2.0</v>
      </c>
      <c r="W218" s="71">
        <f t="shared" si="1"/>
        <v>384</v>
      </c>
    </row>
    <row r="219" ht="15.75" customHeight="1">
      <c r="A219" s="71" t="s">
        <v>1584</v>
      </c>
      <c r="B219" s="71" t="s">
        <v>62</v>
      </c>
      <c r="C219" s="71">
        <v>157.0</v>
      </c>
      <c r="D219" s="71" t="s">
        <v>1009</v>
      </c>
      <c r="E219" s="71" t="s">
        <v>1215</v>
      </c>
      <c r="F219" s="71" t="s">
        <v>133</v>
      </c>
      <c r="G219" s="71" t="s">
        <v>666</v>
      </c>
      <c r="H219" s="71">
        <v>3.0</v>
      </c>
      <c r="I219" s="71">
        <v>3.0</v>
      </c>
      <c r="J219" s="71">
        <v>8.0</v>
      </c>
      <c r="K219" s="72">
        <f>Difensori!I157</f>
        <v>4</v>
      </c>
      <c r="L219" s="73">
        <f>Difensori!AE157</f>
        <v>5.5</v>
      </c>
      <c r="M219" s="74">
        <f>Difensori!B157</f>
        <v>3.6</v>
      </c>
      <c r="N219" s="71">
        <f>Difensori!A157</f>
        <v>153</v>
      </c>
      <c r="O219" s="71" t="s">
        <v>332</v>
      </c>
      <c r="P219" s="71">
        <v>0.0</v>
      </c>
      <c r="R219" s="71" t="s">
        <v>71</v>
      </c>
      <c r="S219" s="71" t="s">
        <v>304</v>
      </c>
      <c r="T219" s="71" t="str">
        <f>Difensori!K157</f>
        <v>4a fascia</v>
      </c>
      <c r="U219" s="71" t="s">
        <v>338</v>
      </c>
      <c r="V219" s="71">
        <v>0.0</v>
      </c>
      <c r="W219" s="71">
        <f t="shared" si="1"/>
        <v>384</v>
      </c>
    </row>
    <row r="220" ht="15.75" customHeight="1">
      <c r="A220" s="71" t="s">
        <v>1586</v>
      </c>
      <c r="B220" s="71" t="s">
        <v>62</v>
      </c>
      <c r="C220" s="71">
        <v>158.0</v>
      </c>
      <c r="D220" s="71" t="s">
        <v>1015</v>
      </c>
      <c r="E220" s="71" t="s">
        <v>1237</v>
      </c>
      <c r="F220" s="71" t="s">
        <v>239</v>
      </c>
      <c r="G220" s="71" t="s">
        <v>666</v>
      </c>
      <c r="H220" s="71">
        <v>5.0</v>
      </c>
      <c r="I220" s="71">
        <v>5.0</v>
      </c>
      <c r="J220" s="71">
        <v>8.0</v>
      </c>
      <c r="K220" s="72">
        <f>Difensori!I158</f>
        <v>4</v>
      </c>
      <c r="L220" s="73">
        <f>Difensori!AE158</f>
        <v>5.5</v>
      </c>
      <c r="M220" s="74">
        <f>Difensori!B158</f>
        <v>3.6</v>
      </c>
      <c r="N220" s="71">
        <f>Difensori!A158</f>
        <v>153</v>
      </c>
      <c r="O220" s="71" t="s">
        <v>226</v>
      </c>
      <c r="P220" s="71">
        <v>0.0</v>
      </c>
      <c r="R220" s="71" t="s">
        <v>71</v>
      </c>
      <c r="S220" s="71" t="s">
        <v>311</v>
      </c>
      <c r="T220" s="71" t="str">
        <f>Difensori!K158</f>
        <v>4a fascia</v>
      </c>
      <c r="U220" s="71" t="s">
        <v>495</v>
      </c>
      <c r="V220" s="71">
        <v>1.0</v>
      </c>
      <c r="W220" s="71">
        <f t="shared" si="1"/>
        <v>384</v>
      </c>
    </row>
    <row r="221" ht="15.75" customHeight="1">
      <c r="A221" s="71" t="s">
        <v>1589</v>
      </c>
      <c r="B221" s="71" t="s">
        <v>62</v>
      </c>
      <c r="C221" s="71">
        <v>159.0</v>
      </c>
      <c r="D221" s="71" t="s">
        <v>1018</v>
      </c>
      <c r="E221" s="71" t="s">
        <v>1217</v>
      </c>
      <c r="F221" s="71" t="s">
        <v>191</v>
      </c>
      <c r="G221" s="71" t="s">
        <v>666</v>
      </c>
      <c r="H221" s="71">
        <v>2.0</v>
      </c>
      <c r="I221" s="71">
        <v>2.0</v>
      </c>
      <c r="J221" s="71">
        <v>8.0</v>
      </c>
      <c r="K221" s="72">
        <f>Difensori!I159</f>
        <v>4</v>
      </c>
      <c r="L221" s="73">
        <f>Difensori!AE159</f>
        <v>5.5</v>
      </c>
      <c r="M221" s="74">
        <f>Difensori!B159</f>
        <v>3.6</v>
      </c>
      <c r="N221" s="71">
        <f>Difensori!A159</f>
        <v>153</v>
      </c>
      <c r="O221" s="71" t="s">
        <v>332</v>
      </c>
      <c r="P221" s="71">
        <v>0.0</v>
      </c>
      <c r="R221" s="71" t="s">
        <v>71</v>
      </c>
      <c r="S221" s="71" t="s">
        <v>223</v>
      </c>
      <c r="T221" s="71" t="str">
        <f>Difensori!K159</f>
        <v>4a fascia</v>
      </c>
      <c r="U221" s="71" t="s">
        <v>473</v>
      </c>
      <c r="V221" s="71">
        <v>2.0</v>
      </c>
      <c r="W221" s="71">
        <f t="shared" si="1"/>
        <v>384</v>
      </c>
    </row>
    <row r="222" ht="15.75" customHeight="1">
      <c r="A222" s="71" t="s">
        <v>1591</v>
      </c>
      <c r="B222" s="71" t="s">
        <v>62</v>
      </c>
      <c r="C222" s="71">
        <v>160.0</v>
      </c>
      <c r="D222" s="71" t="s">
        <v>1023</v>
      </c>
      <c r="E222" s="71" t="s">
        <v>1243</v>
      </c>
      <c r="F222" s="71" t="s">
        <v>253</v>
      </c>
      <c r="G222" s="71" t="s">
        <v>666</v>
      </c>
      <c r="H222" s="71">
        <v>1.0</v>
      </c>
      <c r="I222" s="71">
        <v>3.0</v>
      </c>
      <c r="J222" s="71">
        <v>8.0</v>
      </c>
      <c r="K222" s="72">
        <f>Difensori!I160</f>
        <v>4</v>
      </c>
      <c r="L222" s="73">
        <f>Difensori!AE160</f>
        <v>5.5</v>
      </c>
      <c r="M222" s="74">
        <f>Difensori!B160</f>
        <v>3.6</v>
      </c>
      <c r="N222" s="71">
        <f>Difensori!A160</f>
        <v>153</v>
      </c>
      <c r="O222" s="71" t="s">
        <v>332</v>
      </c>
      <c r="P222" s="71">
        <v>0.0</v>
      </c>
      <c r="R222" s="71" t="s">
        <v>71</v>
      </c>
      <c r="S222" s="71" t="s">
        <v>196</v>
      </c>
      <c r="T222" s="71" t="str">
        <f>Difensori!K160</f>
        <v>4a fascia</v>
      </c>
      <c r="U222" s="71" t="s">
        <v>408</v>
      </c>
      <c r="V222" s="71">
        <v>1.0</v>
      </c>
      <c r="W222" s="71">
        <f t="shared" si="1"/>
        <v>384</v>
      </c>
    </row>
    <row r="223" ht="15.75" customHeight="1">
      <c r="A223" s="71" t="s">
        <v>1593</v>
      </c>
      <c r="B223" s="71" t="s">
        <v>62</v>
      </c>
      <c r="C223" s="71">
        <v>161.0</v>
      </c>
      <c r="D223" s="71" t="s">
        <v>1031</v>
      </c>
      <c r="E223" s="71" t="s">
        <v>1245</v>
      </c>
      <c r="F223" s="71" t="s">
        <v>261</v>
      </c>
      <c r="G223" s="71" t="s">
        <v>666</v>
      </c>
      <c r="H223" s="71">
        <v>3.0</v>
      </c>
      <c r="I223" s="71">
        <v>3.0</v>
      </c>
      <c r="J223" s="71">
        <v>8.0</v>
      </c>
      <c r="K223" s="72">
        <f>Difensori!I161</f>
        <v>4</v>
      </c>
      <c r="L223" s="73">
        <f>Difensori!AE161</f>
        <v>5.5</v>
      </c>
      <c r="M223" s="74">
        <f>Difensori!B161</f>
        <v>3.6</v>
      </c>
      <c r="N223" s="71">
        <f>Difensori!A161</f>
        <v>153</v>
      </c>
      <c r="O223" s="71" t="s">
        <v>332</v>
      </c>
      <c r="P223" s="71">
        <v>0.0</v>
      </c>
      <c r="R223" s="71" t="s">
        <v>71</v>
      </c>
      <c r="S223" s="71" t="s">
        <v>311</v>
      </c>
      <c r="T223" s="71" t="str">
        <f>Difensori!K161</f>
        <v>4a fascia</v>
      </c>
      <c r="U223" s="71" t="s">
        <v>338</v>
      </c>
      <c r="V223" s="71">
        <v>0.0</v>
      </c>
      <c r="W223" s="71">
        <f t="shared" si="1"/>
        <v>384</v>
      </c>
    </row>
    <row r="224" ht="15.75" customHeight="1">
      <c r="A224" s="71" t="s">
        <v>1596</v>
      </c>
      <c r="B224" s="71" t="s">
        <v>62</v>
      </c>
      <c r="C224" s="71">
        <v>162.0</v>
      </c>
      <c r="D224" s="71" t="s">
        <v>1036</v>
      </c>
      <c r="E224" s="71" t="s">
        <v>1245</v>
      </c>
      <c r="F224" s="71" t="s">
        <v>261</v>
      </c>
      <c r="G224" s="71" t="s">
        <v>666</v>
      </c>
      <c r="H224" s="71">
        <v>4.0</v>
      </c>
      <c r="I224" s="71">
        <v>4.0</v>
      </c>
      <c r="J224" s="71">
        <v>8.0</v>
      </c>
      <c r="K224" s="72">
        <f>Difensori!I162</f>
        <v>4</v>
      </c>
      <c r="L224" s="73">
        <f>Difensori!AE162</f>
        <v>5.5</v>
      </c>
      <c r="M224" s="74">
        <f>Difensori!B162</f>
        <v>3.6</v>
      </c>
      <c r="N224" s="71">
        <f>Difensori!A162</f>
        <v>153</v>
      </c>
      <c r="O224" s="71" t="s">
        <v>226</v>
      </c>
      <c r="P224" s="71">
        <v>0.0</v>
      </c>
      <c r="R224" s="71" t="s">
        <v>71</v>
      </c>
      <c r="S224" s="71" t="s">
        <v>311</v>
      </c>
      <c r="T224" s="71" t="str">
        <f>Difensori!K162</f>
        <v>4a fascia</v>
      </c>
      <c r="U224" s="71" t="s">
        <v>300</v>
      </c>
      <c r="V224" s="71">
        <v>2.0</v>
      </c>
      <c r="W224" s="71">
        <f t="shared" si="1"/>
        <v>384</v>
      </c>
    </row>
    <row r="225" ht="15.75" customHeight="1">
      <c r="A225" s="71" t="s">
        <v>1599</v>
      </c>
      <c r="B225" s="71" t="s">
        <v>62</v>
      </c>
      <c r="C225" s="71">
        <v>163.0</v>
      </c>
      <c r="D225" s="71" t="s">
        <v>699</v>
      </c>
      <c r="E225" s="71" t="s">
        <v>1243</v>
      </c>
      <c r="F225" s="71" t="s">
        <v>253</v>
      </c>
      <c r="G225" s="71" t="s">
        <v>666</v>
      </c>
      <c r="H225" s="71">
        <v>3.0</v>
      </c>
      <c r="I225" s="71">
        <v>3.0</v>
      </c>
      <c r="J225" s="71">
        <v>7.0</v>
      </c>
      <c r="K225" s="72">
        <f>Difensori!I163</f>
        <v>4</v>
      </c>
      <c r="L225" s="73">
        <f>Difensori!AE163</f>
        <v>5.52</v>
      </c>
      <c r="M225" s="74">
        <f>Difensori!B163</f>
        <v>3.6</v>
      </c>
      <c r="N225" s="71">
        <f>Difensori!A163</f>
        <v>153</v>
      </c>
      <c r="O225" s="71" t="s">
        <v>332</v>
      </c>
      <c r="P225" s="71">
        <v>8.0</v>
      </c>
      <c r="Q225" s="71">
        <v>5.56</v>
      </c>
      <c r="R225" s="71" t="s">
        <v>71</v>
      </c>
      <c r="S225" s="71" t="s">
        <v>196</v>
      </c>
      <c r="T225" s="71" t="str">
        <f>Difensori!K163</f>
        <v>4a fascia</v>
      </c>
      <c r="U225" s="71" t="s">
        <v>477</v>
      </c>
      <c r="V225" s="71">
        <v>0.0</v>
      </c>
      <c r="W225" s="71">
        <f t="shared" si="1"/>
        <v>408</v>
      </c>
    </row>
    <row r="226" ht="15.75" customHeight="1">
      <c r="A226" s="71" t="s">
        <v>1601</v>
      </c>
      <c r="B226" s="71" t="s">
        <v>62</v>
      </c>
      <c r="C226" s="71">
        <v>164.0</v>
      </c>
      <c r="D226" s="71" t="s">
        <v>1046</v>
      </c>
      <c r="E226" s="71" t="s">
        <v>1228</v>
      </c>
      <c r="F226" s="71" t="s">
        <v>212</v>
      </c>
      <c r="G226" s="71" t="s">
        <v>666</v>
      </c>
      <c r="H226" s="71">
        <v>2.0</v>
      </c>
      <c r="I226" s="71">
        <v>2.0</v>
      </c>
      <c r="J226" s="71">
        <v>5.0</v>
      </c>
      <c r="K226" s="72">
        <f>Difensori!I164</f>
        <v>3</v>
      </c>
      <c r="L226" s="73">
        <f>Difensori!AE164</f>
        <v>5.54</v>
      </c>
      <c r="M226" s="74">
        <f>Difensori!B164</f>
        <v>3.4</v>
      </c>
      <c r="N226" s="71">
        <f>Difensori!A164</f>
        <v>161</v>
      </c>
      <c r="O226" s="71" t="s">
        <v>332</v>
      </c>
      <c r="P226" s="71">
        <v>11.0</v>
      </c>
      <c r="Q226" s="71">
        <v>5.59</v>
      </c>
      <c r="R226" s="71" t="s">
        <v>71</v>
      </c>
      <c r="S226" s="71" t="s">
        <v>179</v>
      </c>
      <c r="T226" s="71" t="str">
        <f>Difensori!K164</f>
        <v>4a fascia</v>
      </c>
      <c r="U226" s="71" t="s">
        <v>333</v>
      </c>
      <c r="V226" s="71">
        <v>0.0</v>
      </c>
      <c r="W226" s="71">
        <f t="shared" si="1"/>
        <v>427</v>
      </c>
    </row>
    <row r="227" ht="15.75" customHeight="1">
      <c r="A227" s="71" t="s">
        <v>1604</v>
      </c>
      <c r="B227" s="71" t="s">
        <v>62</v>
      </c>
      <c r="C227" s="71">
        <v>165.0</v>
      </c>
      <c r="D227" s="71" t="s">
        <v>694</v>
      </c>
      <c r="E227" s="71" t="s">
        <v>1219</v>
      </c>
      <c r="F227" s="71" t="s">
        <v>195</v>
      </c>
      <c r="G227" s="71" t="s">
        <v>666</v>
      </c>
      <c r="H227" s="71">
        <v>1.0</v>
      </c>
      <c r="I227" s="71">
        <v>1.0</v>
      </c>
      <c r="J227" s="71">
        <v>1.0</v>
      </c>
      <c r="K227" s="72">
        <f>Difensori!I165</f>
        <v>1</v>
      </c>
      <c r="L227" s="73">
        <f>Difensori!AE165</f>
        <v>5.6</v>
      </c>
      <c r="M227" s="74">
        <f>Difensori!B165</f>
        <v>3.4</v>
      </c>
      <c r="N227" s="71">
        <f>Difensori!A165</f>
        <v>161</v>
      </c>
      <c r="O227" s="71" t="s">
        <v>332</v>
      </c>
      <c r="P227" s="71">
        <v>10.0</v>
      </c>
      <c r="Q227" s="71">
        <v>5.75</v>
      </c>
      <c r="R227" s="71" t="s">
        <v>71</v>
      </c>
      <c r="S227" s="71" t="s">
        <v>223</v>
      </c>
      <c r="T227" s="71" t="str">
        <f>Difensori!K165</f>
        <v>Scommessa</v>
      </c>
      <c r="U227" s="71" t="s">
        <v>477</v>
      </c>
      <c r="V227" s="71">
        <v>0.0</v>
      </c>
      <c r="W227" s="71">
        <f t="shared" si="1"/>
        <v>478</v>
      </c>
    </row>
    <row r="228" ht="15.75" customHeight="1">
      <c r="A228" s="71" t="s">
        <v>1606</v>
      </c>
      <c r="B228" s="71" t="s">
        <v>62</v>
      </c>
      <c r="C228" s="71">
        <v>166.0</v>
      </c>
      <c r="D228" s="71" t="s">
        <v>715</v>
      </c>
      <c r="E228" s="71" t="s">
        <v>1247</v>
      </c>
      <c r="F228" s="71" t="s">
        <v>264</v>
      </c>
      <c r="G228" s="71" t="s">
        <v>666</v>
      </c>
      <c r="H228" s="71">
        <v>2.0</v>
      </c>
      <c r="I228" s="71">
        <v>3.0</v>
      </c>
      <c r="J228" s="71">
        <v>7.0</v>
      </c>
      <c r="K228" s="72">
        <f>Difensori!I166</f>
        <v>4</v>
      </c>
      <c r="L228" s="73">
        <f>Difensori!AE166</f>
        <v>5.5</v>
      </c>
      <c r="M228" s="74">
        <f>Difensori!B166</f>
        <v>3.3</v>
      </c>
      <c r="N228" s="71">
        <f>Difensori!A166</f>
        <v>163</v>
      </c>
      <c r="O228" s="71" t="s">
        <v>332</v>
      </c>
      <c r="P228" s="71">
        <v>0.0</v>
      </c>
      <c r="R228" s="71" t="s">
        <v>71</v>
      </c>
      <c r="S228" s="71" t="s">
        <v>270</v>
      </c>
      <c r="T228" s="71" t="str">
        <f>Difensori!K166</f>
        <v>4a fascia</v>
      </c>
      <c r="U228" s="71" t="s">
        <v>1060</v>
      </c>
      <c r="V228" s="71">
        <v>2.0</v>
      </c>
      <c r="W228" s="71">
        <f t="shared" si="1"/>
        <v>408</v>
      </c>
    </row>
    <row r="229" ht="15.75" customHeight="1">
      <c r="A229" s="71" t="s">
        <v>1608</v>
      </c>
      <c r="B229" s="71" t="s">
        <v>62</v>
      </c>
      <c r="C229" s="71">
        <v>167.0</v>
      </c>
      <c r="D229" s="71" t="s">
        <v>677</v>
      </c>
      <c r="E229" s="71" t="s">
        <v>1247</v>
      </c>
      <c r="F229" s="71" t="s">
        <v>264</v>
      </c>
      <c r="G229" s="71" t="s">
        <v>666</v>
      </c>
      <c r="H229" s="71">
        <v>3.0</v>
      </c>
      <c r="I229" s="71">
        <v>3.0</v>
      </c>
      <c r="J229" s="71">
        <v>7.0</v>
      </c>
      <c r="K229" s="72">
        <f>Difensori!I167</f>
        <v>4</v>
      </c>
      <c r="L229" s="73">
        <f>Difensori!AE167</f>
        <v>5.5</v>
      </c>
      <c r="M229" s="74">
        <f>Difensori!B167</f>
        <v>3.3</v>
      </c>
      <c r="N229" s="71">
        <f>Difensori!A167</f>
        <v>163</v>
      </c>
      <c r="O229" s="71" t="s">
        <v>332</v>
      </c>
      <c r="P229" s="71">
        <v>0.0</v>
      </c>
      <c r="R229" s="71" t="s">
        <v>71</v>
      </c>
      <c r="S229" s="71" t="s">
        <v>270</v>
      </c>
      <c r="T229" s="71" t="str">
        <f>Difensori!K167</f>
        <v>4a fascia</v>
      </c>
      <c r="U229" s="71" t="s">
        <v>498</v>
      </c>
      <c r="V229" s="71">
        <v>0.0</v>
      </c>
      <c r="W229" s="71">
        <f t="shared" si="1"/>
        <v>408</v>
      </c>
    </row>
    <row r="230" ht="15.75" customHeight="1">
      <c r="A230" s="71" t="s">
        <v>1610</v>
      </c>
      <c r="B230" s="71" t="s">
        <v>62</v>
      </c>
      <c r="C230" s="71">
        <v>168.0</v>
      </c>
      <c r="D230" s="71" t="s">
        <v>1065</v>
      </c>
      <c r="E230" s="71" t="s">
        <v>1236</v>
      </c>
      <c r="F230" s="71" t="s">
        <v>232</v>
      </c>
      <c r="G230" s="71" t="s">
        <v>666</v>
      </c>
      <c r="H230" s="71">
        <v>2.0</v>
      </c>
      <c r="I230" s="71">
        <v>2.0</v>
      </c>
      <c r="J230" s="71">
        <v>4.0</v>
      </c>
      <c r="K230" s="72">
        <f>Difensori!I168</f>
        <v>3</v>
      </c>
      <c r="L230" s="73">
        <f>Difensori!AE168</f>
        <v>5.54</v>
      </c>
      <c r="M230" s="74">
        <f>Difensori!B168</f>
        <v>3.2</v>
      </c>
      <c r="N230" s="71">
        <f>Difensori!A168</f>
        <v>165</v>
      </c>
      <c r="O230" s="71" t="s">
        <v>332</v>
      </c>
      <c r="P230" s="71">
        <v>5.0</v>
      </c>
      <c r="Q230" s="71">
        <v>5.7</v>
      </c>
      <c r="R230" s="71" t="s">
        <v>71</v>
      </c>
      <c r="S230" s="71" t="s">
        <v>417</v>
      </c>
      <c r="T230" s="71" t="str">
        <f>Difensori!K168</f>
        <v>4a fascia</v>
      </c>
      <c r="U230" s="71" t="s">
        <v>333</v>
      </c>
      <c r="V230" s="71">
        <v>0.0</v>
      </c>
      <c r="W230" s="71">
        <f t="shared" si="1"/>
        <v>448</v>
      </c>
    </row>
    <row r="231" ht="15.75" customHeight="1">
      <c r="A231" s="71" t="s">
        <v>1612</v>
      </c>
      <c r="B231" s="71" t="s">
        <v>62</v>
      </c>
      <c r="C231" s="71">
        <v>169.0</v>
      </c>
      <c r="D231" s="71" t="s">
        <v>1077</v>
      </c>
      <c r="E231" s="71" t="s">
        <v>1245</v>
      </c>
      <c r="F231" s="71" t="s">
        <v>261</v>
      </c>
      <c r="G231" s="71" t="s">
        <v>666</v>
      </c>
      <c r="H231" s="71">
        <v>3.0</v>
      </c>
      <c r="I231" s="71">
        <v>3.0</v>
      </c>
      <c r="J231" s="71">
        <v>6.0</v>
      </c>
      <c r="K231" s="72">
        <f>Difensori!I169</f>
        <v>4</v>
      </c>
      <c r="L231" s="73">
        <f>Difensori!AE169</f>
        <v>5.5</v>
      </c>
      <c r="M231" s="74">
        <f>Difensori!B169</f>
        <v>3.1</v>
      </c>
      <c r="N231" s="71">
        <f>Difensori!A169</f>
        <v>166</v>
      </c>
      <c r="O231" s="71" t="s">
        <v>332</v>
      </c>
      <c r="P231" s="71">
        <v>0.0</v>
      </c>
      <c r="R231" s="71" t="s">
        <v>71</v>
      </c>
      <c r="S231" s="71" t="s">
        <v>311</v>
      </c>
      <c r="T231" s="71" t="str">
        <f>Difensori!K169</f>
        <v>4a fascia</v>
      </c>
      <c r="U231" s="71" t="s">
        <v>338</v>
      </c>
      <c r="V231" s="71">
        <v>0.0</v>
      </c>
      <c r="W231" s="71">
        <f t="shared" si="1"/>
        <v>420</v>
      </c>
    </row>
    <row r="232" ht="15.75" customHeight="1">
      <c r="A232" s="71" t="s">
        <v>1614</v>
      </c>
      <c r="B232" s="71" t="s">
        <v>62</v>
      </c>
      <c r="C232" s="71">
        <v>170.0</v>
      </c>
      <c r="D232" s="71" t="s">
        <v>1081</v>
      </c>
      <c r="E232" s="71" t="s">
        <v>1222</v>
      </c>
      <c r="F232" s="71" t="s">
        <v>182</v>
      </c>
      <c r="G232" s="71" t="s">
        <v>666</v>
      </c>
      <c r="H232" s="71">
        <v>2.0</v>
      </c>
      <c r="I232" s="71">
        <v>2.0</v>
      </c>
      <c r="J232" s="71">
        <v>6.0</v>
      </c>
      <c r="K232" s="72">
        <f>Difensori!I170</f>
        <v>4</v>
      </c>
      <c r="L232" s="73">
        <f>Difensori!AE170</f>
        <v>5.5</v>
      </c>
      <c r="M232" s="74">
        <f>Difensori!B170</f>
        <v>3.1</v>
      </c>
      <c r="N232" s="71">
        <f>Difensori!A170</f>
        <v>166</v>
      </c>
      <c r="O232" s="71" t="s">
        <v>332</v>
      </c>
      <c r="P232" s="71">
        <v>0.0</v>
      </c>
      <c r="R232" s="71" t="s">
        <v>71</v>
      </c>
      <c r="S232" s="71" t="s">
        <v>113</v>
      </c>
      <c r="T232" s="71" t="str">
        <f>Difensori!K170</f>
        <v>4a fascia</v>
      </c>
      <c r="U232" s="71" t="s">
        <v>615</v>
      </c>
      <c r="V232" s="71">
        <v>1.0</v>
      </c>
      <c r="W232" s="71">
        <f t="shared" si="1"/>
        <v>420</v>
      </c>
    </row>
    <row r="233" ht="15.75" customHeight="1">
      <c r="A233" s="71" t="s">
        <v>1617</v>
      </c>
      <c r="B233" s="71" t="s">
        <v>62</v>
      </c>
      <c r="C233" s="71">
        <v>171.0</v>
      </c>
      <c r="D233" s="71" t="s">
        <v>717</v>
      </c>
      <c r="E233" s="71" t="s">
        <v>1247</v>
      </c>
      <c r="F233" s="71" t="s">
        <v>264</v>
      </c>
      <c r="G233" s="71" t="s">
        <v>666</v>
      </c>
      <c r="H233" s="71">
        <v>5.0</v>
      </c>
      <c r="I233" s="71">
        <v>4.0</v>
      </c>
      <c r="J233" s="71">
        <v>6.0</v>
      </c>
      <c r="K233" s="72">
        <f>Difensori!I171</f>
        <v>4</v>
      </c>
      <c r="L233" s="73">
        <f>Difensori!AE171</f>
        <v>5.5</v>
      </c>
      <c r="M233" s="74">
        <f>Difensori!B171</f>
        <v>3.1</v>
      </c>
      <c r="N233" s="71">
        <f>Difensori!A171</f>
        <v>166</v>
      </c>
      <c r="O233" s="71" t="s">
        <v>226</v>
      </c>
      <c r="P233" s="71">
        <v>0.0</v>
      </c>
      <c r="R233" s="71" t="s">
        <v>71</v>
      </c>
      <c r="S233" s="71" t="s">
        <v>270</v>
      </c>
      <c r="T233" s="71" t="str">
        <f>Difensori!K171</f>
        <v>4a fascia</v>
      </c>
      <c r="U233" s="71" t="s">
        <v>348</v>
      </c>
      <c r="V233" s="71">
        <v>0.0</v>
      </c>
      <c r="W233" s="71">
        <f t="shared" si="1"/>
        <v>420</v>
      </c>
    </row>
    <row r="234" ht="15.75" customHeight="1">
      <c r="A234" s="71" t="s">
        <v>1619</v>
      </c>
      <c r="B234" s="71" t="s">
        <v>62</v>
      </c>
      <c r="C234" s="71">
        <v>172.0</v>
      </c>
      <c r="D234" s="71" t="s">
        <v>1095</v>
      </c>
      <c r="E234" s="71" t="s">
        <v>1252</v>
      </c>
      <c r="F234" s="71" t="s">
        <v>272</v>
      </c>
      <c r="G234" s="71" t="s">
        <v>666</v>
      </c>
      <c r="H234" s="71">
        <v>2.0</v>
      </c>
      <c r="I234" s="71">
        <v>2.0</v>
      </c>
      <c r="J234" s="71">
        <v>5.0</v>
      </c>
      <c r="K234" s="72">
        <f>Difensori!I172</f>
        <v>3</v>
      </c>
      <c r="L234" s="73">
        <f>Difensori!AE172</f>
        <v>5.52</v>
      </c>
      <c r="M234" s="74">
        <f>Difensori!B172</f>
        <v>3.1</v>
      </c>
      <c r="N234" s="71">
        <f>Difensori!A172</f>
        <v>166</v>
      </c>
      <c r="O234" s="71" t="s">
        <v>226</v>
      </c>
      <c r="P234" s="71">
        <v>6.0</v>
      </c>
      <c r="Q234" s="71">
        <v>5.58</v>
      </c>
      <c r="R234" s="71" t="s">
        <v>71</v>
      </c>
      <c r="S234" s="71" t="s">
        <v>288</v>
      </c>
      <c r="T234" s="71" t="str">
        <f>Difensori!K172</f>
        <v>4a fascia</v>
      </c>
      <c r="U234" s="71" t="s">
        <v>227</v>
      </c>
      <c r="V234" s="71">
        <v>0.0</v>
      </c>
      <c r="W234" s="71">
        <f t="shared" si="1"/>
        <v>427</v>
      </c>
    </row>
    <row r="235" ht="15.75" customHeight="1">
      <c r="A235" s="71" t="s">
        <v>1622</v>
      </c>
      <c r="B235" s="71" t="s">
        <v>62</v>
      </c>
      <c r="C235" s="71">
        <v>173.0</v>
      </c>
      <c r="D235" s="71" t="s">
        <v>963</v>
      </c>
      <c r="E235" s="71" t="s">
        <v>1256</v>
      </c>
      <c r="F235" s="71" t="s">
        <v>283</v>
      </c>
      <c r="G235" s="71" t="s">
        <v>666</v>
      </c>
      <c r="H235" s="71">
        <v>1.0</v>
      </c>
      <c r="I235" s="71">
        <v>1.0</v>
      </c>
      <c r="J235" s="71">
        <v>3.0</v>
      </c>
      <c r="K235" s="72">
        <f>Difensori!I173</f>
        <v>2</v>
      </c>
      <c r="L235" s="73">
        <f>Difensori!AE173</f>
        <v>5.54</v>
      </c>
      <c r="M235" s="74">
        <f>Difensori!B173</f>
        <v>2.9</v>
      </c>
      <c r="N235" s="71">
        <f>Difensori!A173</f>
        <v>170</v>
      </c>
      <c r="O235" s="71" t="s">
        <v>332</v>
      </c>
      <c r="P235" s="71">
        <v>2.0</v>
      </c>
      <c r="Q235" s="71">
        <v>6.0</v>
      </c>
      <c r="R235" s="71" t="s">
        <v>71</v>
      </c>
      <c r="S235" s="71" t="s">
        <v>288</v>
      </c>
      <c r="T235" s="71" t="str">
        <f>Difensori!K173</f>
        <v>Scommessa</v>
      </c>
      <c r="U235" s="71" t="s">
        <v>333</v>
      </c>
      <c r="V235" s="71">
        <v>0.0</v>
      </c>
      <c r="W235" s="71">
        <f t="shared" si="1"/>
        <v>462</v>
      </c>
    </row>
    <row r="236" ht="15.75" customHeight="1">
      <c r="A236" s="71" t="s">
        <v>1624</v>
      </c>
      <c r="B236" s="71" t="s">
        <v>62</v>
      </c>
      <c r="C236" s="71">
        <v>174.0</v>
      </c>
      <c r="D236" s="71" t="s">
        <v>1110</v>
      </c>
      <c r="E236" s="71" t="s">
        <v>1237</v>
      </c>
      <c r="F236" s="71" t="s">
        <v>239</v>
      </c>
      <c r="G236" s="71" t="s">
        <v>666</v>
      </c>
      <c r="H236" s="71">
        <v>2.0</v>
      </c>
      <c r="I236" s="71">
        <v>2.0</v>
      </c>
      <c r="J236" s="71">
        <v>5.0</v>
      </c>
      <c r="K236" s="72">
        <f>Difensori!I174</f>
        <v>3</v>
      </c>
      <c r="L236" s="73">
        <f>Difensori!AE174</f>
        <v>5.5</v>
      </c>
      <c r="M236" s="74">
        <f>Difensori!B174</f>
        <v>2.8</v>
      </c>
      <c r="N236" s="71">
        <f>Difensori!A174</f>
        <v>171</v>
      </c>
      <c r="O236" s="71" t="s">
        <v>332</v>
      </c>
      <c r="P236" s="71">
        <v>0.0</v>
      </c>
      <c r="R236" s="71" t="s">
        <v>71</v>
      </c>
      <c r="S236" s="71" t="s">
        <v>311</v>
      </c>
      <c r="T236" s="71" t="str">
        <f>Difensori!K174</f>
        <v>4a fascia</v>
      </c>
      <c r="U236" s="71" t="s">
        <v>338</v>
      </c>
      <c r="V236" s="71">
        <v>0.0</v>
      </c>
      <c r="W236" s="71">
        <f t="shared" si="1"/>
        <v>427</v>
      </c>
    </row>
    <row r="237" ht="15.75" customHeight="1">
      <c r="A237" s="71" t="s">
        <v>1626</v>
      </c>
      <c r="B237" s="71" t="s">
        <v>62</v>
      </c>
      <c r="C237" s="71">
        <v>175.0</v>
      </c>
      <c r="D237" s="71" t="s">
        <v>1115</v>
      </c>
      <c r="E237" s="71" t="s">
        <v>1236</v>
      </c>
      <c r="F237" s="71" t="s">
        <v>232</v>
      </c>
      <c r="G237" s="71" t="s">
        <v>666</v>
      </c>
      <c r="H237" s="71">
        <v>1.0</v>
      </c>
      <c r="I237" s="71">
        <v>2.0</v>
      </c>
      <c r="J237" s="71">
        <v>5.0</v>
      </c>
      <c r="K237" s="72">
        <f>Difensori!I175</f>
        <v>3</v>
      </c>
      <c r="L237" s="73">
        <f>Difensori!AE175</f>
        <v>5.5</v>
      </c>
      <c r="M237" s="74">
        <f>Difensori!B175</f>
        <v>2.8</v>
      </c>
      <c r="N237" s="71">
        <f>Difensori!A175</f>
        <v>171</v>
      </c>
      <c r="O237" s="71" t="s">
        <v>226</v>
      </c>
      <c r="P237" s="71">
        <v>9.0</v>
      </c>
      <c r="Q237" s="71">
        <v>5.5</v>
      </c>
      <c r="R237" s="71" t="s">
        <v>71</v>
      </c>
      <c r="S237" s="71" t="s">
        <v>417</v>
      </c>
      <c r="T237" s="71" t="str">
        <f>Difensori!K175</f>
        <v>4a fascia</v>
      </c>
      <c r="U237" s="71" t="s">
        <v>277</v>
      </c>
      <c r="V237" s="71">
        <v>2.0</v>
      </c>
      <c r="W237" s="71">
        <f t="shared" si="1"/>
        <v>427</v>
      </c>
    </row>
    <row r="238" ht="15.75" customHeight="1">
      <c r="A238" s="71" t="s">
        <v>1628</v>
      </c>
      <c r="B238" s="71" t="s">
        <v>62</v>
      </c>
      <c r="C238" s="71">
        <v>176.0</v>
      </c>
      <c r="D238" s="71" t="s">
        <v>1127</v>
      </c>
      <c r="E238" s="71" t="s">
        <v>1256</v>
      </c>
      <c r="F238" s="71" t="s">
        <v>283</v>
      </c>
      <c r="G238" s="71" t="s">
        <v>666</v>
      </c>
      <c r="H238" s="71">
        <v>1.0</v>
      </c>
      <c r="I238" s="71">
        <v>2.0</v>
      </c>
      <c r="J238" s="71">
        <v>8.0</v>
      </c>
      <c r="K238" s="72">
        <f>Difensori!I176</f>
        <v>4</v>
      </c>
      <c r="L238" s="73">
        <f>Difensori!AE176</f>
        <v>5.44</v>
      </c>
      <c r="M238" s="74">
        <f>Difensori!B176</f>
        <v>2.6</v>
      </c>
      <c r="N238" s="71">
        <f>Difensori!A176</f>
        <v>173</v>
      </c>
      <c r="O238" s="71" t="s">
        <v>332</v>
      </c>
      <c r="P238" s="71">
        <v>11.0</v>
      </c>
      <c r="Q238" s="71">
        <v>5.36</v>
      </c>
      <c r="R238" s="71" t="s">
        <v>71</v>
      </c>
      <c r="S238" s="71" t="s">
        <v>288</v>
      </c>
      <c r="T238" s="71" t="str">
        <f>Difensori!K176</f>
        <v>4a fascia</v>
      </c>
      <c r="U238" s="71" t="s">
        <v>408</v>
      </c>
      <c r="V238" s="71">
        <v>1.0</v>
      </c>
      <c r="W238" s="71">
        <f t="shared" si="1"/>
        <v>384</v>
      </c>
    </row>
    <row r="239" ht="15.75" customHeight="1">
      <c r="A239" s="71" t="s">
        <v>1631</v>
      </c>
      <c r="B239" s="71" t="s">
        <v>62</v>
      </c>
      <c r="C239" s="71">
        <v>177.0</v>
      </c>
      <c r="D239" s="71" t="s">
        <v>1136</v>
      </c>
      <c r="E239" s="71" t="s">
        <v>1252</v>
      </c>
      <c r="F239" s="71" t="s">
        <v>272</v>
      </c>
      <c r="G239" s="71" t="s">
        <v>666</v>
      </c>
      <c r="H239" s="71">
        <v>1.0</v>
      </c>
      <c r="I239" s="71">
        <v>2.0</v>
      </c>
      <c r="J239" s="71">
        <v>4.0</v>
      </c>
      <c r="K239" s="72">
        <f>Difensori!I177</f>
        <v>3</v>
      </c>
      <c r="L239" s="73">
        <f>Difensori!AE177</f>
        <v>5.5</v>
      </c>
      <c r="M239" s="74">
        <f>Difensori!B177</f>
        <v>2.6</v>
      </c>
      <c r="N239" s="71">
        <f>Difensori!A177</f>
        <v>173</v>
      </c>
      <c r="O239" s="71" t="s">
        <v>332</v>
      </c>
      <c r="P239" s="71">
        <v>0.0</v>
      </c>
      <c r="R239" s="71" t="s">
        <v>71</v>
      </c>
      <c r="S239" s="71" t="s">
        <v>288</v>
      </c>
      <c r="T239" s="71" t="str">
        <f>Difensori!K177</f>
        <v>4a fascia</v>
      </c>
      <c r="U239" s="71" t="s">
        <v>615</v>
      </c>
      <c r="V239" s="71">
        <v>1.0</v>
      </c>
      <c r="W239" s="71">
        <f t="shared" si="1"/>
        <v>448</v>
      </c>
    </row>
    <row r="240" ht="15.75" customHeight="1">
      <c r="A240" s="71" t="s">
        <v>1634</v>
      </c>
      <c r="B240" s="71" t="s">
        <v>62</v>
      </c>
      <c r="C240" s="71">
        <v>178.0</v>
      </c>
      <c r="D240" s="71" t="s">
        <v>1142</v>
      </c>
      <c r="E240" s="71" t="s">
        <v>1243</v>
      </c>
      <c r="F240" s="71" t="s">
        <v>253</v>
      </c>
      <c r="G240" s="71" t="s">
        <v>666</v>
      </c>
      <c r="H240" s="71">
        <v>1.0</v>
      </c>
      <c r="I240" s="71">
        <v>2.0</v>
      </c>
      <c r="J240" s="71">
        <v>4.0</v>
      </c>
      <c r="K240" s="72">
        <f>Difensori!I178</f>
        <v>3</v>
      </c>
      <c r="L240" s="73">
        <f>Difensori!AE178</f>
        <v>5.5</v>
      </c>
      <c r="M240" s="74">
        <f>Difensori!B178</f>
        <v>2.6</v>
      </c>
      <c r="N240" s="71">
        <f>Difensori!A178</f>
        <v>173</v>
      </c>
      <c r="O240" s="71" t="s">
        <v>332</v>
      </c>
      <c r="P240" s="71">
        <v>0.0</v>
      </c>
      <c r="R240" s="71" t="s">
        <v>71</v>
      </c>
      <c r="S240" s="71" t="s">
        <v>196</v>
      </c>
      <c r="T240" s="71" t="str">
        <f>Difensori!K178</f>
        <v>4a fascia</v>
      </c>
      <c r="U240" s="71" t="s">
        <v>473</v>
      </c>
      <c r="V240" s="71">
        <v>2.0</v>
      </c>
      <c r="W240" s="71">
        <f t="shared" si="1"/>
        <v>448</v>
      </c>
    </row>
    <row r="241" ht="15.75" customHeight="1">
      <c r="A241" s="71" t="s">
        <v>1636</v>
      </c>
      <c r="B241" s="71" t="s">
        <v>62</v>
      </c>
      <c r="C241" s="71">
        <v>179.0</v>
      </c>
      <c r="D241" s="71" t="s">
        <v>1147</v>
      </c>
      <c r="E241" s="71" t="s">
        <v>1213</v>
      </c>
      <c r="F241" s="71" t="s">
        <v>175</v>
      </c>
      <c r="G241" s="71" t="s">
        <v>666</v>
      </c>
      <c r="H241" s="71">
        <v>2.0</v>
      </c>
      <c r="I241" s="71">
        <v>2.0</v>
      </c>
      <c r="J241" s="71">
        <v>4.0</v>
      </c>
      <c r="K241" s="72">
        <f>Difensori!I179</f>
        <v>3</v>
      </c>
      <c r="L241" s="73">
        <f>Difensori!AE179</f>
        <v>5.5</v>
      </c>
      <c r="M241" s="74">
        <f>Difensori!B179</f>
        <v>2.6</v>
      </c>
      <c r="N241" s="71">
        <f>Difensori!A179</f>
        <v>173</v>
      </c>
      <c r="O241" s="71" t="s">
        <v>332</v>
      </c>
      <c r="P241" s="71">
        <v>0.0</v>
      </c>
      <c r="R241" s="71" t="s">
        <v>71</v>
      </c>
      <c r="S241" s="71" t="s">
        <v>196</v>
      </c>
      <c r="T241" s="71" t="str">
        <f>Difensori!K179</f>
        <v>4a fascia</v>
      </c>
      <c r="U241" s="71" t="s">
        <v>338</v>
      </c>
      <c r="V241" s="71">
        <v>0.0</v>
      </c>
      <c r="W241" s="71">
        <f t="shared" si="1"/>
        <v>448</v>
      </c>
    </row>
    <row r="242" ht="15.75" customHeight="1">
      <c r="A242" s="71" t="s">
        <v>1639</v>
      </c>
      <c r="B242" s="71" t="s">
        <v>62</v>
      </c>
      <c r="C242" s="71">
        <v>180.0</v>
      </c>
      <c r="D242" s="71" t="s">
        <v>1151</v>
      </c>
      <c r="E242" s="71" t="s">
        <v>1247</v>
      </c>
      <c r="F242" s="71" t="s">
        <v>264</v>
      </c>
      <c r="G242" s="71" t="s">
        <v>666</v>
      </c>
      <c r="H242" s="71">
        <v>2.0</v>
      </c>
      <c r="I242" s="71">
        <v>2.0</v>
      </c>
      <c r="J242" s="71">
        <v>4.0</v>
      </c>
      <c r="K242" s="72">
        <f>Difensori!I180</f>
        <v>3</v>
      </c>
      <c r="L242" s="73">
        <f>Difensori!AE180</f>
        <v>5.5</v>
      </c>
      <c r="M242" s="74">
        <f>Difensori!B180</f>
        <v>2.6</v>
      </c>
      <c r="N242" s="71">
        <f>Difensori!A180</f>
        <v>173</v>
      </c>
      <c r="O242" s="71" t="s">
        <v>332</v>
      </c>
      <c r="P242" s="71">
        <v>0.0</v>
      </c>
      <c r="R242" s="71" t="s">
        <v>71</v>
      </c>
      <c r="S242" s="71" t="s">
        <v>270</v>
      </c>
      <c r="T242" s="71" t="str">
        <f>Difensori!K180</f>
        <v>4a fascia</v>
      </c>
      <c r="U242" s="71" t="s">
        <v>338</v>
      </c>
      <c r="V242" s="71">
        <v>0.0</v>
      </c>
      <c r="W242" s="71">
        <f t="shared" si="1"/>
        <v>448</v>
      </c>
    </row>
    <row r="243" ht="15.75" customHeight="1">
      <c r="A243" s="71" t="s">
        <v>1641</v>
      </c>
      <c r="B243" s="71" t="s">
        <v>62</v>
      </c>
      <c r="C243" s="71">
        <v>181.0</v>
      </c>
      <c r="D243" s="71" t="s">
        <v>1109</v>
      </c>
      <c r="E243" s="71" t="s">
        <v>1207</v>
      </c>
      <c r="F243" s="71" t="s">
        <v>93</v>
      </c>
      <c r="G243" s="71" t="s">
        <v>666</v>
      </c>
      <c r="H243" s="71">
        <v>1.0</v>
      </c>
      <c r="I243" s="71">
        <v>1.0</v>
      </c>
      <c r="J243" s="71">
        <v>3.0</v>
      </c>
      <c r="K243" s="72">
        <f>Difensori!I181</f>
        <v>2</v>
      </c>
      <c r="L243" s="73">
        <f>Difensori!AE181</f>
        <v>5.52</v>
      </c>
      <c r="M243" s="74">
        <f>Difensori!B181</f>
        <v>2.6</v>
      </c>
      <c r="N243" s="71">
        <f>Difensori!A181</f>
        <v>173</v>
      </c>
      <c r="O243" s="71" t="s">
        <v>332</v>
      </c>
      <c r="P243" s="71">
        <v>8.0</v>
      </c>
      <c r="Q243" s="71">
        <v>5.56</v>
      </c>
      <c r="R243" s="71" t="s">
        <v>71</v>
      </c>
      <c r="S243" s="71" t="s">
        <v>230</v>
      </c>
      <c r="T243" s="71" t="str">
        <f>Difensori!K181</f>
        <v>Scommessa</v>
      </c>
      <c r="U243" s="71" t="s">
        <v>338</v>
      </c>
      <c r="V243" s="71">
        <v>0.0</v>
      </c>
      <c r="W243" s="71">
        <f t="shared" si="1"/>
        <v>462</v>
      </c>
    </row>
    <row r="244" ht="15.75" customHeight="1">
      <c r="A244" s="71" t="s">
        <v>1644</v>
      </c>
      <c r="B244" s="71" t="s">
        <v>62</v>
      </c>
      <c r="C244" s="71">
        <v>182.0</v>
      </c>
      <c r="D244" s="71" t="s">
        <v>1160</v>
      </c>
      <c r="E244" s="71" t="s">
        <v>1241</v>
      </c>
      <c r="F244" s="71" t="s">
        <v>177</v>
      </c>
      <c r="G244" s="71" t="s">
        <v>666</v>
      </c>
      <c r="H244" s="71">
        <v>2.0</v>
      </c>
      <c r="I244" s="71">
        <v>2.0</v>
      </c>
      <c r="J244" s="71">
        <v>3.0</v>
      </c>
      <c r="K244" s="72">
        <f>Difensori!I182</f>
        <v>2</v>
      </c>
      <c r="L244" s="73">
        <f>Difensori!AE182</f>
        <v>5.5</v>
      </c>
      <c r="M244" s="74">
        <f>Difensori!B182</f>
        <v>2.3</v>
      </c>
      <c r="N244" s="71">
        <f>Difensori!A182</f>
        <v>179</v>
      </c>
      <c r="O244" s="71" t="s">
        <v>332</v>
      </c>
      <c r="P244" s="71">
        <v>0.0</v>
      </c>
      <c r="R244" s="71" t="s">
        <v>71</v>
      </c>
      <c r="S244" s="71" t="s">
        <v>179</v>
      </c>
      <c r="T244" s="71" t="str">
        <f>Difensori!K182</f>
        <v>Scommessa</v>
      </c>
      <c r="U244" s="71" t="s">
        <v>338</v>
      </c>
      <c r="V244" s="71">
        <v>0.0</v>
      </c>
      <c r="W244" s="71">
        <f t="shared" si="1"/>
        <v>462</v>
      </c>
    </row>
    <row r="245" ht="15.75" customHeight="1">
      <c r="A245" s="71" t="s">
        <v>1646</v>
      </c>
      <c r="B245" s="71" t="s">
        <v>62</v>
      </c>
      <c r="C245" s="71">
        <v>183.0</v>
      </c>
      <c r="D245" s="71" t="s">
        <v>1168</v>
      </c>
      <c r="E245" s="71" t="s">
        <v>1252</v>
      </c>
      <c r="F245" s="71" t="s">
        <v>272</v>
      </c>
      <c r="G245" s="71" t="s">
        <v>666</v>
      </c>
      <c r="H245" s="71">
        <v>1.0</v>
      </c>
      <c r="I245" s="71">
        <v>1.0</v>
      </c>
      <c r="J245" s="71">
        <v>2.0</v>
      </c>
      <c r="K245" s="72">
        <f>Difensori!I183</f>
        <v>2</v>
      </c>
      <c r="L245" s="73">
        <f>Difensori!AE183</f>
        <v>5.5</v>
      </c>
      <c r="M245" s="74">
        <f>Difensori!B183</f>
        <v>2.1</v>
      </c>
      <c r="N245" s="71">
        <f>Difensori!A183</f>
        <v>180</v>
      </c>
      <c r="O245" s="71" t="s">
        <v>332</v>
      </c>
      <c r="P245" s="71">
        <v>0.0</v>
      </c>
      <c r="R245" s="71" t="s">
        <v>71</v>
      </c>
      <c r="S245" s="71" t="s">
        <v>288</v>
      </c>
      <c r="T245" s="71" t="str">
        <f>Difensori!K183</f>
        <v>Scommessa</v>
      </c>
      <c r="U245" s="71" t="s">
        <v>338</v>
      </c>
      <c r="V245" s="71">
        <v>0.0</v>
      </c>
      <c r="W245" s="71">
        <f t="shared" si="1"/>
        <v>473</v>
      </c>
    </row>
    <row r="246" ht="15.75" customHeight="1">
      <c r="A246" s="71" t="s">
        <v>1649</v>
      </c>
      <c r="B246" s="71" t="s">
        <v>62</v>
      </c>
      <c r="C246" s="71">
        <v>184.0</v>
      </c>
      <c r="D246" s="71" t="s">
        <v>1138</v>
      </c>
      <c r="E246" s="71" t="s">
        <v>1241</v>
      </c>
      <c r="F246" s="71" t="s">
        <v>177</v>
      </c>
      <c r="G246" s="71" t="s">
        <v>666</v>
      </c>
      <c r="H246" s="71">
        <v>2.0</v>
      </c>
      <c r="I246" s="71">
        <v>2.0</v>
      </c>
      <c r="J246" s="71">
        <v>5.0</v>
      </c>
      <c r="K246" s="72">
        <f>Difensori!I184</f>
        <v>3</v>
      </c>
      <c r="L246" s="73">
        <f>Difensori!AE184</f>
        <v>5.44</v>
      </c>
      <c r="M246" s="74">
        <f>Difensori!B184</f>
        <v>1.9</v>
      </c>
      <c r="N246" s="71">
        <f>Difensori!A184</f>
        <v>181</v>
      </c>
      <c r="O246" s="71" t="s">
        <v>332</v>
      </c>
      <c r="P246" s="71">
        <v>10.0</v>
      </c>
      <c r="Q246" s="71">
        <v>5.35</v>
      </c>
      <c r="R246" s="71" t="s">
        <v>71</v>
      </c>
      <c r="S246" s="71" t="s">
        <v>179</v>
      </c>
      <c r="T246" s="71" t="str">
        <f>Difensori!K184</f>
        <v>4a fascia</v>
      </c>
      <c r="U246" s="71" t="s">
        <v>408</v>
      </c>
      <c r="V246" s="71">
        <v>1.0</v>
      </c>
      <c r="W246" s="71">
        <f t="shared" si="1"/>
        <v>427</v>
      </c>
    </row>
    <row r="247" ht="15.75" customHeight="1">
      <c r="A247" s="71" t="s">
        <v>1651</v>
      </c>
      <c r="B247" s="71" t="s">
        <v>62</v>
      </c>
      <c r="C247" s="71">
        <v>185.0</v>
      </c>
      <c r="D247" s="71" t="s">
        <v>1155</v>
      </c>
      <c r="E247" s="71" t="s">
        <v>1236</v>
      </c>
      <c r="F247" s="71" t="s">
        <v>232</v>
      </c>
      <c r="G247" s="71" t="s">
        <v>666</v>
      </c>
      <c r="H247" s="71">
        <v>1.0</v>
      </c>
      <c r="I247" s="71">
        <v>1.0</v>
      </c>
      <c r="J247" s="71">
        <v>2.0</v>
      </c>
      <c r="K247" s="72">
        <f>Difensori!I185</f>
        <v>2</v>
      </c>
      <c r="L247" s="73">
        <f>Difensori!AE185</f>
        <v>5.48</v>
      </c>
      <c r="M247" s="74">
        <f>Difensori!B185</f>
        <v>1.8</v>
      </c>
      <c r="N247" s="71">
        <f>Difensori!A185</f>
        <v>182</v>
      </c>
      <c r="O247" s="71" t="s">
        <v>332</v>
      </c>
      <c r="P247" s="71">
        <v>1.0</v>
      </c>
      <c r="Q247" s="71">
        <v>5.0</v>
      </c>
      <c r="R247" s="71" t="s">
        <v>71</v>
      </c>
      <c r="S247" s="71" t="s">
        <v>417</v>
      </c>
      <c r="T247" s="71" t="str">
        <f>Difensori!K185</f>
        <v>Scommessa</v>
      </c>
      <c r="U247" s="71" t="s">
        <v>338</v>
      </c>
      <c r="V247" s="71">
        <v>0.0</v>
      </c>
      <c r="W247" s="71">
        <f t="shared" si="1"/>
        <v>473</v>
      </c>
    </row>
    <row r="248" ht="15.75" customHeight="1">
      <c r="A248" s="71" t="s">
        <v>1654</v>
      </c>
      <c r="B248" s="71" t="s">
        <v>62</v>
      </c>
      <c r="C248" s="71">
        <v>186.0</v>
      </c>
      <c r="D248" s="71" t="s">
        <v>1182</v>
      </c>
      <c r="E248" s="71" t="s">
        <v>1245</v>
      </c>
      <c r="F248" s="71" t="s">
        <v>261</v>
      </c>
      <c r="G248" s="71" t="s">
        <v>666</v>
      </c>
      <c r="H248" s="71">
        <v>1.0</v>
      </c>
      <c r="I248" s="71">
        <v>1.0</v>
      </c>
      <c r="J248" s="71">
        <v>1.0</v>
      </c>
      <c r="K248" s="72">
        <f>Difensori!I186</f>
        <v>1</v>
      </c>
      <c r="L248" s="73">
        <f>Difensori!AE186</f>
        <v>5.5</v>
      </c>
      <c r="M248" s="74">
        <f>Difensori!B186</f>
        <v>1.8</v>
      </c>
      <c r="N248" s="71">
        <f>Difensori!A186</f>
        <v>182</v>
      </c>
      <c r="O248" s="71" t="s">
        <v>332</v>
      </c>
      <c r="P248" s="71">
        <v>0.0</v>
      </c>
      <c r="R248" s="71" t="s">
        <v>71</v>
      </c>
      <c r="S248" s="71" t="s">
        <v>311</v>
      </c>
      <c r="T248" s="71" t="str">
        <f>Difensori!K186</f>
        <v>Scommessa</v>
      </c>
      <c r="U248" s="71" t="s">
        <v>338</v>
      </c>
      <c r="V248" s="71">
        <v>0.0</v>
      </c>
      <c r="W248" s="71">
        <f t="shared" si="1"/>
        <v>478</v>
      </c>
    </row>
    <row r="249" ht="15.75" customHeight="1">
      <c r="A249" s="71" t="s">
        <v>1656</v>
      </c>
      <c r="B249" s="71" t="s">
        <v>62</v>
      </c>
      <c r="C249" s="71">
        <v>187.0</v>
      </c>
      <c r="D249" s="71" t="s">
        <v>1186</v>
      </c>
      <c r="E249" s="71" t="s">
        <v>1256</v>
      </c>
      <c r="F249" s="71" t="s">
        <v>283</v>
      </c>
      <c r="G249" s="71" t="s">
        <v>666</v>
      </c>
      <c r="H249" s="71">
        <v>1.0</v>
      </c>
      <c r="I249" s="71">
        <v>2.0</v>
      </c>
      <c r="J249" s="71">
        <v>1.0</v>
      </c>
      <c r="K249" s="72">
        <f>Difensori!I187</f>
        <v>1</v>
      </c>
      <c r="L249" s="73">
        <f>Difensori!AE187</f>
        <v>5.5</v>
      </c>
      <c r="M249" s="74">
        <f>Difensori!B187</f>
        <v>1.8</v>
      </c>
      <c r="N249" s="71">
        <f>Difensori!A187</f>
        <v>182</v>
      </c>
      <c r="O249" s="71" t="s">
        <v>332</v>
      </c>
      <c r="P249" s="71">
        <v>0.0</v>
      </c>
      <c r="R249" s="71" t="s">
        <v>71</v>
      </c>
      <c r="S249" s="71" t="s">
        <v>288</v>
      </c>
      <c r="T249" s="71" t="str">
        <f>Difensori!K187</f>
        <v>Scommessa</v>
      </c>
      <c r="U249" s="71" t="s">
        <v>615</v>
      </c>
      <c r="V249" s="71">
        <v>1.0</v>
      </c>
      <c r="W249" s="71">
        <f t="shared" si="1"/>
        <v>478</v>
      </c>
    </row>
    <row r="250" ht="15.75" customHeight="1">
      <c r="A250" s="71" t="s">
        <v>1658</v>
      </c>
      <c r="B250" s="71" t="s">
        <v>62</v>
      </c>
      <c r="C250" s="71">
        <v>188.0</v>
      </c>
      <c r="D250" s="71" t="s">
        <v>1174</v>
      </c>
      <c r="E250" s="71" t="s">
        <v>1215</v>
      </c>
      <c r="F250" s="71" t="s">
        <v>133</v>
      </c>
      <c r="G250" s="71" t="s">
        <v>666</v>
      </c>
      <c r="H250" s="71">
        <v>1.0</v>
      </c>
      <c r="I250" s="71">
        <v>1.0</v>
      </c>
      <c r="J250" s="71">
        <v>1.0</v>
      </c>
      <c r="K250" s="72">
        <f>Difensori!I188</f>
        <v>1</v>
      </c>
      <c r="L250" s="73">
        <f>Difensori!AE188</f>
        <v>5.5</v>
      </c>
      <c r="M250" s="74">
        <f>Difensori!B188</f>
        <v>1.8</v>
      </c>
      <c r="N250" s="71">
        <f>Difensori!A188</f>
        <v>182</v>
      </c>
      <c r="O250" s="71" t="s">
        <v>332</v>
      </c>
      <c r="P250" s="71">
        <v>0.0</v>
      </c>
      <c r="R250" s="71" t="s">
        <v>71</v>
      </c>
      <c r="S250" s="71" t="s">
        <v>304</v>
      </c>
      <c r="T250" s="71" t="str">
        <f>Difensori!K188</f>
        <v>Scommessa</v>
      </c>
      <c r="U250" s="71" t="s">
        <v>333</v>
      </c>
      <c r="V250" s="71">
        <v>0.0</v>
      </c>
      <c r="W250" s="71">
        <f t="shared" si="1"/>
        <v>478</v>
      </c>
    </row>
    <row r="251" ht="15.75" customHeight="1">
      <c r="A251" s="71" t="s">
        <v>1661</v>
      </c>
      <c r="B251" s="71" t="s">
        <v>62</v>
      </c>
      <c r="C251" s="71">
        <v>189.0</v>
      </c>
      <c r="D251" s="71" t="s">
        <v>1206</v>
      </c>
      <c r="E251" s="71" t="s">
        <v>1247</v>
      </c>
      <c r="F251" s="71" t="s">
        <v>264</v>
      </c>
      <c r="G251" s="71" t="s">
        <v>666</v>
      </c>
      <c r="H251" s="71">
        <v>1.0</v>
      </c>
      <c r="I251" s="71">
        <v>1.0</v>
      </c>
      <c r="J251" s="71">
        <v>1.0</v>
      </c>
      <c r="K251" s="72">
        <f>Difensori!I189</f>
        <v>1</v>
      </c>
      <c r="L251" s="73">
        <f>Difensori!AE189</f>
        <v>5.5</v>
      </c>
      <c r="M251" s="74">
        <f>Difensori!B189</f>
        <v>1.8</v>
      </c>
      <c r="N251" s="71">
        <f>Difensori!A189</f>
        <v>182</v>
      </c>
      <c r="O251" s="71" t="s">
        <v>332</v>
      </c>
      <c r="P251" s="71">
        <v>0.0</v>
      </c>
      <c r="R251" s="71" t="s">
        <v>71</v>
      </c>
      <c r="S251" s="71" t="s">
        <v>270</v>
      </c>
      <c r="T251" s="71" t="str">
        <f>Difensori!K189</f>
        <v>Scommessa</v>
      </c>
      <c r="U251" s="71" t="s">
        <v>338</v>
      </c>
      <c r="V251" s="71">
        <v>0.0</v>
      </c>
      <c r="W251" s="71">
        <f t="shared" si="1"/>
        <v>478</v>
      </c>
    </row>
    <row r="252" ht="15.75" customHeight="1">
      <c r="A252" s="71" t="s">
        <v>1663</v>
      </c>
      <c r="B252" s="71" t="s">
        <v>62</v>
      </c>
      <c r="C252" s="71">
        <v>190.0</v>
      </c>
      <c r="D252" s="71" t="s">
        <v>1208</v>
      </c>
      <c r="E252" s="71" t="s">
        <v>1252</v>
      </c>
      <c r="F252" s="71" t="s">
        <v>272</v>
      </c>
      <c r="G252" s="71" t="s">
        <v>666</v>
      </c>
      <c r="H252" s="71">
        <v>1.0</v>
      </c>
      <c r="I252" s="71">
        <v>1.0</v>
      </c>
      <c r="J252" s="71">
        <v>1.0</v>
      </c>
      <c r="K252" s="72">
        <f>Difensori!I190</f>
        <v>1</v>
      </c>
      <c r="L252" s="73">
        <f>Difensori!AE190</f>
        <v>5.5</v>
      </c>
      <c r="M252" s="74">
        <f>Difensori!B190</f>
        <v>1.8</v>
      </c>
      <c r="N252" s="71">
        <f>Difensori!A190</f>
        <v>182</v>
      </c>
      <c r="O252" s="71" t="s">
        <v>332</v>
      </c>
      <c r="P252" s="71">
        <v>0.0</v>
      </c>
      <c r="R252" s="71" t="s">
        <v>71</v>
      </c>
      <c r="S252" s="71" t="s">
        <v>288</v>
      </c>
      <c r="T252" s="71" t="str">
        <f>Difensori!K190</f>
        <v>Scommessa</v>
      </c>
      <c r="U252" s="71" t="s">
        <v>338</v>
      </c>
      <c r="V252" s="71">
        <v>0.0</v>
      </c>
      <c r="W252" s="71">
        <f t="shared" si="1"/>
        <v>478</v>
      </c>
    </row>
    <row r="253" ht="15.75" customHeight="1">
      <c r="A253" s="71" t="s">
        <v>1666</v>
      </c>
      <c r="B253" s="71" t="s">
        <v>62</v>
      </c>
      <c r="C253" s="71">
        <v>191.0</v>
      </c>
      <c r="D253" s="71" t="s">
        <v>1211</v>
      </c>
      <c r="E253" s="71" t="s">
        <v>1245</v>
      </c>
      <c r="F253" s="71" t="s">
        <v>261</v>
      </c>
      <c r="G253" s="71" t="s">
        <v>666</v>
      </c>
      <c r="H253" s="71">
        <v>1.0</v>
      </c>
      <c r="I253" s="71">
        <v>1.0</v>
      </c>
      <c r="J253" s="71">
        <v>1.0</v>
      </c>
      <c r="K253" s="72">
        <f>Difensori!I191</f>
        <v>1</v>
      </c>
      <c r="L253" s="73">
        <f>Difensori!AE191</f>
        <v>5.5</v>
      </c>
      <c r="M253" s="74">
        <f>Difensori!B191</f>
        <v>1.8</v>
      </c>
      <c r="N253" s="71">
        <f>Difensori!A191</f>
        <v>182</v>
      </c>
      <c r="O253" s="71" t="s">
        <v>332</v>
      </c>
      <c r="P253" s="71">
        <v>0.0</v>
      </c>
      <c r="R253" s="71" t="s">
        <v>71</v>
      </c>
      <c r="S253" s="71" t="s">
        <v>311</v>
      </c>
      <c r="T253" s="71" t="str">
        <f>Difensori!K191</f>
        <v>Scommessa</v>
      </c>
      <c r="U253" s="71" t="s">
        <v>338</v>
      </c>
      <c r="V253" s="71">
        <v>0.0</v>
      </c>
      <c r="W253" s="71">
        <f t="shared" si="1"/>
        <v>478</v>
      </c>
    </row>
    <row r="254" ht="15.75" customHeight="1">
      <c r="A254" s="71" t="s">
        <v>1668</v>
      </c>
      <c r="B254" s="71" t="s">
        <v>62</v>
      </c>
      <c r="C254" s="71">
        <v>192.0</v>
      </c>
      <c r="D254" s="71" t="s">
        <v>675</v>
      </c>
      <c r="E254" s="71" t="s">
        <v>1243</v>
      </c>
      <c r="F254" s="71" t="s">
        <v>253</v>
      </c>
      <c r="G254" s="71" t="s">
        <v>666</v>
      </c>
      <c r="H254" s="71">
        <v>1.0</v>
      </c>
      <c r="I254" s="71">
        <v>1.0</v>
      </c>
      <c r="J254" s="71">
        <v>1.0</v>
      </c>
      <c r="K254" s="72">
        <f>Difensori!I192</f>
        <v>1</v>
      </c>
      <c r="L254" s="73">
        <f>Difensori!AE192</f>
        <v>5.5</v>
      </c>
      <c r="M254" s="74">
        <f>Difensori!B192</f>
        <v>1.8</v>
      </c>
      <c r="N254" s="71">
        <f>Difensori!A192</f>
        <v>182</v>
      </c>
      <c r="O254" s="71" t="s">
        <v>332</v>
      </c>
      <c r="P254" s="71">
        <v>0.0</v>
      </c>
      <c r="R254" s="71" t="s">
        <v>71</v>
      </c>
      <c r="S254" s="71" t="s">
        <v>196</v>
      </c>
      <c r="T254" s="71" t="str">
        <f>Difensori!K192</f>
        <v>Scommessa</v>
      </c>
      <c r="U254" s="71" t="s">
        <v>457</v>
      </c>
      <c r="V254" s="71">
        <v>0.0</v>
      </c>
      <c r="W254" s="71">
        <f t="shared" si="1"/>
        <v>478</v>
      </c>
    </row>
    <row r="255" ht="15.75" customHeight="1">
      <c r="A255" s="71" t="s">
        <v>216</v>
      </c>
      <c r="B255" s="71" t="s">
        <v>67</v>
      </c>
      <c r="C255" s="71">
        <v>4.0</v>
      </c>
      <c r="D255" s="71" t="s">
        <v>66</v>
      </c>
      <c r="E255" s="71" t="s">
        <v>1209</v>
      </c>
      <c r="F255" s="71" t="s">
        <v>64</v>
      </c>
      <c r="G255" s="71" t="s">
        <v>669</v>
      </c>
      <c r="H255" s="71">
        <v>27.0</v>
      </c>
      <c r="I255" s="71">
        <v>28.0</v>
      </c>
      <c r="J255" s="71">
        <v>243.0</v>
      </c>
      <c r="K255" s="72">
        <f>Centrocampisti!I4</f>
        <v>49</v>
      </c>
      <c r="L255" s="73">
        <f>Centrocampisti!AE4</f>
        <v>7.38</v>
      </c>
      <c r="M255" s="74">
        <f>Centrocampisti!B4</f>
        <v>99.5</v>
      </c>
      <c r="N255" s="71">
        <f>Centrocampisti!A4</f>
        <v>1</v>
      </c>
      <c r="O255" s="71" t="s">
        <v>68</v>
      </c>
      <c r="P255" s="71">
        <v>22.0</v>
      </c>
      <c r="Q255" s="71">
        <v>7.64</v>
      </c>
      <c r="R255" s="71" t="s">
        <v>84</v>
      </c>
      <c r="S255" s="71" t="s">
        <v>106</v>
      </c>
      <c r="T255" s="71" t="str">
        <f>Centrocampisti!K4</f>
        <v>1a fascia</v>
      </c>
      <c r="U255" s="71" t="s">
        <v>70</v>
      </c>
      <c r="V255" s="71">
        <v>2.0</v>
      </c>
      <c r="W255" s="71">
        <f t="shared" si="1"/>
        <v>6</v>
      </c>
    </row>
    <row r="256" ht="15.75" customHeight="1">
      <c r="A256" s="71" t="s">
        <v>303</v>
      </c>
      <c r="B256" s="71" t="s">
        <v>67</v>
      </c>
      <c r="C256" s="71">
        <v>5.0</v>
      </c>
      <c r="D256" s="71" t="s">
        <v>130</v>
      </c>
      <c r="E256" s="71" t="s">
        <v>1215</v>
      </c>
      <c r="F256" s="71" t="s">
        <v>133</v>
      </c>
      <c r="G256" s="71" t="s">
        <v>669</v>
      </c>
      <c r="H256" s="71">
        <v>30.0</v>
      </c>
      <c r="I256" s="71">
        <v>29.0</v>
      </c>
      <c r="J256" s="71">
        <v>245.0</v>
      </c>
      <c r="K256" s="72">
        <f>Centrocampisti!I5</f>
        <v>49</v>
      </c>
      <c r="L256" s="73">
        <f>Centrocampisti!AE5</f>
        <v>7.3</v>
      </c>
      <c r="M256" s="74">
        <f>Centrocampisti!B5</f>
        <v>93.5</v>
      </c>
      <c r="N256" s="71">
        <f>Centrocampisti!A5</f>
        <v>2</v>
      </c>
      <c r="O256" s="71" t="s">
        <v>68</v>
      </c>
      <c r="P256" s="71">
        <v>35.0</v>
      </c>
      <c r="Q256" s="71">
        <v>7.3</v>
      </c>
      <c r="R256" s="71" t="s">
        <v>160</v>
      </c>
      <c r="S256" s="71" t="s">
        <v>176</v>
      </c>
      <c r="T256" s="71" t="str">
        <f>Centrocampisti!K5</f>
        <v>1a fascia</v>
      </c>
      <c r="U256" s="71" t="s">
        <v>70</v>
      </c>
      <c r="V256" s="71">
        <v>2.0</v>
      </c>
      <c r="W256" s="71">
        <f t="shared" si="1"/>
        <v>5</v>
      </c>
    </row>
    <row r="257" ht="15.75" customHeight="1">
      <c r="A257" s="71" t="s">
        <v>203</v>
      </c>
      <c r="B257" s="71" t="s">
        <v>67</v>
      </c>
      <c r="C257" s="71">
        <v>6.0</v>
      </c>
      <c r="D257" s="71" t="s">
        <v>180</v>
      </c>
      <c r="E257" s="71" t="s">
        <v>1222</v>
      </c>
      <c r="F257" s="71" t="s">
        <v>182</v>
      </c>
      <c r="G257" s="71" t="s">
        <v>669</v>
      </c>
      <c r="H257" s="71">
        <v>26.0</v>
      </c>
      <c r="I257" s="71">
        <v>25.0</v>
      </c>
      <c r="J257" s="71">
        <v>177.0</v>
      </c>
      <c r="K257" s="72">
        <f>Centrocampisti!I6</f>
        <v>40</v>
      </c>
      <c r="L257" s="73">
        <f>Centrocampisti!AE6</f>
        <v>6.76</v>
      </c>
      <c r="M257" s="74">
        <f>Centrocampisti!B6</f>
        <v>79.6</v>
      </c>
      <c r="N257" s="71">
        <f>Centrocampisti!A6</f>
        <v>3</v>
      </c>
      <c r="O257" s="71" t="s">
        <v>68</v>
      </c>
      <c r="P257" s="71">
        <v>34.0</v>
      </c>
      <c r="Q257" s="71">
        <v>6.76</v>
      </c>
      <c r="R257" s="71" t="s">
        <v>84</v>
      </c>
      <c r="S257" s="71" t="s">
        <v>176</v>
      </c>
      <c r="T257" s="71" t="str">
        <f>Centrocampisti!K6</f>
        <v>1a fascia</v>
      </c>
      <c r="U257" s="71" t="s">
        <v>187</v>
      </c>
      <c r="V257" s="71">
        <v>2.0</v>
      </c>
      <c r="W257" s="71">
        <f t="shared" si="1"/>
        <v>12</v>
      </c>
    </row>
    <row r="258" ht="15.75" customHeight="1">
      <c r="A258" s="71" t="s">
        <v>176</v>
      </c>
      <c r="B258" s="71" t="s">
        <v>67</v>
      </c>
      <c r="C258" s="71">
        <v>7.0</v>
      </c>
      <c r="D258" s="71" t="s">
        <v>197</v>
      </c>
      <c r="E258" s="71" t="s">
        <v>1217</v>
      </c>
      <c r="F258" s="71" t="s">
        <v>191</v>
      </c>
      <c r="G258" s="71" t="s">
        <v>669</v>
      </c>
      <c r="H258" s="71">
        <v>28.0</v>
      </c>
      <c r="I258" s="71">
        <v>27.0</v>
      </c>
      <c r="J258" s="71">
        <v>220.0</v>
      </c>
      <c r="K258" s="72">
        <f>Centrocampisti!I7</f>
        <v>46</v>
      </c>
      <c r="L258" s="73">
        <f>Centrocampisti!AE7</f>
        <v>7.26</v>
      </c>
      <c r="M258" s="74">
        <f>Centrocampisti!B7</f>
        <v>78.9</v>
      </c>
      <c r="N258" s="71">
        <f>Centrocampisti!A7</f>
        <v>4</v>
      </c>
      <c r="O258" s="71" t="s">
        <v>68</v>
      </c>
      <c r="P258" s="71">
        <v>33.0</v>
      </c>
      <c r="Q258" s="71">
        <v>7.26</v>
      </c>
      <c r="R258" s="71" t="s">
        <v>71</v>
      </c>
      <c r="S258" s="71" t="s">
        <v>203</v>
      </c>
      <c r="T258" s="71" t="str">
        <f>Centrocampisti!K7</f>
        <v>1a fascia</v>
      </c>
      <c r="U258" s="71" t="s">
        <v>201</v>
      </c>
      <c r="V258" s="71">
        <v>2.0</v>
      </c>
      <c r="W258" s="71">
        <f t="shared" si="1"/>
        <v>9</v>
      </c>
    </row>
    <row r="259" ht="15.75" customHeight="1">
      <c r="A259" s="71" t="s">
        <v>106</v>
      </c>
      <c r="B259" s="71" t="s">
        <v>67</v>
      </c>
      <c r="C259" s="71">
        <v>8.0</v>
      </c>
      <c r="D259" s="71" t="s">
        <v>209</v>
      </c>
      <c r="E259" s="71" t="s">
        <v>1213</v>
      </c>
      <c r="F259" s="71" t="s">
        <v>175</v>
      </c>
      <c r="G259" s="71" t="s">
        <v>669</v>
      </c>
      <c r="H259" s="71">
        <v>25.0</v>
      </c>
      <c r="I259" s="71">
        <v>24.0</v>
      </c>
      <c r="J259" s="71">
        <v>150.0</v>
      </c>
      <c r="K259" s="72">
        <f>Centrocampisti!I8</f>
        <v>37</v>
      </c>
      <c r="L259" s="73">
        <f>Centrocampisti!AE8</f>
        <v>7.07</v>
      </c>
      <c r="M259" s="74">
        <f>Centrocampisti!B8</f>
        <v>70.7</v>
      </c>
      <c r="N259" s="71">
        <f>Centrocampisti!A8</f>
        <v>5</v>
      </c>
      <c r="O259" s="71" t="s">
        <v>68</v>
      </c>
      <c r="P259" s="71">
        <v>27.0</v>
      </c>
      <c r="Q259" s="71">
        <v>7.07</v>
      </c>
      <c r="R259" s="71" t="s">
        <v>77</v>
      </c>
      <c r="S259" s="71" t="s">
        <v>216</v>
      </c>
      <c r="T259" s="71" t="str">
        <f>Centrocampisti!K8</f>
        <v>1a fascia</v>
      </c>
      <c r="U259" s="71" t="s">
        <v>146</v>
      </c>
      <c r="V259" s="71">
        <v>0.0</v>
      </c>
      <c r="W259" s="71">
        <f t="shared" si="1"/>
        <v>15</v>
      </c>
    </row>
    <row r="260" ht="15.75" customHeight="1">
      <c r="A260" s="71" t="s">
        <v>1216</v>
      </c>
      <c r="B260" s="71" t="s">
        <v>67</v>
      </c>
      <c r="C260" s="71">
        <v>9.0</v>
      </c>
      <c r="D260" s="71" t="s">
        <v>221</v>
      </c>
      <c r="E260" s="71" t="s">
        <v>1217</v>
      </c>
      <c r="F260" s="71" t="s">
        <v>191</v>
      </c>
      <c r="G260" s="71" t="s">
        <v>669</v>
      </c>
      <c r="H260" s="71">
        <v>15.0</v>
      </c>
      <c r="I260" s="71">
        <v>17.0</v>
      </c>
      <c r="J260" s="71">
        <v>108.0</v>
      </c>
      <c r="K260" s="72">
        <f>Centrocampisti!I9</f>
        <v>30</v>
      </c>
      <c r="L260" s="73">
        <f>Centrocampisti!AE9</f>
        <v>6.68</v>
      </c>
      <c r="M260" s="74">
        <f>Centrocampisti!B9</f>
        <v>61.4</v>
      </c>
      <c r="N260" s="71">
        <f>Centrocampisti!A9</f>
        <v>6</v>
      </c>
      <c r="O260" s="71" t="s">
        <v>68</v>
      </c>
      <c r="P260" s="71">
        <v>17.0</v>
      </c>
      <c r="Q260" s="71">
        <v>7.24</v>
      </c>
      <c r="R260" s="71" t="s">
        <v>84</v>
      </c>
      <c r="S260" s="71" t="s">
        <v>203</v>
      </c>
      <c r="T260" s="71" t="str">
        <f>Centrocampisti!K9</f>
        <v>1a fascia</v>
      </c>
      <c r="U260" s="71" t="s">
        <v>70</v>
      </c>
      <c r="V260" s="71">
        <v>2.0</v>
      </c>
      <c r="W260" s="71">
        <f t="shared" si="1"/>
        <v>18</v>
      </c>
    </row>
    <row r="261" ht="15.75" customHeight="1">
      <c r="A261" s="71" t="s">
        <v>1218</v>
      </c>
      <c r="B261" s="71" t="s">
        <v>67</v>
      </c>
      <c r="C261" s="71">
        <v>10.0</v>
      </c>
      <c r="D261" s="71" t="s">
        <v>233</v>
      </c>
      <c r="E261" s="71" t="s">
        <v>1213</v>
      </c>
      <c r="F261" s="71" t="s">
        <v>175</v>
      </c>
      <c r="G261" s="71" t="s">
        <v>669</v>
      </c>
      <c r="H261" s="71">
        <v>22.0</v>
      </c>
      <c r="I261" s="71">
        <v>23.0</v>
      </c>
      <c r="J261" s="71">
        <v>145.0</v>
      </c>
      <c r="K261" s="72">
        <f>Centrocampisti!I10</f>
        <v>36</v>
      </c>
      <c r="L261" s="73">
        <f>Centrocampisti!AE10</f>
        <v>6.98</v>
      </c>
      <c r="M261" s="74">
        <f>Centrocampisti!B10</f>
        <v>60.2</v>
      </c>
      <c r="N261" s="71">
        <f>Centrocampisti!A10</f>
        <v>7</v>
      </c>
      <c r="O261" s="71" t="s">
        <v>68</v>
      </c>
      <c r="P261" s="71">
        <v>29.0</v>
      </c>
      <c r="Q261" s="71">
        <v>6.98</v>
      </c>
      <c r="R261" s="71" t="s">
        <v>71</v>
      </c>
      <c r="S261" s="71" t="s">
        <v>216</v>
      </c>
      <c r="T261" s="71" t="str">
        <f>Centrocampisti!K10</f>
        <v>1a fascia</v>
      </c>
      <c r="U261" s="71" t="s">
        <v>70</v>
      </c>
      <c r="V261" s="71">
        <v>2.0</v>
      </c>
      <c r="W261" s="71">
        <f t="shared" si="1"/>
        <v>16</v>
      </c>
    </row>
    <row r="262" ht="15.75" customHeight="1">
      <c r="A262" s="71" t="s">
        <v>1220</v>
      </c>
      <c r="B262" s="71" t="s">
        <v>67</v>
      </c>
      <c r="C262" s="71">
        <v>11.0</v>
      </c>
      <c r="D262" s="71" t="s">
        <v>246</v>
      </c>
      <c r="E262" s="71" t="s">
        <v>1215</v>
      </c>
      <c r="F262" s="71" t="s">
        <v>133</v>
      </c>
      <c r="G262" s="71" t="s">
        <v>669</v>
      </c>
      <c r="H262" s="71">
        <v>18.0</v>
      </c>
      <c r="I262" s="71">
        <v>18.0</v>
      </c>
      <c r="J262" s="71">
        <v>87.0</v>
      </c>
      <c r="K262" s="72">
        <f>Centrocampisti!I11</f>
        <v>26</v>
      </c>
      <c r="L262" s="73">
        <f>Centrocampisti!AE11</f>
        <v>6.91</v>
      </c>
      <c r="M262" s="74">
        <f>Centrocampisti!B11</f>
        <v>54.9</v>
      </c>
      <c r="N262" s="71">
        <f>Centrocampisti!A11</f>
        <v>8</v>
      </c>
      <c r="O262" s="71" t="s">
        <v>68</v>
      </c>
      <c r="P262" s="71">
        <v>35.0</v>
      </c>
      <c r="Q262" s="71">
        <v>6.91</v>
      </c>
      <c r="R262" s="71" t="s">
        <v>84</v>
      </c>
      <c r="S262" s="71" t="s">
        <v>254</v>
      </c>
      <c r="T262" s="71" t="str">
        <f>Centrocampisti!K11</f>
        <v>2a fascia</v>
      </c>
      <c r="U262" s="71" t="s">
        <v>70</v>
      </c>
      <c r="V262" s="71">
        <v>2.0</v>
      </c>
      <c r="W262" s="71">
        <f t="shared" si="1"/>
        <v>28</v>
      </c>
    </row>
    <row r="263" ht="15.75" customHeight="1">
      <c r="A263" s="71" t="s">
        <v>1224</v>
      </c>
      <c r="B263" s="71" t="s">
        <v>67</v>
      </c>
      <c r="C263" s="71">
        <v>12.0</v>
      </c>
      <c r="D263" s="71" t="s">
        <v>257</v>
      </c>
      <c r="E263" s="71" t="s">
        <v>1215</v>
      </c>
      <c r="F263" s="71" t="s">
        <v>133</v>
      </c>
      <c r="G263" s="71" t="s">
        <v>669</v>
      </c>
      <c r="H263" s="71">
        <v>19.0</v>
      </c>
      <c r="I263" s="71">
        <v>20.0</v>
      </c>
      <c r="J263" s="71">
        <v>105.0</v>
      </c>
      <c r="K263" s="72">
        <f>Centrocampisti!I12</f>
        <v>30</v>
      </c>
      <c r="L263" s="73">
        <f>Centrocampisti!AE12</f>
        <v>7.14</v>
      </c>
      <c r="M263" s="74">
        <f>Centrocampisti!B12</f>
        <v>53.7</v>
      </c>
      <c r="N263" s="71">
        <f>Centrocampisti!A12</f>
        <v>9</v>
      </c>
      <c r="O263" s="71" t="s">
        <v>68</v>
      </c>
      <c r="P263" s="71">
        <v>25.0</v>
      </c>
      <c r="Q263" s="71">
        <v>7.14</v>
      </c>
      <c r="R263" s="71" t="s">
        <v>71</v>
      </c>
      <c r="S263" s="71" t="s">
        <v>254</v>
      </c>
      <c r="T263" s="71" t="str">
        <f>Centrocampisti!K12</f>
        <v>1a fascia</v>
      </c>
      <c r="U263" s="71" t="s">
        <v>70</v>
      </c>
      <c r="V263" s="71">
        <v>2.0</v>
      </c>
      <c r="W263" s="71">
        <f t="shared" si="1"/>
        <v>21</v>
      </c>
    </row>
    <row r="264" ht="15.75" customHeight="1">
      <c r="A264" s="71" t="s">
        <v>363</v>
      </c>
      <c r="B264" s="71" t="s">
        <v>67</v>
      </c>
      <c r="C264" s="71">
        <v>13.0</v>
      </c>
      <c r="D264" s="71" t="s">
        <v>267</v>
      </c>
      <c r="E264" s="71" t="s">
        <v>1228</v>
      </c>
      <c r="F264" s="71" t="s">
        <v>212</v>
      </c>
      <c r="G264" s="71" t="s">
        <v>669</v>
      </c>
      <c r="H264" s="71">
        <v>14.0</v>
      </c>
      <c r="I264" s="71">
        <v>13.0</v>
      </c>
      <c r="J264" s="71">
        <v>73.0</v>
      </c>
      <c r="K264" s="72">
        <f>Centrocampisti!I13</f>
        <v>24</v>
      </c>
      <c r="L264" s="73">
        <f>Centrocampisti!AE13</f>
        <v>6.66</v>
      </c>
      <c r="M264" s="74">
        <f>Centrocampisti!B13</f>
        <v>52.6</v>
      </c>
      <c r="N264" s="71">
        <f>Centrocampisti!A13</f>
        <v>10</v>
      </c>
      <c r="O264" s="71" t="s">
        <v>68</v>
      </c>
      <c r="P264" s="71">
        <v>37.0</v>
      </c>
      <c r="Q264" s="71">
        <v>6.66</v>
      </c>
      <c r="R264" s="71" t="s">
        <v>84</v>
      </c>
      <c r="S264" s="71" t="s">
        <v>275</v>
      </c>
      <c r="T264" s="71" t="str">
        <f>Centrocampisti!K13</f>
        <v>2a fascia</v>
      </c>
      <c r="U264" s="71" t="s">
        <v>70</v>
      </c>
      <c r="V264" s="71">
        <v>2.0</v>
      </c>
      <c r="W264" s="71">
        <f t="shared" si="1"/>
        <v>39</v>
      </c>
    </row>
    <row r="265" ht="15.75" customHeight="1">
      <c r="A265" s="71" t="s">
        <v>1230</v>
      </c>
      <c r="B265" s="71" t="s">
        <v>67</v>
      </c>
      <c r="C265" s="71">
        <v>14.0</v>
      </c>
      <c r="D265" s="71" t="s">
        <v>280</v>
      </c>
      <c r="E265" s="71" t="s">
        <v>1233</v>
      </c>
      <c r="F265" s="71" t="s">
        <v>185</v>
      </c>
      <c r="G265" s="71" t="s">
        <v>669</v>
      </c>
      <c r="H265" s="71">
        <v>18.0</v>
      </c>
      <c r="I265" s="71">
        <v>18.0</v>
      </c>
      <c r="J265" s="71">
        <v>80.0</v>
      </c>
      <c r="K265" s="72">
        <f>Centrocampisti!I14</f>
        <v>25</v>
      </c>
      <c r="L265" s="73">
        <f>Centrocampisti!AE14</f>
        <v>6.77</v>
      </c>
      <c r="M265" s="74">
        <f>Centrocampisti!B14</f>
        <v>49.5</v>
      </c>
      <c r="N265" s="71">
        <f>Centrocampisti!A14</f>
        <v>11</v>
      </c>
      <c r="O265" s="71" t="s">
        <v>68</v>
      </c>
      <c r="P265" s="71">
        <v>31.0</v>
      </c>
      <c r="Q265" s="71">
        <v>6.77</v>
      </c>
      <c r="R265" s="71" t="s">
        <v>160</v>
      </c>
      <c r="S265" s="71" t="s">
        <v>106</v>
      </c>
      <c r="T265" s="71" t="str">
        <f>Centrocampisti!K14</f>
        <v>2a fascia</v>
      </c>
      <c r="U265" s="71" t="s">
        <v>284</v>
      </c>
      <c r="V265" s="71">
        <v>1.0</v>
      </c>
      <c r="W265" s="71">
        <f t="shared" si="1"/>
        <v>34</v>
      </c>
    </row>
    <row r="266" ht="15.75" customHeight="1">
      <c r="A266" s="71" t="s">
        <v>254</v>
      </c>
      <c r="B266" s="71" t="s">
        <v>67</v>
      </c>
      <c r="C266" s="71">
        <v>15.0</v>
      </c>
      <c r="D266" s="71" t="s">
        <v>296</v>
      </c>
      <c r="E266" s="71" t="s">
        <v>1225</v>
      </c>
      <c r="F266" s="71" t="s">
        <v>208</v>
      </c>
      <c r="G266" s="71" t="s">
        <v>669</v>
      </c>
      <c r="H266" s="71">
        <v>17.0</v>
      </c>
      <c r="I266" s="71">
        <v>15.0</v>
      </c>
      <c r="J266" s="71">
        <v>78.0</v>
      </c>
      <c r="K266" s="72">
        <f>Centrocampisti!I15</f>
        <v>25</v>
      </c>
      <c r="L266" s="73">
        <f>Centrocampisti!AE15</f>
        <v>6.88</v>
      </c>
      <c r="M266" s="74">
        <f>Centrocampisti!B15</f>
        <v>44</v>
      </c>
      <c r="N266" s="71">
        <f>Centrocampisti!A15</f>
        <v>12</v>
      </c>
      <c r="O266" s="71" t="s">
        <v>68</v>
      </c>
      <c r="P266" s="71">
        <v>32.0</v>
      </c>
      <c r="Q266" s="71">
        <v>6.88</v>
      </c>
      <c r="R266" s="71" t="s">
        <v>71</v>
      </c>
      <c r="S266" s="71" t="s">
        <v>303</v>
      </c>
      <c r="T266" s="71" t="str">
        <f>Centrocampisti!K15</f>
        <v>2a fascia</v>
      </c>
      <c r="U266" s="71" t="s">
        <v>100</v>
      </c>
      <c r="V266" s="71">
        <v>2.0</v>
      </c>
      <c r="W266" s="71">
        <f t="shared" si="1"/>
        <v>36</v>
      </c>
    </row>
    <row r="267" ht="15.75" customHeight="1">
      <c r="A267" s="71" t="s">
        <v>434</v>
      </c>
      <c r="B267" s="71" t="s">
        <v>67</v>
      </c>
      <c r="C267" s="71">
        <v>16.0</v>
      </c>
      <c r="D267" s="71" t="s">
        <v>308</v>
      </c>
      <c r="E267" s="71" t="s">
        <v>1219</v>
      </c>
      <c r="F267" s="71" t="s">
        <v>195</v>
      </c>
      <c r="G267" s="71" t="s">
        <v>669</v>
      </c>
      <c r="H267" s="71">
        <v>16.0</v>
      </c>
      <c r="I267" s="71">
        <v>16.0</v>
      </c>
      <c r="J267" s="71">
        <v>87.0</v>
      </c>
      <c r="K267" s="72">
        <f>Centrocampisti!I16</f>
        <v>26</v>
      </c>
      <c r="L267" s="73">
        <f>Centrocampisti!AE16</f>
        <v>5.96</v>
      </c>
      <c r="M267" s="74">
        <f>Centrocampisti!B16</f>
        <v>43.1</v>
      </c>
      <c r="N267" s="71">
        <f>Centrocampisti!A16</f>
        <v>13</v>
      </c>
      <c r="O267" s="71" t="s">
        <v>68</v>
      </c>
      <c r="P267" s="71">
        <v>26.0</v>
      </c>
      <c r="Q267" s="71">
        <v>5.96</v>
      </c>
      <c r="R267" s="71" t="s">
        <v>84</v>
      </c>
      <c r="S267" s="71" t="s">
        <v>320</v>
      </c>
      <c r="T267" s="71" t="str">
        <f>Centrocampisti!K16</f>
        <v>2a fascia</v>
      </c>
      <c r="U267" s="71" t="s">
        <v>70</v>
      </c>
      <c r="V267" s="71">
        <v>2.0</v>
      </c>
      <c r="W267" s="71">
        <f t="shared" si="1"/>
        <v>28</v>
      </c>
    </row>
    <row r="268" ht="15.75" customHeight="1">
      <c r="A268" s="71" t="s">
        <v>623</v>
      </c>
      <c r="B268" s="71" t="s">
        <v>67</v>
      </c>
      <c r="C268" s="71">
        <v>17.0</v>
      </c>
      <c r="D268" s="71" t="s">
        <v>325</v>
      </c>
      <c r="E268" s="71" t="s">
        <v>1209</v>
      </c>
      <c r="F268" s="71" t="s">
        <v>64</v>
      </c>
      <c r="G268" s="71" t="s">
        <v>669</v>
      </c>
      <c r="H268" s="71">
        <v>10.0</v>
      </c>
      <c r="I268" s="71">
        <v>12.0</v>
      </c>
      <c r="J268" s="71">
        <v>45.0</v>
      </c>
      <c r="K268" s="72">
        <f>Centrocampisti!I17</f>
        <v>18</v>
      </c>
      <c r="L268" s="73">
        <f>Centrocampisti!AE17</f>
        <v>6.8</v>
      </c>
      <c r="M268" s="74">
        <f>Centrocampisti!B17</f>
        <v>40.6</v>
      </c>
      <c r="N268" s="71">
        <f>Centrocampisti!A17</f>
        <v>14</v>
      </c>
      <c r="O268" s="71" t="s">
        <v>68</v>
      </c>
      <c r="P268" s="71">
        <v>30.0</v>
      </c>
      <c r="Q268" s="71">
        <v>6.8</v>
      </c>
      <c r="R268" s="71" t="s">
        <v>77</v>
      </c>
      <c r="S268" s="71" t="s">
        <v>106</v>
      </c>
      <c r="T268" s="71" t="str">
        <f>Centrocampisti!K17</f>
        <v>2a fascia</v>
      </c>
      <c r="U268" s="71" t="s">
        <v>70</v>
      </c>
      <c r="V268" s="71">
        <v>2.0</v>
      </c>
      <c r="W268" s="71">
        <f t="shared" si="1"/>
        <v>71</v>
      </c>
    </row>
    <row r="269" ht="15.75" customHeight="1">
      <c r="A269" s="71" t="s">
        <v>1239</v>
      </c>
      <c r="B269" s="71" t="s">
        <v>67</v>
      </c>
      <c r="C269" s="71">
        <v>18.0</v>
      </c>
      <c r="D269" s="71" t="s">
        <v>334</v>
      </c>
      <c r="E269" s="71" t="s">
        <v>1209</v>
      </c>
      <c r="F269" s="71" t="s">
        <v>64</v>
      </c>
      <c r="G269" s="71" t="s">
        <v>669</v>
      </c>
      <c r="H269" s="71">
        <v>17.0</v>
      </c>
      <c r="I269" s="71">
        <v>18.0</v>
      </c>
      <c r="J269" s="71">
        <v>81.0</v>
      </c>
      <c r="K269" s="72">
        <f>Centrocampisti!I18</f>
        <v>25</v>
      </c>
      <c r="L269" s="73">
        <f>Centrocampisti!AE18</f>
        <v>6.71</v>
      </c>
      <c r="M269" s="74">
        <f>Centrocampisti!B18</f>
        <v>40.3</v>
      </c>
      <c r="N269" s="71">
        <f>Centrocampisti!A18</f>
        <v>15</v>
      </c>
      <c r="O269" s="71" t="s">
        <v>68</v>
      </c>
      <c r="P269" s="71">
        <v>34.0</v>
      </c>
      <c r="Q269" s="71">
        <v>6.71</v>
      </c>
      <c r="R269" s="71" t="s">
        <v>71</v>
      </c>
      <c r="S269" s="71" t="s">
        <v>106</v>
      </c>
      <c r="T269" s="71" t="str">
        <f>Centrocampisti!K18</f>
        <v>2a fascia</v>
      </c>
      <c r="U269" s="71" t="s">
        <v>70</v>
      </c>
      <c r="V269" s="71">
        <v>2.0</v>
      </c>
      <c r="W269" s="71">
        <f t="shared" si="1"/>
        <v>33</v>
      </c>
    </row>
    <row r="270" ht="15.75" customHeight="1">
      <c r="A270" s="71" t="s">
        <v>638</v>
      </c>
      <c r="B270" s="71" t="s">
        <v>67</v>
      </c>
      <c r="C270" s="71">
        <v>19.0</v>
      </c>
      <c r="D270" s="71" t="s">
        <v>344</v>
      </c>
      <c r="E270" s="71" t="s">
        <v>1213</v>
      </c>
      <c r="F270" s="71" t="s">
        <v>175</v>
      </c>
      <c r="G270" s="71" t="s">
        <v>669</v>
      </c>
      <c r="H270" s="71">
        <v>12.0</v>
      </c>
      <c r="I270" s="71">
        <v>12.0</v>
      </c>
      <c r="J270" s="71">
        <v>45.0</v>
      </c>
      <c r="K270" s="72">
        <f>Centrocampisti!I19</f>
        <v>18</v>
      </c>
      <c r="L270" s="73">
        <f>Centrocampisti!AE19</f>
        <v>6.67</v>
      </c>
      <c r="M270" s="74">
        <f>Centrocampisti!B19</f>
        <v>39.4</v>
      </c>
      <c r="N270" s="71">
        <f>Centrocampisti!A19</f>
        <v>16</v>
      </c>
      <c r="O270" s="71" t="s">
        <v>68</v>
      </c>
      <c r="P270" s="71">
        <v>33.0</v>
      </c>
      <c r="Q270" s="71">
        <v>6.67</v>
      </c>
      <c r="R270" s="71" t="s">
        <v>160</v>
      </c>
      <c r="S270" s="71" t="s">
        <v>216</v>
      </c>
      <c r="T270" s="71" t="str">
        <f>Centrocampisti!K19</f>
        <v>2a fascia</v>
      </c>
      <c r="U270" s="71" t="s">
        <v>70</v>
      </c>
      <c r="V270" s="71">
        <v>2.0</v>
      </c>
      <c r="W270" s="71">
        <f t="shared" si="1"/>
        <v>71</v>
      </c>
    </row>
    <row r="271" ht="15.75" customHeight="1">
      <c r="A271" s="71" t="s">
        <v>275</v>
      </c>
      <c r="B271" s="71" t="s">
        <v>67</v>
      </c>
      <c r="C271" s="71">
        <v>20.0</v>
      </c>
      <c r="D271" s="71" t="s">
        <v>357</v>
      </c>
      <c r="E271" s="71" t="s">
        <v>1207</v>
      </c>
      <c r="F271" s="71" t="s">
        <v>93</v>
      </c>
      <c r="G271" s="71" t="s">
        <v>669</v>
      </c>
      <c r="H271" s="71">
        <v>17.0</v>
      </c>
      <c r="I271" s="71">
        <v>17.0</v>
      </c>
      <c r="J271" s="71">
        <v>70.0</v>
      </c>
      <c r="K271" s="72">
        <f>Centrocampisti!I20</f>
        <v>23</v>
      </c>
      <c r="L271" s="73">
        <f>Centrocampisti!AE20</f>
        <v>6.68</v>
      </c>
      <c r="M271" s="74">
        <f>Centrocampisti!B20</f>
        <v>37.1</v>
      </c>
      <c r="N271" s="71">
        <f>Centrocampisti!A20</f>
        <v>17</v>
      </c>
      <c r="O271" s="71" t="s">
        <v>68</v>
      </c>
      <c r="P271" s="71">
        <v>34.0</v>
      </c>
      <c r="Q271" s="71">
        <v>6.68</v>
      </c>
      <c r="R271" s="71" t="s">
        <v>71</v>
      </c>
      <c r="S271" s="71" t="s">
        <v>363</v>
      </c>
      <c r="T271" s="71" t="str">
        <f>Centrocampisti!K20</f>
        <v>2a fascia</v>
      </c>
      <c r="U271" s="71" t="s">
        <v>242</v>
      </c>
      <c r="V271" s="71">
        <v>1.0</v>
      </c>
      <c r="W271" s="71">
        <f t="shared" si="1"/>
        <v>41</v>
      </c>
    </row>
    <row r="272" ht="15.75" customHeight="1">
      <c r="A272" s="71" t="s">
        <v>1246</v>
      </c>
      <c r="B272" s="71" t="s">
        <v>67</v>
      </c>
      <c r="C272" s="71">
        <v>21.0</v>
      </c>
      <c r="D272" s="71" t="s">
        <v>370</v>
      </c>
      <c r="E272" s="71" t="s">
        <v>1207</v>
      </c>
      <c r="F272" s="71" t="s">
        <v>93</v>
      </c>
      <c r="G272" s="71" t="s">
        <v>669</v>
      </c>
      <c r="H272" s="71">
        <v>12.0</v>
      </c>
      <c r="I272" s="71">
        <v>13.0</v>
      </c>
      <c r="J272" s="71">
        <v>68.0</v>
      </c>
      <c r="K272" s="72">
        <f>Centrocampisti!I21</f>
        <v>23</v>
      </c>
      <c r="L272" s="73">
        <f>Centrocampisti!AE21</f>
        <v>6.7</v>
      </c>
      <c r="M272" s="74">
        <f>Centrocampisti!B21</f>
        <v>37</v>
      </c>
      <c r="N272" s="71">
        <f>Centrocampisti!A21</f>
        <v>18</v>
      </c>
      <c r="O272" s="71" t="s">
        <v>68</v>
      </c>
      <c r="P272" s="71">
        <v>30.0</v>
      </c>
      <c r="Q272" s="71">
        <v>6.7</v>
      </c>
      <c r="R272" s="71" t="s">
        <v>71</v>
      </c>
      <c r="S272" s="71" t="s">
        <v>363</v>
      </c>
      <c r="T272" s="71" t="str">
        <f>Centrocampisti!K21</f>
        <v>2a fascia</v>
      </c>
      <c r="U272" s="71" t="s">
        <v>70</v>
      </c>
      <c r="V272" s="71">
        <v>2.0</v>
      </c>
      <c r="W272" s="71">
        <f t="shared" si="1"/>
        <v>44</v>
      </c>
    </row>
    <row r="273" ht="15.75" customHeight="1">
      <c r="A273" s="71" t="s">
        <v>1249</v>
      </c>
      <c r="B273" s="71" t="s">
        <v>67</v>
      </c>
      <c r="C273" s="71">
        <v>22.0</v>
      </c>
      <c r="D273" s="71" t="s">
        <v>378</v>
      </c>
      <c r="E273" s="71" t="s">
        <v>1233</v>
      </c>
      <c r="F273" s="71" t="s">
        <v>185</v>
      </c>
      <c r="G273" s="71" t="s">
        <v>669</v>
      </c>
      <c r="H273" s="71">
        <v>10.0</v>
      </c>
      <c r="I273" s="71">
        <v>12.0</v>
      </c>
      <c r="J273" s="71">
        <v>57.0</v>
      </c>
      <c r="K273" s="72">
        <f>Centrocampisti!I22</f>
        <v>20</v>
      </c>
      <c r="L273" s="73">
        <f>Centrocampisti!AE22</f>
        <v>6.61</v>
      </c>
      <c r="M273" s="74">
        <f>Centrocampisti!B22</f>
        <v>35.9</v>
      </c>
      <c r="N273" s="71">
        <f>Centrocampisti!A22</f>
        <v>19</v>
      </c>
      <c r="O273" s="71" t="s">
        <v>68</v>
      </c>
      <c r="P273" s="71">
        <v>31.0</v>
      </c>
      <c r="Q273" s="71">
        <v>6.61</v>
      </c>
      <c r="R273" s="71" t="s">
        <v>71</v>
      </c>
      <c r="S273" s="71" t="s">
        <v>106</v>
      </c>
      <c r="T273" s="71" t="str">
        <f>Centrocampisti!K22</f>
        <v>2a fascia</v>
      </c>
      <c r="U273" s="71" t="s">
        <v>70</v>
      </c>
      <c r="V273" s="71">
        <v>2.0</v>
      </c>
      <c r="W273" s="71">
        <f t="shared" si="1"/>
        <v>48</v>
      </c>
    </row>
    <row r="274" ht="15.75" customHeight="1">
      <c r="A274" s="71" t="s">
        <v>1253</v>
      </c>
      <c r="B274" s="71" t="s">
        <v>67</v>
      </c>
      <c r="C274" s="71">
        <v>23.0</v>
      </c>
      <c r="D274" s="71" t="s">
        <v>386</v>
      </c>
      <c r="E274" s="71" t="s">
        <v>1222</v>
      </c>
      <c r="F274" s="71" t="s">
        <v>182</v>
      </c>
      <c r="G274" s="71" t="s">
        <v>669</v>
      </c>
      <c r="H274" s="71">
        <v>9.0</v>
      </c>
      <c r="I274" s="71">
        <v>10.0</v>
      </c>
      <c r="J274" s="71">
        <v>27.0</v>
      </c>
      <c r="K274" s="72">
        <f>Centrocampisti!I23</f>
        <v>13</v>
      </c>
      <c r="L274" s="73">
        <f>Centrocampisti!AE23</f>
        <v>6.52</v>
      </c>
      <c r="M274" s="74">
        <f>Centrocampisti!B23</f>
        <v>33.1</v>
      </c>
      <c r="N274" s="71">
        <f>Centrocampisti!A23</f>
        <v>20</v>
      </c>
      <c r="O274" s="71" t="s">
        <v>68</v>
      </c>
      <c r="P274" s="71">
        <v>24.0</v>
      </c>
      <c r="Q274" s="71">
        <v>6.56</v>
      </c>
      <c r="R274" s="71" t="s">
        <v>77</v>
      </c>
      <c r="S274" s="71" t="s">
        <v>176</v>
      </c>
      <c r="T274" s="71" t="str">
        <f>Centrocampisti!K23</f>
        <v>3a fascia</v>
      </c>
      <c r="U274" s="71" t="s">
        <v>70</v>
      </c>
      <c r="V274" s="71">
        <v>2.0</v>
      </c>
      <c r="W274" s="71">
        <f t="shared" si="1"/>
        <v>123</v>
      </c>
    </row>
    <row r="275" ht="15.75" customHeight="1">
      <c r="A275" s="71" t="s">
        <v>609</v>
      </c>
      <c r="B275" s="71" t="s">
        <v>67</v>
      </c>
      <c r="C275" s="71">
        <v>24.0</v>
      </c>
      <c r="D275" s="71" t="s">
        <v>393</v>
      </c>
      <c r="E275" s="71" t="s">
        <v>1256</v>
      </c>
      <c r="F275" s="71" t="s">
        <v>283</v>
      </c>
      <c r="G275" s="71" t="s">
        <v>669</v>
      </c>
      <c r="H275" s="71">
        <v>7.0</v>
      </c>
      <c r="I275" s="71">
        <v>7.0</v>
      </c>
      <c r="J275" s="71">
        <v>34.0</v>
      </c>
      <c r="K275" s="72">
        <f>Centrocampisti!I24</f>
        <v>15</v>
      </c>
      <c r="L275" s="73">
        <f>Centrocampisti!AE24</f>
        <v>6.48</v>
      </c>
      <c r="M275" s="74">
        <f>Centrocampisti!B24</f>
        <v>32.2</v>
      </c>
      <c r="N275" s="71">
        <f>Centrocampisti!A24</f>
        <v>21</v>
      </c>
      <c r="O275" s="71" t="s">
        <v>68</v>
      </c>
      <c r="P275" s="71">
        <v>32.0</v>
      </c>
      <c r="Q275" s="71">
        <v>6.48</v>
      </c>
      <c r="R275" s="71" t="s">
        <v>345</v>
      </c>
      <c r="S275" s="71" t="s">
        <v>397</v>
      </c>
      <c r="T275" s="71" t="str">
        <f>Centrocampisti!K24</f>
        <v>2a fascia</v>
      </c>
      <c r="U275" s="71" t="s">
        <v>70</v>
      </c>
      <c r="V275" s="71">
        <v>2.0</v>
      </c>
      <c r="W275" s="71">
        <f t="shared" si="1"/>
        <v>100</v>
      </c>
    </row>
    <row r="276" ht="15.75" customHeight="1">
      <c r="A276" s="71" t="s">
        <v>616</v>
      </c>
      <c r="B276" s="71" t="s">
        <v>67</v>
      </c>
      <c r="C276" s="71">
        <v>25.0</v>
      </c>
      <c r="D276" s="71" t="s">
        <v>402</v>
      </c>
      <c r="E276" s="71" t="s">
        <v>1217</v>
      </c>
      <c r="F276" s="71" t="s">
        <v>191</v>
      </c>
      <c r="G276" s="71" t="s">
        <v>669</v>
      </c>
      <c r="H276" s="71">
        <v>10.0</v>
      </c>
      <c r="I276" s="71">
        <v>9.0</v>
      </c>
      <c r="J276" s="71">
        <v>37.0</v>
      </c>
      <c r="K276" s="72">
        <f>Centrocampisti!I25</f>
        <v>16</v>
      </c>
      <c r="L276" s="73">
        <f>Centrocampisti!AE25</f>
        <v>6.36</v>
      </c>
      <c r="M276" s="74">
        <f>Centrocampisti!B25</f>
        <v>30.6</v>
      </c>
      <c r="N276" s="71">
        <f>Centrocampisti!A25</f>
        <v>22</v>
      </c>
      <c r="O276" s="71" t="s">
        <v>226</v>
      </c>
      <c r="P276" s="71">
        <v>33.0</v>
      </c>
      <c r="Q276" s="71">
        <v>6.36</v>
      </c>
      <c r="R276" s="71" t="s">
        <v>160</v>
      </c>
      <c r="S276" s="71" t="s">
        <v>320</v>
      </c>
      <c r="T276" s="71" t="str">
        <f>Centrocampisti!K25</f>
        <v>2a fascia</v>
      </c>
      <c r="U276" s="71" t="s">
        <v>277</v>
      </c>
      <c r="V276" s="71">
        <v>2.0</v>
      </c>
      <c r="W276" s="71">
        <f t="shared" si="1"/>
        <v>90</v>
      </c>
    </row>
    <row r="277" ht="15.75" customHeight="1">
      <c r="A277" s="71" t="s">
        <v>563</v>
      </c>
      <c r="B277" s="71" t="s">
        <v>67</v>
      </c>
      <c r="C277" s="71">
        <v>26.0</v>
      </c>
      <c r="D277" s="71" t="s">
        <v>414</v>
      </c>
      <c r="E277" s="71" t="s">
        <v>1210</v>
      </c>
      <c r="F277" s="71" t="s">
        <v>143</v>
      </c>
      <c r="G277" s="71" t="s">
        <v>669</v>
      </c>
      <c r="H277" s="71">
        <v>12.0</v>
      </c>
      <c r="I277" s="71">
        <v>13.0</v>
      </c>
      <c r="J277" s="71">
        <v>44.0</v>
      </c>
      <c r="K277" s="72">
        <f>Centrocampisti!I26</f>
        <v>18</v>
      </c>
      <c r="L277" s="73">
        <f>Centrocampisti!AE26</f>
        <v>6.16</v>
      </c>
      <c r="M277" s="74">
        <f>Centrocampisti!B26</f>
        <v>29.2</v>
      </c>
      <c r="N277" s="71">
        <f>Centrocampisti!A26</f>
        <v>23</v>
      </c>
      <c r="O277" s="71" t="s">
        <v>68</v>
      </c>
      <c r="P277" s="71">
        <v>21.0</v>
      </c>
      <c r="Q277" s="71">
        <v>6.29</v>
      </c>
      <c r="R277" s="71" t="s">
        <v>160</v>
      </c>
      <c r="S277" s="71" t="s">
        <v>419</v>
      </c>
      <c r="T277" s="71" t="str">
        <f>Centrocampisti!K26</f>
        <v>2a fascia</v>
      </c>
      <c r="U277" s="71" t="s">
        <v>70</v>
      </c>
      <c r="V277" s="71">
        <v>2.0</v>
      </c>
      <c r="W277" s="71">
        <f t="shared" si="1"/>
        <v>75</v>
      </c>
    </row>
    <row r="278" ht="15.75" customHeight="1">
      <c r="A278" s="71" t="s">
        <v>1260</v>
      </c>
      <c r="B278" s="71" t="s">
        <v>67</v>
      </c>
      <c r="C278" s="71">
        <v>27.0</v>
      </c>
      <c r="D278" s="71" t="s">
        <v>423</v>
      </c>
      <c r="E278" s="71" t="s">
        <v>1210</v>
      </c>
      <c r="F278" s="71" t="s">
        <v>143</v>
      </c>
      <c r="G278" s="71" t="s">
        <v>669</v>
      </c>
      <c r="H278" s="71">
        <v>11.0</v>
      </c>
      <c r="I278" s="71">
        <v>10.0</v>
      </c>
      <c r="J278" s="71">
        <v>40.0</v>
      </c>
      <c r="K278" s="72">
        <f>Centrocampisti!I27</f>
        <v>17</v>
      </c>
      <c r="L278" s="73">
        <f>Centrocampisti!AE27</f>
        <v>6.59</v>
      </c>
      <c r="M278" s="74">
        <f>Centrocampisti!B27</f>
        <v>28.4</v>
      </c>
      <c r="N278" s="71">
        <f>Centrocampisti!A27</f>
        <v>24</v>
      </c>
      <c r="O278" s="71" t="s">
        <v>68</v>
      </c>
      <c r="P278" s="71">
        <v>28.0</v>
      </c>
      <c r="Q278" s="71">
        <v>6.59</v>
      </c>
      <c r="R278" s="71" t="s">
        <v>71</v>
      </c>
      <c r="S278" s="71" t="s">
        <v>419</v>
      </c>
      <c r="T278" s="71" t="str">
        <f>Centrocampisti!K27</f>
        <v>2a fascia</v>
      </c>
      <c r="U278" s="71" t="s">
        <v>294</v>
      </c>
      <c r="V278" s="71">
        <v>1.0</v>
      </c>
      <c r="W278" s="71">
        <f t="shared" si="1"/>
        <v>83</v>
      </c>
    </row>
    <row r="279" ht="15.75" customHeight="1">
      <c r="A279" s="71" t="s">
        <v>320</v>
      </c>
      <c r="B279" s="71" t="s">
        <v>67</v>
      </c>
      <c r="C279" s="71">
        <v>28.0</v>
      </c>
      <c r="D279" s="71" t="s">
        <v>429</v>
      </c>
      <c r="E279" s="71" t="s">
        <v>1205</v>
      </c>
      <c r="F279" s="71" t="s">
        <v>60</v>
      </c>
      <c r="G279" s="71" t="s">
        <v>669</v>
      </c>
      <c r="H279" s="71">
        <v>10.0</v>
      </c>
      <c r="I279" s="71">
        <v>10.0</v>
      </c>
      <c r="J279" s="71">
        <v>42.0</v>
      </c>
      <c r="K279" s="72">
        <f>Centrocampisti!I28</f>
        <v>17</v>
      </c>
      <c r="L279" s="73">
        <f>Centrocampisti!AE28</f>
        <v>6.53</v>
      </c>
      <c r="M279" s="74">
        <f>Centrocampisti!B28</f>
        <v>27.9</v>
      </c>
      <c r="N279" s="71">
        <f>Centrocampisti!A28</f>
        <v>25</v>
      </c>
      <c r="O279" s="71" t="s">
        <v>68</v>
      </c>
      <c r="P279" s="71">
        <v>29.0</v>
      </c>
      <c r="Q279" s="71">
        <v>6.53</v>
      </c>
      <c r="R279" s="71" t="s">
        <v>71</v>
      </c>
      <c r="S279" s="71" t="s">
        <v>434</v>
      </c>
      <c r="T279" s="71" t="str">
        <f>Centrocampisti!K28</f>
        <v>2a fascia</v>
      </c>
      <c r="U279" s="71" t="s">
        <v>70</v>
      </c>
      <c r="V279" s="71">
        <v>2.0</v>
      </c>
      <c r="W279" s="71">
        <f t="shared" si="1"/>
        <v>78</v>
      </c>
    </row>
    <row r="280" ht="15.75" customHeight="1">
      <c r="A280" s="71" t="s">
        <v>1265</v>
      </c>
      <c r="B280" s="71" t="s">
        <v>67</v>
      </c>
      <c r="C280" s="71">
        <v>29.0</v>
      </c>
      <c r="D280" s="71" t="s">
        <v>441</v>
      </c>
      <c r="E280" s="71" t="s">
        <v>1210</v>
      </c>
      <c r="F280" s="71" t="s">
        <v>143</v>
      </c>
      <c r="G280" s="71" t="s">
        <v>669</v>
      </c>
      <c r="H280" s="71">
        <v>12.0</v>
      </c>
      <c r="I280" s="71">
        <v>12.0</v>
      </c>
      <c r="J280" s="71">
        <v>46.0</v>
      </c>
      <c r="K280" s="72">
        <f>Centrocampisti!I29</f>
        <v>18</v>
      </c>
      <c r="L280" s="73">
        <f>Centrocampisti!AE29</f>
        <v>6.43</v>
      </c>
      <c r="M280" s="74">
        <f>Centrocampisti!B29</f>
        <v>27.4</v>
      </c>
      <c r="N280" s="71">
        <f>Centrocampisti!A29</f>
        <v>26</v>
      </c>
      <c r="O280" s="71" t="s">
        <v>68</v>
      </c>
      <c r="P280" s="71">
        <v>30.0</v>
      </c>
      <c r="Q280" s="71">
        <v>6.43</v>
      </c>
      <c r="R280" s="71" t="s">
        <v>71</v>
      </c>
      <c r="S280" s="71" t="s">
        <v>419</v>
      </c>
      <c r="T280" s="71" t="str">
        <f>Centrocampisti!K29</f>
        <v>2a fascia</v>
      </c>
      <c r="U280" s="71" t="s">
        <v>70</v>
      </c>
      <c r="V280" s="71">
        <v>2.0</v>
      </c>
      <c r="W280" s="71">
        <f t="shared" si="1"/>
        <v>69</v>
      </c>
    </row>
    <row r="281" ht="15.75" customHeight="1">
      <c r="A281" s="71" t="s">
        <v>772</v>
      </c>
      <c r="B281" s="71" t="s">
        <v>67</v>
      </c>
      <c r="C281" s="71">
        <v>30.0</v>
      </c>
      <c r="D281" s="71" t="s">
        <v>448</v>
      </c>
      <c r="E281" s="71" t="s">
        <v>1215</v>
      </c>
      <c r="F281" s="71" t="s">
        <v>133</v>
      </c>
      <c r="G281" s="71" t="s">
        <v>669</v>
      </c>
      <c r="H281" s="71">
        <v>12.0</v>
      </c>
      <c r="I281" s="71">
        <v>11.0</v>
      </c>
      <c r="J281" s="71">
        <v>31.0</v>
      </c>
      <c r="K281" s="72">
        <f>Centrocampisti!I30</f>
        <v>14</v>
      </c>
      <c r="L281" s="73">
        <f>Centrocampisti!AE30</f>
        <v>6.66</v>
      </c>
      <c r="M281" s="74">
        <f>Centrocampisti!B30</f>
        <v>27.3</v>
      </c>
      <c r="N281" s="71">
        <f>Centrocampisti!A30</f>
        <v>27</v>
      </c>
      <c r="O281" s="71" t="s">
        <v>68</v>
      </c>
      <c r="P281" s="71">
        <v>28.0</v>
      </c>
      <c r="Q281" s="71">
        <v>6.66</v>
      </c>
      <c r="R281" s="71" t="s">
        <v>71</v>
      </c>
      <c r="S281" s="71" t="s">
        <v>254</v>
      </c>
      <c r="T281" s="71" t="str">
        <f>Centrocampisti!K30</f>
        <v>3a fascia</v>
      </c>
      <c r="U281" s="71" t="s">
        <v>148</v>
      </c>
      <c r="V281" s="71">
        <v>1.0</v>
      </c>
      <c r="W281" s="71">
        <f t="shared" si="1"/>
        <v>107</v>
      </c>
    </row>
    <row r="282" ht="15.75" customHeight="1">
      <c r="A282" s="71" t="s">
        <v>1272</v>
      </c>
      <c r="B282" s="71" t="s">
        <v>67</v>
      </c>
      <c r="C282" s="71">
        <v>31.0</v>
      </c>
      <c r="D282" s="71" t="s">
        <v>455</v>
      </c>
      <c r="E282" s="71" t="s">
        <v>1217</v>
      </c>
      <c r="F282" s="71" t="s">
        <v>191</v>
      </c>
      <c r="G282" s="71" t="s">
        <v>669</v>
      </c>
      <c r="H282" s="71">
        <v>11.0</v>
      </c>
      <c r="I282" s="71">
        <v>10.0</v>
      </c>
      <c r="J282" s="71">
        <v>41.0</v>
      </c>
      <c r="K282" s="72">
        <f>Centrocampisti!I31</f>
        <v>17</v>
      </c>
      <c r="L282" s="73">
        <f>Centrocampisti!AE31</f>
        <v>6.48</v>
      </c>
      <c r="M282" s="74">
        <f>Centrocampisti!B31</f>
        <v>26.9</v>
      </c>
      <c r="N282" s="71">
        <f>Centrocampisti!A31</f>
        <v>28</v>
      </c>
      <c r="O282" s="71" t="s">
        <v>68</v>
      </c>
      <c r="P282" s="71">
        <v>18.0</v>
      </c>
      <c r="Q282" s="71">
        <v>6.86</v>
      </c>
      <c r="R282" s="71" t="s">
        <v>71</v>
      </c>
      <c r="S282" s="71" t="s">
        <v>320</v>
      </c>
      <c r="T282" s="71" t="str">
        <f>Centrocampisti!K31</f>
        <v>2a fascia</v>
      </c>
      <c r="U282" s="71" t="s">
        <v>70</v>
      </c>
      <c r="V282" s="71">
        <v>2.0</v>
      </c>
      <c r="W282" s="71">
        <f t="shared" si="1"/>
        <v>81</v>
      </c>
    </row>
    <row r="283" ht="15.75" customHeight="1">
      <c r="A283" s="71" t="s">
        <v>776</v>
      </c>
      <c r="B283" s="71" t="s">
        <v>67</v>
      </c>
      <c r="C283" s="71">
        <v>32.0</v>
      </c>
      <c r="D283" s="71" t="s">
        <v>464</v>
      </c>
      <c r="E283" s="71" t="s">
        <v>1207</v>
      </c>
      <c r="F283" s="71" t="s">
        <v>93</v>
      </c>
      <c r="G283" s="71" t="s">
        <v>669</v>
      </c>
      <c r="H283" s="71">
        <v>8.0</v>
      </c>
      <c r="I283" s="71">
        <v>9.0</v>
      </c>
      <c r="J283" s="71">
        <v>33.0</v>
      </c>
      <c r="K283" s="72">
        <f>Centrocampisti!I32</f>
        <v>15</v>
      </c>
      <c r="L283" s="73">
        <f>Centrocampisti!AE32</f>
        <v>6.19</v>
      </c>
      <c r="M283" s="74">
        <f>Centrocampisti!B32</f>
        <v>26.9</v>
      </c>
      <c r="N283" s="71">
        <f>Centrocampisti!A32</f>
        <v>28</v>
      </c>
      <c r="O283" s="71" t="s">
        <v>226</v>
      </c>
      <c r="P283" s="71">
        <v>36.0</v>
      </c>
      <c r="Q283" s="71">
        <v>6.19</v>
      </c>
      <c r="R283" s="71" t="s">
        <v>160</v>
      </c>
      <c r="S283" s="71" t="s">
        <v>363</v>
      </c>
      <c r="T283" s="71" t="str">
        <f>Centrocampisti!K32</f>
        <v>2a fascia</v>
      </c>
      <c r="U283" s="71" t="s">
        <v>277</v>
      </c>
      <c r="V283" s="71">
        <v>2.0</v>
      </c>
      <c r="W283" s="71">
        <f t="shared" si="1"/>
        <v>102</v>
      </c>
    </row>
    <row r="284" ht="15.75" customHeight="1">
      <c r="A284" s="71" t="s">
        <v>705</v>
      </c>
      <c r="B284" s="71" t="s">
        <v>67</v>
      </c>
      <c r="C284" s="71">
        <v>33.0</v>
      </c>
      <c r="D284" s="71" t="s">
        <v>474</v>
      </c>
      <c r="E284" s="71" t="s">
        <v>1219</v>
      </c>
      <c r="F284" s="71" t="s">
        <v>195</v>
      </c>
      <c r="G284" s="71" t="s">
        <v>669</v>
      </c>
      <c r="H284" s="71">
        <v>4.0</v>
      </c>
      <c r="I284" s="71">
        <v>4.0</v>
      </c>
      <c r="J284" s="71">
        <v>12.0</v>
      </c>
      <c r="K284" s="72">
        <f>Centrocampisti!I33</f>
        <v>8</v>
      </c>
      <c r="L284" s="73">
        <f>Centrocampisti!AE33</f>
        <v>6.41</v>
      </c>
      <c r="M284" s="74">
        <f>Centrocampisti!B33</f>
        <v>26.5</v>
      </c>
      <c r="N284" s="71">
        <f>Centrocampisti!A33</f>
        <v>30</v>
      </c>
      <c r="O284" s="71" t="s">
        <v>332</v>
      </c>
      <c r="P284" s="71">
        <v>27.0</v>
      </c>
      <c r="Q284" s="71">
        <v>6.41</v>
      </c>
      <c r="R284" s="71" t="s">
        <v>77</v>
      </c>
      <c r="S284" s="71" t="s">
        <v>320</v>
      </c>
      <c r="T284" s="71" t="str">
        <f>Centrocampisti!K33</f>
        <v>3a fascia</v>
      </c>
      <c r="U284" s="71" t="s">
        <v>477</v>
      </c>
      <c r="V284" s="71">
        <v>0.0</v>
      </c>
      <c r="W284" s="71">
        <f t="shared" si="1"/>
        <v>282</v>
      </c>
    </row>
    <row r="285" ht="15.75" customHeight="1">
      <c r="A285" s="71" t="s">
        <v>397</v>
      </c>
      <c r="B285" s="71" t="s">
        <v>67</v>
      </c>
      <c r="C285" s="71">
        <v>34.0</v>
      </c>
      <c r="D285" s="71" t="s">
        <v>484</v>
      </c>
      <c r="E285" s="71" t="s">
        <v>1243</v>
      </c>
      <c r="F285" s="71" t="s">
        <v>253</v>
      </c>
      <c r="G285" s="71" t="s">
        <v>669</v>
      </c>
      <c r="H285" s="71">
        <v>10.0</v>
      </c>
      <c r="I285" s="71">
        <v>10.0</v>
      </c>
      <c r="J285" s="71">
        <v>39.0</v>
      </c>
      <c r="K285" s="72">
        <f>Centrocampisti!I34</f>
        <v>16</v>
      </c>
      <c r="L285" s="73">
        <f>Centrocampisti!AE34</f>
        <v>6.48</v>
      </c>
      <c r="M285" s="74">
        <f>Centrocampisti!B34</f>
        <v>26.4</v>
      </c>
      <c r="N285" s="71">
        <f>Centrocampisti!A34</f>
        <v>31</v>
      </c>
      <c r="O285" s="71" t="s">
        <v>68</v>
      </c>
      <c r="P285" s="71">
        <v>31.0</v>
      </c>
      <c r="Q285" s="71">
        <v>6.48</v>
      </c>
      <c r="R285" s="71" t="s">
        <v>71</v>
      </c>
      <c r="S285" s="71" t="s">
        <v>216</v>
      </c>
      <c r="T285" s="71" t="str">
        <f>Centrocampisti!K34</f>
        <v>2a fascia</v>
      </c>
      <c r="U285" s="71" t="s">
        <v>70</v>
      </c>
      <c r="V285" s="71">
        <v>2.0</v>
      </c>
      <c r="W285" s="71">
        <f t="shared" si="1"/>
        <v>88</v>
      </c>
    </row>
    <row r="286" ht="15.75" customHeight="1">
      <c r="A286" s="71" t="s">
        <v>787</v>
      </c>
      <c r="B286" s="71" t="s">
        <v>67</v>
      </c>
      <c r="C286" s="71">
        <v>35.0</v>
      </c>
      <c r="D286" s="71" t="s">
        <v>490</v>
      </c>
      <c r="E286" s="71" t="s">
        <v>1205</v>
      </c>
      <c r="F286" s="71" t="s">
        <v>60</v>
      </c>
      <c r="G286" s="71" t="s">
        <v>669</v>
      </c>
      <c r="H286" s="71">
        <v>19.0</v>
      </c>
      <c r="I286" s="71">
        <v>20.0</v>
      </c>
      <c r="J286" s="71">
        <v>100.0</v>
      </c>
      <c r="K286" s="72">
        <f>Centrocampisti!I35</f>
        <v>29</v>
      </c>
      <c r="L286" s="73">
        <f>Centrocampisti!AE35</f>
        <v>5.5</v>
      </c>
      <c r="M286" s="74">
        <f>Centrocampisti!B35</f>
        <v>26.1</v>
      </c>
      <c r="N286" s="71">
        <f>Centrocampisti!A35</f>
        <v>32</v>
      </c>
      <c r="O286" s="71" t="s">
        <v>68</v>
      </c>
      <c r="P286" s="71">
        <v>0.0</v>
      </c>
      <c r="R286" s="71" t="s">
        <v>71</v>
      </c>
      <c r="S286" s="71" t="s">
        <v>434</v>
      </c>
      <c r="T286" s="71" t="str">
        <f>Centrocampisti!K35</f>
        <v>2a fascia</v>
      </c>
      <c r="U286" s="71" t="s">
        <v>100</v>
      </c>
      <c r="V286" s="71">
        <v>2.0</v>
      </c>
      <c r="W286" s="71">
        <f t="shared" si="1"/>
        <v>23</v>
      </c>
    </row>
    <row r="287" ht="15.75" customHeight="1">
      <c r="A287" s="71" t="s">
        <v>740</v>
      </c>
      <c r="B287" s="71" t="s">
        <v>67</v>
      </c>
      <c r="C287" s="71">
        <v>36.0</v>
      </c>
      <c r="D287" s="71" t="s">
        <v>497</v>
      </c>
      <c r="E287" s="71" t="s">
        <v>1213</v>
      </c>
      <c r="F287" s="71" t="s">
        <v>175</v>
      </c>
      <c r="G287" s="71" t="s">
        <v>669</v>
      </c>
      <c r="H287" s="71">
        <v>10.0</v>
      </c>
      <c r="I287" s="71">
        <v>11.0</v>
      </c>
      <c r="J287" s="71">
        <v>35.0</v>
      </c>
      <c r="K287" s="72">
        <f>Centrocampisti!I36</f>
        <v>15</v>
      </c>
      <c r="L287" s="73">
        <f>Centrocampisti!AE36</f>
        <v>6.41</v>
      </c>
      <c r="M287" s="74">
        <f>Centrocampisti!B36</f>
        <v>26.1</v>
      </c>
      <c r="N287" s="71">
        <f>Centrocampisti!A36</f>
        <v>32</v>
      </c>
      <c r="O287" s="71" t="s">
        <v>226</v>
      </c>
      <c r="P287" s="71">
        <v>35.0</v>
      </c>
      <c r="Q287" s="71">
        <v>6.41</v>
      </c>
      <c r="R287" s="71" t="s">
        <v>71</v>
      </c>
      <c r="S287" s="71" t="s">
        <v>216</v>
      </c>
      <c r="T287" s="71" t="str">
        <f>Centrocampisti!K36</f>
        <v>2a fascia</v>
      </c>
      <c r="U287" s="71" t="s">
        <v>277</v>
      </c>
      <c r="V287" s="71">
        <v>2.0</v>
      </c>
      <c r="W287" s="71">
        <f t="shared" si="1"/>
        <v>97</v>
      </c>
    </row>
    <row r="288" ht="15.75" customHeight="1">
      <c r="A288" s="71" t="s">
        <v>795</v>
      </c>
      <c r="B288" s="71" t="s">
        <v>67</v>
      </c>
      <c r="C288" s="71">
        <v>37.0</v>
      </c>
      <c r="D288" s="71" t="s">
        <v>504</v>
      </c>
      <c r="E288" s="71" t="s">
        <v>1219</v>
      </c>
      <c r="F288" s="71" t="s">
        <v>195</v>
      </c>
      <c r="G288" s="71" t="s">
        <v>669</v>
      </c>
      <c r="H288" s="71">
        <v>13.0</v>
      </c>
      <c r="I288" s="71">
        <v>13.0</v>
      </c>
      <c r="J288" s="71">
        <v>53.0</v>
      </c>
      <c r="K288" s="72">
        <f>Centrocampisti!I37</f>
        <v>20</v>
      </c>
      <c r="L288" s="73">
        <f>Centrocampisti!AE37</f>
        <v>6.22</v>
      </c>
      <c r="M288" s="74">
        <f>Centrocampisti!B37</f>
        <v>25.8</v>
      </c>
      <c r="N288" s="71">
        <f>Centrocampisti!A37</f>
        <v>34</v>
      </c>
      <c r="O288" s="71" t="s">
        <v>68</v>
      </c>
      <c r="P288" s="71">
        <v>17.0</v>
      </c>
      <c r="Q288" s="71">
        <v>6.56</v>
      </c>
      <c r="R288" s="71" t="s">
        <v>71</v>
      </c>
      <c r="S288" s="71" t="s">
        <v>320</v>
      </c>
      <c r="T288" s="71" t="str">
        <f>Centrocampisti!K37</f>
        <v>2a fascia</v>
      </c>
      <c r="U288" s="71" t="s">
        <v>70</v>
      </c>
      <c r="V288" s="71">
        <v>2.0</v>
      </c>
      <c r="W288" s="71">
        <f t="shared" si="1"/>
        <v>50</v>
      </c>
    </row>
    <row r="289" ht="15.75" customHeight="1">
      <c r="A289" s="71" t="s">
        <v>1285</v>
      </c>
      <c r="B289" s="71" t="s">
        <v>67</v>
      </c>
      <c r="C289" s="71">
        <v>38.0</v>
      </c>
      <c r="D289" s="71" t="s">
        <v>511</v>
      </c>
      <c r="E289" s="71" t="s">
        <v>1215</v>
      </c>
      <c r="F289" s="71" t="s">
        <v>133</v>
      </c>
      <c r="G289" s="71" t="s">
        <v>669</v>
      </c>
      <c r="H289" s="71">
        <v>10.0</v>
      </c>
      <c r="I289" s="71">
        <v>10.0</v>
      </c>
      <c r="J289" s="71">
        <v>34.0</v>
      </c>
      <c r="K289" s="72">
        <f>Centrocampisti!I38</f>
        <v>15</v>
      </c>
      <c r="L289" s="73">
        <f>Centrocampisti!AE38</f>
        <v>6.47</v>
      </c>
      <c r="M289" s="74">
        <f>Centrocampisti!B38</f>
        <v>25</v>
      </c>
      <c r="N289" s="71">
        <f>Centrocampisti!A38</f>
        <v>35</v>
      </c>
      <c r="O289" s="71" t="s">
        <v>226</v>
      </c>
      <c r="P289" s="71">
        <v>36.0</v>
      </c>
      <c r="Q289" s="71">
        <v>6.47</v>
      </c>
      <c r="R289" s="71" t="s">
        <v>71</v>
      </c>
      <c r="S289" s="71" t="s">
        <v>254</v>
      </c>
      <c r="T289" s="71" t="str">
        <f>Centrocampisti!K38</f>
        <v>2a fascia</v>
      </c>
      <c r="U289" s="71" t="s">
        <v>277</v>
      </c>
      <c r="V289" s="71">
        <v>2.0</v>
      </c>
      <c r="W289" s="71">
        <f t="shared" si="1"/>
        <v>100</v>
      </c>
    </row>
    <row r="290" ht="15.75" customHeight="1">
      <c r="A290" s="71" t="s">
        <v>1289</v>
      </c>
      <c r="B290" s="71" t="s">
        <v>67</v>
      </c>
      <c r="C290" s="71">
        <v>39.0</v>
      </c>
      <c r="D290" s="71" t="s">
        <v>517</v>
      </c>
      <c r="E290" s="71" t="s">
        <v>1228</v>
      </c>
      <c r="F290" s="71" t="s">
        <v>212</v>
      </c>
      <c r="G290" s="71" t="s">
        <v>669</v>
      </c>
      <c r="H290" s="71">
        <v>9.0</v>
      </c>
      <c r="I290" s="71">
        <v>8.0</v>
      </c>
      <c r="J290" s="71">
        <v>23.0</v>
      </c>
      <c r="K290" s="72">
        <f>Centrocampisti!I39</f>
        <v>12</v>
      </c>
      <c r="L290" s="73">
        <f>Centrocampisti!AE39</f>
        <v>6.62</v>
      </c>
      <c r="M290" s="74">
        <f>Centrocampisti!B39</f>
        <v>24.7</v>
      </c>
      <c r="N290" s="71">
        <f>Centrocampisti!A39</f>
        <v>36</v>
      </c>
      <c r="O290" s="71" t="s">
        <v>68</v>
      </c>
      <c r="P290" s="71">
        <v>34.0</v>
      </c>
      <c r="Q290" s="71">
        <v>6.62</v>
      </c>
      <c r="R290" s="71" t="s">
        <v>71</v>
      </c>
      <c r="S290" s="71" t="s">
        <v>275</v>
      </c>
      <c r="T290" s="71" t="str">
        <f>Centrocampisti!K39</f>
        <v>3a fascia</v>
      </c>
      <c r="U290" s="71" t="s">
        <v>100</v>
      </c>
      <c r="V290" s="71">
        <v>2.0</v>
      </c>
      <c r="W290" s="71">
        <f t="shared" si="1"/>
        <v>150</v>
      </c>
    </row>
    <row r="291" ht="15.75" customHeight="1">
      <c r="A291" s="71" t="s">
        <v>1293</v>
      </c>
      <c r="B291" s="71" t="s">
        <v>67</v>
      </c>
      <c r="C291" s="71">
        <v>40.0</v>
      </c>
      <c r="D291" s="71" t="s">
        <v>525</v>
      </c>
      <c r="E291" s="71" t="s">
        <v>1219</v>
      </c>
      <c r="F291" s="71" t="s">
        <v>195</v>
      </c>
      <c r="G291" s="71" t="s">
        <v>669</v>
      </c>
      <c r="H291" s="71">
        <v>9.0</v>
      </c>
      <c r="I291" s="71">
        <v>9.0</v>
      </c>
      <c r="J291" s="71">
        <v>22.0</v>
      </c>
      <c r="K291" s="72">
        <f>Centrocampisti!I40</f>
        <v>12</v>
      </c>
      <c r="L291" s="73">
        <f>Centrocampisti!AE40</f>
        <v>6.63</v>
      </c>
      <c r="M291" s="74">
        <f>Centrocampisti!B40</f>
        <v>24.6</v>
      </c>
      <c r="N291" s="71">
        <f>Centrocampisti!A40</f>
        <v>37</v>
      </c>
      <c r="O291" s="71" t="s">
        <v>226</v>
      </c>
      <c r="P291" s="71">
        <v>27.0</v>
      </c>
      <c r="Q291" s="71">
        <v>6.63</v>
      </c>
      <c r="R291" s="71" t="s">
        <v>71</v>
      </c>
      <c r="S291" s="71" t="s">
        <v>320</v>
      </c>
      <c r="T291" s="71" t="str">
        <f>Centrocampisti!K40</f>
        <v>3a fascia</v>
      </c>
      <c r="U291" s="71" t="s">
        <v>277</v>
      </c>
      <c r="V291" s="71">
        <v>2.0</v>
      </c>
      <c r="W291" s="71">
        <f t="shared" si="1"/>
        <v>159</v>
      </c>
    </row>
    <row r="292" ht="15.75" customHeight="1">
      <c r="A292" s="71" t="s">
        <v>1297</v>
      </c>
      <c r="B292" s="71" t="s">
        <v>67</v>
      </c>
      <c r="C292" s="71">
        <v>41.0</v>
      </c>
      <c r="D292" s="71" t="s">
        <v>530</v>
      </c>
      <c r="E292" s="71" t="s">
        <v>1219</v>
      </c>
      <c r="F292" s="71" t="s">
        <v>195</v>
      </c>
      <c r="G292" s="71" t="s">
        <v>669</v>
      </c>
      <c r="H292" s="71">
        <v>13.0</v>
      </c>
      <c r="I292" s="71">
        <v>12.0</v>
      </c>
      <c r="J292" s="71">
        <v>40.0</v>
      </c>
      <c r="K292" s="72">
        <f>Centrocampisti!I41</f>
        <v>17</v>
      </c>
      <c r="L292" s="73">
        <f>Centrocampisti!AE41</f>
        <v>6.34</v>
      </c>
      <c r="M292" s="74">
        <f>Centrocampisti!B41</f>
        <v>24.5</v>
      </c>
      <c r="N292" s="71">
        <f>Centrocampisti!A41</f>
        <v>38</v>
      </c>
      <c r="O292" s="71" t="s">
        <v>68</v>
      </c>
      <c r="P292" s="71">
        <v>32.0</v>
      </c>
      <c r="Q292" s="71">
        <v>6.34</v>
      </c>
      <c r="R292" s="71" t="s">
        <v>71</v>
      </c>
      <c r="S292" s="71" t="s">
        <v>320</v>
      </c>
      <c r="T292" s="71" t="str">
        <f>Centrocampisti!K41</f>
        <v>2a fascia</v>
      </c>
      <c r="U292" s="71" t="s">
        <v>294</v>
      </c>
      <c r="V292" s="71">
        <v>1.0</v>
      </c>
      <c r="W292" s="71">
        <f t="shared" si="1"/>
        <v>83</v>
      </c>
    </row>
    <row r="293" ht="15.75" customHeight="1">
      <c r="A293" s="71" t="s">
        <v>799</v>
      </c>
      <c r="B293" s="71" t="s">
        <v>67</v>
      </c>
      <c r="C293" s="71">
        <v>42.0</v>
      </c>
      <c r="D293" s="71" t="s">
        <v>537</v>
      </c>
      <c r="E293" s="71" t="s">
        <v>1205</v>
      </c>
      <c r="F293" s="71" t="s">
        <v>60</v>
      </c>
      <c r="G293" s="71" t="s">
        <v>669</v>
      </c>
      <c r="H293" s="71">
        <v>10.0</v>
      </c>
      <c r="I293" s="71">
        <v>9.0</v>
      </c>
      <c r="J293" s="71">
        <v>20.0</v>
      </c>
      <c r="K293" s="72">
        <f>Centrocampisti!I42</f>
        <v>11</v>
      </c>
      <c r="L293" s="73">
        <f>Centrocampisti!AE42</f>
        <v>6.54</v>
      </c>
      <c r="M293" s="74">
        <f>Centrocampisti!B42</f>
        <v>24.5</v>
      </c>
      <c r="N293" s="71">
        <f>Centrocampisti!A42</f>
        <v>38</v>
      </c>
      <c r="O293" s="71" t="s">
        <v>68</v>
      </c>
      <c r="P293" s="71">
        <v>24.0</v>
      </c>
      <c r="Q293" s="71">
        <v>6.58</v>
      </c>
      <c r="R293" s="71" t="s">
        <v>71</v>
      </c>
      <c r="S293" s="71" t="s">
        <v>434</v>
      </c>
      <c r="T293" s="71" t="str">
        <f>Centrocampisti!K42</f>
        <v>3a fascia</v>
      </c>
      <c r="U293" s="71" t="s">
        <v>146</v>
      </c>
      <c r="V293" s="71">
        <v>0.0</v>
      </c>
      <c r="W293" s="71">
        <f t="shared" si="1"/>
        <v>173</v>
      </c>
    </row>
    <row r="294" ht="15.75" customHeight="1">
      <c r="A294" s="71" t="s">
        <v>791</v>
      </c>
      <c r="B294" s="71" t="s">
        <v>67</v>
      </c>
      <c r="C294" s="71">
        <v>43.0</v>
      </c>
      <c r="D294" s="71" t="s">
        <v>541</v>
      </c>
      <c r="E294" s="71" t="s">
        <v>1243</v>
      </c>
      <c r="F294" s="71" t="s">
        <v>253</v>
      </c>
      <c r="G294" s="71" t="s">
        <v>669</v>
      </c>
      <c r="H294" s="71">
        <v>9.0</v>
      </c>
      <c r="I294" s="71">
        <v>8.0</v>
      </c>
      <c r="J294" s="71">
        <v>20.0</v>
      </c>
      <c r="K294" s="72">
        <f>Centrocampisti!I43</f>
        <v>11</v>
      </c>
      <c r="L294" s="73">
        <f>Centrocampisti!AE43</f>
        <v>6.63</v>
      </c>
      <c r="M294" s="74">
        <f>Centrocampisti!B43</f>
        <v>24.1</v>
      </c>
      <c r="N294" s="71">
        <f>Centrocampisti!A43</f>
        <v>40</v>
      </c>
      <c r="O294" s="71" t="s">
        <v>68</v>
      </c>
      <c r="P294" s="71">
        <v>35.0</v>
      </c>
      <c r="Q294" s="71">
        <v>6.63</v>
      </c>
      <c r="R294" s="71" t="s">
        <v>71</v>
      </c>
      <c r="S294" s="71" t="s">
        <v>216</v>
      </c>
      <c r="T294" s="71" t="str">
        <f>Centrocampisti!K43</f>
        <v>3a fascia</v>
      </c>
      <c r="U294" s="71" t="s">
        <v>457</v>
      </c>
      <c r="V294" s="71">
        <v>0.0</v>
      </c>
      <c r="W294" s="71">
        <f t="shared" si="1"/>
        <v>173</v>
      </c>
    </row>
    <row r="295" ht="15.75" customHeight="1">
      <c r="A295" s="71" t="s">
        <v>1305</v>
      </c>
      <c r="B295" s="71" t="s">
        <v>67</v>
      </c>
      <c r="C295" s="71">
        <v>44.0</v>
      </c>
      <c r="D295" s="71" t="s">
        <v>546</v>
      </c>
      <c r="E295" s="71" t="s">
        <v>1219</v>
      </c>
      <c r="F295" s="71" t="s">
        <v>195</v>
      </c>
      <c r="G295" s="71" t="s">
        <v>669</v>
      </c>
      <c r="H295" s="71">
        <v>7.0</v>
      </c>
      <c r="I295" s="71">
        <v>10.0</v>
      </c>
      <c r="J295" s="71">
        <v>75.0</v>
      </c>
      <c r="K295" s="72">
        <f>Centrocampisti!I44</f>
        <v>24</v>
      </c>
      <c r="L295" s="73">
        <f>Centrocampisti!AE44</f>
        <v>5.72</v>
      </c>
      <c r="M295" s="74">
        <f>Centrocampisti!B44</f>
        <v>23.4</v>
      </c>
      <c r="N295" s="71">
        <f>Centrocampisti!A44</f>
        <v>41</v>
      </c>
      <c r="O295" s="71" t="s">
        <v>68</v>
      </c>
      <c r="P295" s="71">
        <v>14.0</v>
      </c>
      <c r="Q295" s="71">
        <v>5.89</v>
      </c>
      <c r="R295" s="71" t="s">
        <v>71</v>
      </c>
      <c r="S295" s="71" t="s">
        <v>320</v>
      </c>
      <c r="T295" s="71" t="str">
        <f>Centrocampisti!K44</f>
        <v>2a fascia</v>
      </c>
      <c r="U295" s="71" t="s">
        <v>100</v>
      </c>
      <c r="V295" s="71">
        <v>2.0</v>
      </c>
      <c r="W295" s="71">
        <f t="shared" si="1"/>
        <v>38</v>
      </c>
    </row>
    <row r="296" ht="15.75" customHeight="1">
      <c r="A296" s="71" t="s">
        <v>784</v>
      </c>
      <c r="B296" s="71" t="s">
        <v>67</v>
      </c>
      <c r="C296" s="71">
        <v>45.0</v>
      </c>
      <c r="D296" s="71" t="s">
        <v>551</v>
      </c>
      <c r="E296" s="71" t="s">
        <v>1210</v>
      </c>
      <c r="F296" s="71" t="s">
        <v>143</v>
      </c>
      <c r="G296" s="71" t="s">
        <v>669</v>
      </c>
      <c r="H296" s="71">
        <v>7.0</v>
      </c>
      <c r="I296" s="71">
        <v>7.0</v>
      </c>
      <c r="J296" s="71">
        <v>30.0</v>
      </c>
      <c r="K296" s="72">
        <f>Centrocampisti!I45</f>
        <v>14</v>
      </c>
      <c r="L296" s="73">
        <f>Centrocampisti!AE45</f>
        <v>6.31</v>
      </c>
      <c r="M296" s="74">
        <f>Centrocampisti!B45</f>
        <v>23.3</v>
      </c>
      <c r="N296" s="71">
        <f>Centrocampisti!A45</f>
        <v>42</v>
      </c>
      <c r="O296" s="71" t="s">
        <v>226</v>
      </c>
      <c r="P296" s="71">
        <v>32.0</v>
      </c>
      <c r="Q296" s="71">
        <v>6.31</v>
      </c>
      <c r="R296" s="71" t="s">
        <v>71</v>
      </c>
      <c r="S296" s="71" t="s">
        <v>419</v>
      </c>
      <c r="T296" s="71" t="str">
        <f>Centrocampisti!K45</f>
        <v>3a fascia</v>
      </c>
      <c r="U296" s="71" t="s">
        <v>300</v>
      </c>
      <c r="V296" s="71">
        <v>2.0</v>
      </c>
      <c r="W296" s="71">
        <f t="shared" si="1"/>
        <v>111</v>
      </c>
    </row>
    <row r="297" ht="15.75" customHeight="1">
      <c r="A297" s="71" t="s">
        <v>419</v>
      </c>
      <c r="B297" s="71" t="s">
        <v>67</v>
      </c>
      <c r="C297" s="71">
        <v>46.0</v>
      </c>
      <c r="D297" s="71" t="s">
        <v>560</v>
      </c>
      <c r="E297" s="71" t="s">
        <v>1245</v>
      </c>
      <c r="F297" s="71" t="s">
        <v>261</v>
      </c>
      <c r="G297" s="71" t="s">
        <v>669</v>
      </c>
      <c r="H297" s="71">
        <v>7.0</v>
      </c>
      <c r="I297" s="71">
        <v>8.0</v>
      </c>
      <c r="J297" s="71">
        <v>27.0</v>
      </c>
      <c r="K297" s="72">
        <f>Centrocampisti!I46</f>
        <v>13</v>
      </c>
      <c r="L297" s="73">
        <f>Centrocampisti!AE46</f>
        <v>5.5</v>
      </c>
      <c r="M297" s="74">
        <f>Centrocampisti!B46</f>
        <v>23.2</v>
      </c>
      <c r="N297" s="71">
        <f>Centrocampisti!A46</f>
        <v>43</v>
      </c>
      <c r="O297" s="71" t="s">
        <v>68</v>
      </c>
      <c r="P297" s="71">
        <v>0.0</v>
      </c>
      <c r="R297" s="71" t="s">
        <v>84</v>
      </c>
      <c r="S297" s="71" t="s">
        <v>563</v>
      </c>
      <c r="T297" s="71" t="str">
        <f>Centrocampisti!K46</f>
        <v>3a fascia</v>
      </c>
      <c r="U297" s="71" t="s">
        <v>100</v>
      </c>
      <c r="V297" s="71">
        <v>2.0</v>
      </c>
      <c r="W297" s="71">
        <f t="shared" si="1"/>
        <v>123</v>
      </c>
    </row>
    <row r="298" ht="15.75" customHeight="1">
      <c r="A298" s="71" t="s">
        <v>1311</v>
      </c>
      <c r="B298" s="71" t="s">
        <v>67</v>
      </c>
      <c r="C298" s="71">
        <v>47.0</v>
      </c>
      <c r="D298" s="71" t="s">
        <v>566</v>
      </c>
      <c r="E298" s="71" t="s">
        <v>1228</v>
      </c>
      <c r="F298" s="71" t="s">
        <v>212</v>
      </c>
      <c r="G298" s="71" t="s">
        <v>669</v>
      </c>
      <c r="H298" s="71">
        <v>10.0</v>
      </c>
      <c r="I298" s="71">
        <v>9.0</v>
      </c>
      <c r="J298" s="71">
        <v>27.0</v>
      </c>
      <c r="K298" s="72">
        <f>Centrocampisti!I47</f>
        <v>13</v>
      </c>
      <c r="L298" s="73">
        <f>Centrocampisti!AE47</f>
        <v>6.45</v>
      </c>
      <c r="M298" s="74">
        <f>Centrocampisti!B47</f>
        <v>23</v>
      </c>
      <c r="N298" s="71">
        <f>Centrocampisti!A47</f>
        <v>44</v>
      </c>
      <c r="O298" s="71" t="s">
        <v>68</v>
      </c>
      <c r="P298" s="71">
        <v>32.0</v>
      </c>
      <c r="Q298" s="71">
        <v>6.45</v>
      </c>
      <c r="R298" s="71" t="s">
        <v>71</v>
      </c>
      <c r="S298" s="71" t="s">
        <v>275</v>
      </c>
      <c r="T298" s="71" t="str">
        <f>Centrocampisti!K47</f>
        <v>3a fascia</v>
      </c>
      <c r="U298" s="71" t="s">
        <v>242</v>
      </c>
      <c r="V298" s="71">
        <v>1.0</v>
      </c>
      <c r="W298" s="71">
        <f t="shared" si="1"/>
        <v>123</v>
      </c>
    </row>
    <row r="299" ht="15.75" customHeight="1">
      <c r="A299" s="71" t="s">
        <v>860</v>
      </c>
      <c r="B299" s="71" t="s">
        <v>67</v>
      </c>
      <c r="C299" s="71">
        <v>48.0</v>
      </c>
      <c r="D299" s="71" t="s">
        <v>573</v>
      </c>
      <c r="E299" s="71" t="s">
        <v>1241</v>
      </c>
      <c r="F299" s="71" t="s">
        <v>177</v>
      </c>
      <c r="G299" s="71" t="s">
        <v>669</v>
      </c>
      <c r="H299" s="71">
        <v>11.0</v>
      </c>
      <c r="I299" s="71">
        <v>11.0</v>
      </c>
      <c r="J299" s="71">
        <v>28.0</v>
      </c>
      <c r="K299" s="72">
        <f>Centrocampisti!I48</f>
        <v>13</v>
      </c>
      <c r="L299" s="73">
        <f>Centrocampisti!AE48</f>
        <v>6.1</v>
      </c>
      <c r="M299" s="74">
        <f>Centrocampisti!B48</f>
        <v>22.8</v>
      </c>
      <c r="N299" s="71">
        <f>Centrocampisti!A48</f>
        <v>45</v>
      </c>
      <c r="O299" s="71" t="s">
        <v>68</v>
      </c>
      <c r="P299" s="71">
        <v>17.0</v>
      </c>
      <c r="Q299" s="71">
        <v>6.38</v>
      </c>
      <c r="R299" s="71" t="s">
        <v>71</v>
      </c>
      <c r="S299" s="71" t="s">
        <v>275</v>
      </c>
      <c r="T299" s="71" t="str">
        <f>Centrocampisti!K48</f>
        <v>3a fascia</v>
      </c>
      <c r="U299" s="71" t="s">
        <v>70</v>
      </c>
      <c r="V299" s="71">
        <v>2.0</v>
      </c>
      <c r="W299" s="71">
        <f t="shared" si="1"/>
        <v>117</v>
      </c>
    </row>
    <row r="300" ht="15.75" customHeight="1">
      <c r="A300" s="71" t="s">
        <v>869</v>
      </c>
      <c r="B300" s="71" t="s">
        <v>67</v>
      </c>
      <c r="C300" s="71">
        <v>49.0</v>
      </c>
      <c r="D300" s="71" t="s">
        <v>584</v>
      </c>
      <c r="E300" s="71" t="s">
        <v>1207</v>
      </c>
      <c r="F300" s="71" t="s">
        <v>93</v>
      </c>
      <c r="G300" s="71" t="s">
        <v>669</v>
      </c>
      <c r="H300" s="71">
        <v>10.0</v>
      </c>
      <c r="I300" s="71">
        <v>9.0</v>
      </c>
      <c r="J300" s="71">
        <v>25.0</v>
      </c>
      <c r="K300" s="72">
        <f>Centrocampisti!I49</f>
        <v>12</v>
      </c>
      <c r="L300" s="73">
        <f>Centrocampisti!AE49</f>
        <v>6.4</v>
      </c>
      <c r="M300" s="74">
        <f>Centrocampisti!B49</f>
        <v>21.7</v>
      </c>
      <c r="N300" s="71">
        <f>Centrocampisti!A49</f>
        <v>46</v>
      </c>
      <c r="O300" s="71" t="s">
        <v>226</v>
      </c>
      <c r="P300" s="71">
        <v>34.0</v>
      </c>
      <c r="Q300" s="71">
        <v>6.4</v>
      </c>
      <c r="R300" s="71" t="s">
        <v>71</v>
      </c>
      <c r="S300" s="71" t="s">
        <v>363</v>
      </c>
      <c r="T300" s="71" t="str">
        <f>Centrocampisti!K49</f>
        <v>3a fascia</v>
      </c>
      <c r="U300" s="71" t="s">
        <v>309</v>
      </c>
      <c r="V300" s="71">
        <v>0.0</v>
      </c>
      <c r="W300" s="71">
        <f t="shared" si="1"/>
        <v>133</v>
      </c>
    </row>
    <row r="301" ht="15.75" customHeight="1">
      <c r="A301" s="71" t="s">
        <v>644</v>
      </c>
      <c r="B301" s="71" t="s">
        <v>67</v>
      </c>
      <c r="C301" s="71">
        <v>50.0</v>
      </c>
      <c r="D301" s="71" t="s">
        <v>596</v>
      </c>
      <c r="E301" s="71" t="s">
        <v>1236</v>
      </c>
      <c r="F301" s="71" t="s">
        <v>232</v>
      </c>
      <c r="G301" s="71" t="s">
        <v>669</v>
      </c>
      <c r="H301" s="71">
        <v>5.0</v>
      </c>
      <c r="I301" s="71">
        <v>4.0</v>
      </c>
      <c r="J301" s="71">
        <v>12.0</v>
      </c>
      <c r="K301" s="72">
        <f>Centrocampisti!I50</f>
        <v>8</v>
      </c>
      <c r="L301" s="73">
        <f>Centrocampisti!AE50</f>
        <v>6.18</v>
      </c>
      <c r="M301" s="74">
        <f>Centrocampisti!B50</f>
        <v>21.6</v>
      </c>
      <c r="N301" s="71">
        <f>Centrocampisti!A50</f>
        <v>47</v>
      </c>
      <c r="O301" s="71" t="s">
        <v>226</v>
      </c>
      <c r="P301" s="71">
        <v>12.0</v>
      </c>
      <c r="Q301" s="71">
        <v>6.92</v>
      </c>
      <c r="R301" s="71" t="s">
        <v>160</v>
      </c>
      <c r="S301" s="71" t="s">
        <v>609</v>
      </c>
      <c r="T301" s="71" t="str">
        <f>Centrocampisti!K50</f>
        <v>3a fascia</v>
      </c>
      <c r="U301" s="71" t="s">
        <v>281</v>
      </c>
      <c r="V301" s="71">
        <v>0.0</v>
      </c>
      <c r="W301" s="71">
        <f t="shared" si="1"/>
        <v>282</v>
      </c>
    </row>
    <row r="302" ht="15.75" customHeight="1">
      <c r="A302" s="71" t="s">
        <v>1319</v>
      </c>
      <c r="B302" s="71" t="s">
        <v>67</v>
      </c>
      <c r="C302" s="71">
        <v>51.0</v>
      </c>
      <c r="D302" s="71" t="s">
        <v>611</v>
      </c>
      <c r="E302" s="71" t="s">
        <v>1222</v>
      </c>
      <c r="F302" s="71" t="s">
        <v>182</v>
      </c>
      <c r="G302" s="71" t="s">
        <v>669</v>
      </c>
      <c r="H302" s="71">
        <v>8.0</v>
      </c>
      <c r="I302" s="71">
        <v>8.0</v>
      </c>
      <c r="J302" s="71">
        <v>25.0</v>
      </c>
      <c r="K302" s="72">
        <f>Centrocampisti!I51</f>
        <v>12</v>
      </c>
      <c r="L302" s="73">
        <f>Centrocampisti!AE51</f>
        <v>6.38</v>
      </c>
      <c r="M302" s="74">
        <f>Centrocampisti!B51</f>
        <v>21.4</v>
      </c>
      <c r="N302" s="71">
        <f>Centrocampisti!A51</f>
        <v>48</v>
      </c>
      <c r="O302" s="71" t="s">
        <v>68</v>
      </c>
      <c r="P302" s="71">
        <v>24.0</v>
      </c>
      <c r="Q302" s="71">
        <v>6.42</v>
      </c>
      <c r="R302" s="71" t="s">
        <v>71</v>
      </c>
      <c r="S302" s="71" t="s">
        <v>616</v>
      </c>
      <c r="T302" s="71" t="str">
        <f>Centrocampisti!K51</f>
        <v>3a fascia</v>
      </c>
      <c r="U302" s="71" t="s">
        <v>70</v>
      </c>
      <c r="V302" s="71">
        <v>2.0</v>
      </c>
      <c r="W302" s="71">
        <f t="shared" si="1"/>
        <v>133</v>
      </c>
    </row>
    <row r="303" ht="15.75" customHeight="1">
      <c r="A303" s="71" t="s">
        <v>878</v>
      </c>
      <c r="B303" s="71" t="s">
        <v>67</v>
      </c>
      <c r="C303" s="71">
        <v>52.0</v>
      </c>
      <c r="D303" s="71" t="s">
        <v>619</v>
      </c>
      <c r="E303" s="71" t="s">
        <v>1243</v>
      </c>
      <c r="F303" s="71" t="s">
        <v>253</v>
      </c>
      <c r="G303" s="71" t="s">
        <v>669</v>
      </c>
      <c r="H303" s="71">
        <v>7.0</v>
      </c>
      <c r="I303" s="71">
        <v>9.0</v>
      </c>
      <c r="J303" s="71">
        <v>25.0</v>
      </c>
      <c r="K303" s="72">
        <f>Centrocampisti!I52</f>
        <v>12</v>
      </c>
      <c r="L303" s="73">
        <f>Centrocampisti!AE52</f>
        <v>6.36</v>
      </c>
      <c r="M303" s="74">
        <f>Centrocampisti!B52</f>
        <v>21.1</v>
      </c>
      <c r="N303" s="71">
        <f>Centrocampisti!A52</f>
        <v>49</v>
      </c>
      <c r="O303" s="71" t="s">
        <v>68</v>
      </c>
      <c r="P303" s="71">
        <v>21.0</v>
      </c>
      <c r="Q303" s="71">
        <v>6.52</v>
      </c>
      <c r="R303" s="71" t="s">
        <v>71</v>
      </c>
      <c r="S303" s="71" t="s">
        <v>623</v>
      </c>
      <c r="T303" s="71" t="str">
        <f>Centrocampisti!K52</f>
        <v>3a fascia</v>
      </c>
      <c r="U303" s="71" t="s">
        <v>70</v>
      </c>
      <c r="V303" s="71">
        <v>2.0</v>
      </c>
      <c r="W303" s="71">
        <f t="shared" si="1"/>
        <v>133</v>
      </c>
    </row>
    <row r="304" ht="15.75" customHeight="1">
      <c r="A304" s="71" t="s">
        <v>896</v>
      </c>
      <c r="B304" s="71" t="s">
        <v>67</v>
      </c>
      <c r="C304" s="71">
        <v>53.0</v>
      </c>
      <c r="D304" s="71" t="s">
        <v>627</v>
      </c>
      <c r="E304" s="71" t="s">
        <v>1222</v>
      </c>
      <c r="F304" s="71" t="s">
        <v>182</v>
      </c>
      <c r="G304" s="71" t="s">
        <v>669</v>
      </c>
      <c r="H304" s="71">
        <v>8.0</v>
      </c>
      <c r="I304" s="71">
        <v>8.0</v>
      </c>
      <c r="J304" s="71">
        <v>17.0</v>
      </c>
      <c r="K304" s="72">
        <f>Centrocampisti!I53</f>
        <v>10</v>
      </c>
      <c r="L304" s="73">
        <f>Centrocampisti!AE53</f>
        <v>6.48</v>
      </c>
      <c r="M304" s="74">
        <f>Centrocampisti!B53</f>
        <v>21</v>
      </c>
      <c r="N304" s="71">
        <f>Centrocampisti!A53</f>
        <v>50</v>
      </c>
      <c r="O304" s="71" t="s">
        <v>226</v>
      </c>
      <c r="P304" s="71">
        <v>22.0</v>
      </c>
      <c r="Q304" s="71">
        <v>6.61</v>
      </c>
      <c r="R304" s="71" t="s">
        <v>71</v>
      </c>
      <c r="S304" s="71" t="s">
        <v>616</v>
      </c>
      <c r="T304" s="71" t="str">
        <f>Centrocampisti!K53</f>
        <v>3a fascia</v>
      </c>
      <c r="U304" s="71" t="s">
        <v>277</v>
      </c>
      <c r="V304" s="71">
        <v>2.0</v>
      </c>
      <c r="W304" s="71">
        <f t="shared" si="1"/>
        <v>208</v>
      </c>
    </row>
    <row r="305" ht="15.75" customHeight="1">
      <c r="A305" s="71" t="s">
        <v>735</v>
      </c>
      <c r="B305" s="71" t="s">
        <v>67</v>
      </c>
      <c r="C305" s="71">
        <v>54.0</v>
      </c>
      <c r="D305" s="71" t="s">
        <v>634</v>
      </c>
      <c r="E305" s="71" t="s">
        <v>1209</v>
      </c>
      <c r="F305" s="71" t="s">
        <v>64</v>
      </c>
      <c r="G305" s="71" t="s">
        <v>669</v>
      </c>
      <c r="H305" s="71">
        <v>5.0</v>
      </c>
      <c r="I305" s="71">
        <v>4.0</v>
      </c>
      <c r="J305" s="71">
        <v>9.0</v>
      </c>
      <c r="K305" s="72">
        <f>Centrocampisti!I54</f>
        <v>7</v>
      </c>
      <c r="L305" s="73">
        <f>Centrocampisti!AE54</f>
        <v>6.59</v>
      </c>
      <c r="M305" s="74">
        <f>Centrocampisti!B54</f>
        <v>20.8</v>
      </c>
      <c r="N305" s="71">
        <f>Centrocampisti!A54</f>
        <v>51</v>
      </c>
      <c r="O305" s="71" t="s">
        <v>332</v>
      </c>
      <c r="P305" s="71">
        <v>28.0</v>
      </c>
      <c r="Q305" s="71">
        <v>6.59</v>
      </c>
      <c r="R305" s="71" t="s">
        <v>71</v>
      </c>
      <c r="S305" s="71" t="s">
        <v>638</v>
      </c>
      <c r="T305" s="71" t="str">
        <f>Centrocampisti!K54</f>
        <v>3a fascia</v>
      </c>
      <c r="U305" s="71" t="s">
        <v>333</v>
      </c>
      <c r="V305" s="71">
        <v>0.0</v>
      </c>
      <c r="W305" s="71">
        <f t="shared" si="1"/>
        <v>380</v>
      </c>
    </row>
    <row r="306" ht="15.75" customHeight="1">
      <c r="A306" s="71" t="s">
        <v>678</v>
      </c>
      <c r="B306" s="71" t="s">
        <v>67</v>
      </c>
      <c r="C306" s="71">
        <v>55.0</v>
      </c>
      <c r="D306" s="71" t="s">
        <v>640</v>
      </c>
      <c r="E306" s="71" t="s">
        <v>1252</v>
      </c>
      <c r="F306" s="71" t="s">
        <v>272</v>
      </c>
      <c r="G306" s="71" t="s">
        <v>669</v>
      </c>
      <c r="H306" s="71">
        <v>7.0</v>
      </c>
      <c r="I306" s="71">
        <v>6.0</v>
      </c>
      <c r="J306" s="71">
        <v>15.0</v>
      </c>
      <c r="K306" s="72">
        <f>Centrocampisti!I55</f>
        <v>9</v>
      </c>
      <c r="L306" s="73">
        <f>Centrocampisti!AE55</f>
        <v>5.5</v>
      </c>
      <c r="M306" s="74">
        <f>Centrocampisti!B55</f>
        <v>20.2</v>
      </c>
      <c r="N306" s="71">
        <f>Centrocampisti!A55</f>
        <v>52</v>
      </c>
      <c r="O306" s="71" t="s">
        <v>68</v>
      </c>
      <c r="P306" s="71">
        <v>0.0</v>
      </c>
      <c r="R306" s="71" t="s">
        <v>84</v>
      </c>
      <c r="S306" s="71" t="s">
        <v>644</v>
      </c>
      <c r="T306" s="71" t="str">
        <f>Centrocampisti!K55</f>
        <v>3a fascia</v>
      </c>
      <c r="U306" s="71" t="s">
        <v>498</v>
      </c>
      <c r="V306" s="71">
        <v>0.0</v>
      </c>
      <c r="W306" s="71">
        <f t="shared" si="1"/>
        <v>224</v>
      </c>
    </row>
    <row r="307" ht="15.75" customHeight="1">
      <c r="A307" s="71" t="s">
        <v>925</v>
      </c>
      <c r="B307" s="71" t="s">
        <v>67</v>
      </c>
      <c r="C307" s="71">
        <v>56.0</v>
      </c>
      <c r="D307" s="71" t="s">
        <v>648</v>
      </c>
      <c r="E307" s="71" t="s">
        <v>1219</v>
      </c>
      <c r="F307" s="71" t="s">
        <v>195</v>
      </c>
      <c r="G307" s="71" t="s">
        <v>669</v>
      </c>
      <c r="H307" s="71">
        <v>9.0</v>
      </c>
      <c r="I307" s="71">
        <v>9.0</v>
      </c>
      <c r="J307" s="71">
        <v>25.0</v>
      </c>
      <c r="K307" s="72">
        <f>Centrocampisti!I56</f>
        <v>12</v>
      </c>
      <c r="L307" s="73">
        <f>Centrocampisti!AE56</f>
        <v>6.29</v>
      </c>
      <c r="M307" s="74">
        <f>Centrocampisti!B56</f>
        <v>20</v>
      </c>
      <c r="N307" s="71">
        <f>Centrocampisti!A56</f>
        <v>53</v>
      </c>
      <c r="O307" s="71" t="s">
        <v>226</v>
      </c>
      <c r="P307" s="71">
        <v>28.0</v>
      </c>
      <c r="Q307" s="71">
        <v>6.29</v>
      </c>
      <c r="R307" s="71" t="s">
        <v>71</v>
      </c>
      <c r="S307" s="71" t="s">
        <v>320</v>
      </c>
      <c r="T307" s="71" t="str">
        <f>Centrocampisti!K56</f>
        <v>3a fascia</v>
      </c>
      <c r="U307" s="71" t="s">
        <v>277</v>
      </c>
      <c r="V307" s="71">
        <v>2.0</v>
      </c>
      <c r="W307" s="71">
        <f t="shared" si="1"/>
        <v>133</v>
      </c>
    </row>
    <row r="308" ht="15.75" customHeight="1">
      <c r="A308" s="71" t="s">
        <v>1332</v>
      </c>
      <c r="B308" s="71" t="s">
        <v>67</v>
      </c>
      <c r="C308" s="71">
        <v>57.0</v>
      </c>
      <c r="D308" s="71" t="s">
        <v>652</v>
      </c>
      <c r="E308" s="71" t="s">
        <v>1210</v>
      </c>
      <c r="F308" s="71" t="s">
        <v>143</v>
      </c>
      <c r="G308" s="71" t="s">
        <v>669</v>
      </c>
      <c r="H308" s="71">
        <v>6.0</v>
      </c>
      <c r="I308" s="71">
        <v>7.0</v>
      </c>
      <c r="J308" s="71">
        <v>18.0</v>
      </c>
      <c r="K308" s="72">
        <f>Centrocampisti!I57</f>
        <v>10</v>
      </c>
      <c r="L308" s="73">
        <f>Centrocampisti!AE57</f>
        <v>6.4</v>
      </c>
      <c r="M308" s="74">
        <f>Centrocampisti!B57</f>
        <v>20</v>
      </c>
      <c r="N308" s="71">
        <f>Centrocampisti!A57</f>
        <v>53</v>
      </c>
      <c r="O308" s="71" t="s">
        <v>332</v>
      </c>
      <c r="P308" s="71">
        <v>31.0</v>
      </c>
      <c r="Q308" s="71">
        <v>6.4</v>
      </c>
      <c r="R308" s="71" t="s">
        <v>71</v>
      </c>
      <c r="S308" s="71" t="s">
        <v>419</v>
      </c>
      <c r="T308" s="71" t="str">
        <f>Centrocampisti!K57</f>
        <v>3a fascia</v>
      </c>
      <c r="U308" s="71" t="s">
        <v>392</v>
      </c>
      <c r="V308" s="71">
        <v>2.0</v>
      </c>
      <c r="W308" s="71">
        <f t="shared" si="1"/>
        <v>200</v>
      </c>
    </row>
    <row r="309" ht="15.75" customHeight="1">
      <c r="A309" s="71" t="s">
        <v>941</v>
      </c>
      <c r="B309" s="71" t="s">
        <v>67</v>
      </c>
      <c r="C309" s="71">
        <v>58.0</v>
      </c>
      <c r="D309" s="71" t="s">
        <v>667</v>
      </c>
      <c r="E309" s="71" t="s">
        <v>1247</v>
      </c>
      <c r="F309" s="71" t="s">
        <v>264</v>
      </c>
      <c r="G309" s="71" t="s">
        <v>669</v>
      </c>
      <c r="H309" s="71">
        <v>5.0</v>
      </c>
      <c r="I309" s="71">
        <v>5.0</v>
      </c>
      <c r="J309" s="71">
        <v>14.0</v>
      </c>
      <c r="K309" s="72">
        <f>Centrocampisti!I58</f>
        <v>9</v>
      </c>
      <c r="L309" s="73">
        <f>Centrocampisti!AE58</f>
        <v>5.5</v>
      </c>
      <c r="M309" s="74">
        <f>Centrocampisti!B58</f>
        <v>20</v>
      </c>
      <c r="N309" s="71">
        <f>Centrocampisti!A58</f>
        <v>53</v>
      </c>
      <c r="O309" s="71" t="s">
        <v>68</v>
      </c>
      <c r="P309" s="71">
        <v>0.0</v>
      </c>
      <c r="R309" s="71" t="s">
        <v>84</v>
      </c>
      <c r="S309" s="71" t="s">
        <v>678</v>
      </c>
      <c r="T309" s="71" t="str">
        <f>Centrocampisti!K58</f>
        <v>3a fascia</v>
      </c>
      <c r="U309" s="71" t="s">
        <v>100</v>
      </c>
      <c r="V309" s="71">
        <v>2.0</v>
      </c>
      <c r="W309" s="71">
        <f t="shared" si="1"/>
        <v>248</v>
      </c>
    </row>
    <row r="310" ht="15.75" customHeight="1">
      <c r="A310" s="71" t="s">
        <v>913</v>
      </c>
      <c r="B310" s="71" t="s">
        <v>67</v>
      </c>
      <c r="C310" s="71">
        <v>59.0</v>
      </c>
      <c r="D310" s="71" t="s">
        <v>690</v>
      </c>
      <c r="E310" s="71" t="s">
        <v>1205</v>
      </c>
      <c r="F310" s="71" t="s">
        <v>60</v>
      </c>
      <c r="G310" s="71" t="s">
        <v>669</v>
      </c>
      <c r="H310" s="71">
        <v>8.0</v>
      </c>
      <c r="I310" s="71">
        <v>9.0</v>
      </c>
      <c r="J310" s="71">
        <v>29.0</v>
      </c>
      <c r="K310" s="72">
        <f>Centrocampisti!I59</f>
        <v>14</v>
      </c>
      <c r="L310" s="73">
        <f>Centrocampisti!AE59</f>
        <v>6.22</v>
      </c>
      <c r="M310" s="74">
        <f>Centrocampisti!B59</f>
        <v>19.9</v>
      </c>
      <c r="N310" s="71">
        <f>Centrocampisti!A59</f>
        <v>56</v>
      </c>
      <c r="O310" s="71" t="s">
        <v>68</v>
      </c>
      <c r="P310" s="71">
        <v>37.0</v>
      </c>
      <c r="Q310" s="71">
        <v>6.22</v>
      </c>
      <c r="R310" s="71" t="s">
        <v>71</v>
      </c>
      <c r="S310" s="71" t="s">
        <v>705</v>
      </c>
      <c r="T310" s="71" t="str">
        <f>Centrocampisti!K59</f>
        <v>3a fascia</v>
      </c>
      <c r="U310" s="71" t="s">
        <v>70</v>
      </c>
      <c r="V310" s="71">
        <v>2.0</v>
      </c>
      <c r="W310" s="71">
        <f t="shared" si="1"/>
        <v>115</v>
      </c>
    </row>
    <row r="311" ht="15.75" customHeight="1">
      <c r="A311" s="71" t="s">
        <v>974</v>
      </c>
      <c r="B311" s="71" t="s">
        <v>67</v>
      </c>
      <c r="C311" s="71">
        <v>60.0</v>
      </c>
      <c r="D311" s="71" t="s">
        <v>712</v>
      </c>
      <c r="E311" s="71" t="s">
        <v>1215</v>
      </c>
      <c r="F311" s="71" t="s">
        <v>133</v>
      </c>
      <c r="G311" s="71" t="s">
        <v>669</v>
      </c>
      <c r="H311" s="71">
        <v>6.0</v>
      </c>
      <c r="I311" s="71">
        <v>6.0</v>
      </c>
      <c r="J311" s="71">
        <v>17.0</v>
      </c>
      <c r="K311" s="72">
        <f>Centrocampisti!I60</f>
        <v>10</v>
      </c>
      <c r="L311" s="73">
        <f>Centrocampisti!AE60</f>
        <v>6.41</v>
      </c>
      <c r="M311" s="74">
        <f>Centrocampisti!B60</f>
        <v>19.9</v>
      </c>
      <c r="N311" s="71">
        <f>Centrocampisti!A60</f>
        <v>56</v>
      </c>
      <c r="O311" s="71" t="s">
        <v>332</v>
      </c>
      <c r="P311" s="71">
        <v>28.0</v>
      </c>
      <c r="Q311" s="71">
        <v>6.41</v>
      </c>
      <c r="R311" s="71" t="s">
        <v>71</v>
      </c>
      <c r="S311" s="71" t="s">
        <v>419</v>
      </c>
      <c r="T311" s="71" t="str">
        <f>Centrocampisti!K60</f>
        <v>3a fascia</v>
      </c>
      <c r="U311" s="71" t="s">
        <v>408</v>
      </c>
      <c r="V311" s="71">
        <v>1.0</v>
      </c>
      <c r="W311" s="71">
        <f t="shared" si="1"/>
        <v>208</v>
      </c>
    </row>
    <row r="312" ht="15.75" customHeight="1">
      <c r="A312" s="71" t="s">
        <v>1342</v>
      </c>
      <c r="B312" s="71" t="s">
        <v>67</v>
      </c>
      <c r="C312" s="71">
        <v>61.0</v>
      </c>
      <c r="D312" s="71" t="s">
        <v>722</v>
      </c>
      <c r="E312" s="71" t="s">
        <v>1247</v>
      </c>
      <c r="F312" s="71" t="s">
        <v>264</v>
      </c>
      <c r="G312" s="71" t="s">
        <v>669</v>
      </c>
      <c r="H312" s="71">
        <v>6.0</v>
      </c>
      <c r="I312" s="71">
        <v>6.0</v>
      </c>
      <c r="J312" s="71">
        <v>19.0</v>
      </c>
      <c r="K312" s="72">
        <f>Centrocampisti!I61</f>
        <v>11</v>
      </c>
      <c r="L312" s="73">
        <f>Centrocampisti!AE61</f>
        <v>6.36</v>
      </c>
      <c r="M312" s="74">
        <f>Centrocampisti!B61</f>
        <v>19.7</v>
      </c>
      <c r="N312" s="71">
        <f>Centrocampisti!A61</f>
        <v>58</v>
      </c>
      <c r="O312" s="71" t="s">
        <v>68</v>
      </c>
      <c r="P312" s="71">
        <v>23.0</v>
      </c>
      <c r="Q312" s="71">
        <v>6.43</v>
      </c>
      <c r="R312" s="71" t="s">
        <v>71</v>
      </c>
      <c r="S312" s="71" t="s">
        <v>678</v>
      </c>
      <c r="T312" s="71" t="str">
        <f>Centrocampisti!K61</f>
        <v>3a fascia</v>
      </c>
      <c r="U312" s="71" t="s">
        <v>100</v>
      </c>
      <c r="V312" s="71">
        <v>2.0</v>
      </c>
      <c r="W312" s="71">
        <f t="shared" si="1"/>
        <v>191</v>
      </c>
    </row>
    <row r="313" ht="15.75" customHeight="1">
      <c r="A313" s="71" t="s">
        <v>983</v>
      </c>
      <c r="B313" s="71" t="s">
        <v>67</v>
      </c>
      <c r="C313" s="71">
        <v>62.0</v>
      </c>
      <c r="D313" s="71" t="s">
        <v>725</v>
      </c>
      <c r="E313" s="71" t="s">
        <v>1205</v>
      </c>
      <c r="F313" s="71" t="s">
        <v>60</v>
      </c>
      <c r="G313" s="71" t="s">
        <v>669</v>
      </c>
      <c r="H313" s="71">
        <v>5.0</v>
      </c>
      <c r="I313" s="71">
        <v>7.0</v>
      </c>
      <c r="J313" s="71">
        <v>19.0</v>
      </c>
      <c r="K313" s="72">
        <f>Centrocampisti!I62</f>
        <v>11</v>
      </c>
      <c r="L313" s="73">
        <f>Centrocampisti!AE62</f>
        <v>6.36</v>
      </c>
      <c r="M313" s="74">
        <f>Centrocampisti!B62</f>
        <v>19.7</v>
      </c>
      <c r="N313" s="71">
        <f>Centrocampisti!A62</f>
        <v>58</v>
      </c>
      <c r="O313" s="71" t="s">
        <v>226</v>
      </c>
      <c r="P313" s="71">
        <v>22.0</v>
      </c>
      <c r="Q313" s="71">
        <v>6.48</v>
      </c>
      <c r="R313" s="71" t="s">
        <v>71</v>
      </c>
      <c r="S313" s="71" t="s">
        <v>705</v>
      </c>
      <c r="T313" s="71" t="str">
        <f>Centrocampisti!K62</f>
        <v>3a fascia</v>
      </c>
      <c r="U313" s="71" t="s">
        <v>277</v>
      </c>
      <c r="V313" s="71">
        <v>2.0</v>
      </c>
      <c r="W313" s="71">
        <f t="shared" si="1"/>
        <v>191</v>
      </c>
    </row>
    <row r="314" ht="15.75" customHeight="1">
      <c r="A314" s="71" t="s">
        <v>954</v>
      </c>
      <c r="B314" s="71" t="s">
        <v>67</v>
      </c>
      <c r="C314" s="71">
        <v>63.0</v>
      </c>
      <c r="D314" s="71" t="s">
        <v>728</v>
      </c>
      <c r="E314" s="71" t="s">
        <v>1210</v>
      </c>
      <c r="F314" s="71" t="s">
        <v>143</v>
      </c>
      <c r="G314" s="71" t="s">
        <v>669</v>
      </c>
      <c r="H314" s="71">
        <v>9.0</v>
      </c>
      <c r="I314" s="71">
        <v>8.0</v>
      </c>
      <c r="J314" s="71">
        <v>22.0</v>
      </c>
      <c r="K314" s="72">
        <f>Centrocampisti!I63</f>
        <v>12</v>
      </c>
      <c r="L314" s="73">
        <f>Centrocampisti!AE63</f>
        <v>6.27</v>
      </c>
      <c r="M314" s="74">
        <f>Centrocampisti!B63</f>
        <v>19</v>
      </c>
      <c r="N314" s="71">
        <f>Centrocampisti!A63</f>
        <v>60</v>
      </c>
      <c r="O314" s="71" t="s">
        <v>226</v>
      </c>
      <c r="P314" s="71">
        <v>31.0</v>
      </c>
      <c r="Q314" s="71">
        <v>6.27</v>
      </c>
      <c r="R314" s="71" t="s">
        <v>71</v>
      </c>
      <c r="S314" s="71" t="s">
        <v>419</v>
      </c>
      <c r="T314" s="71" t="str">
        <f>Centrocampisti!K63</f>
        <v>3a fascia</v>
      </c>
      <c r="U314" s="71" t="s">
        <v>277</v>
      </c>
      <c r="V314" s="71">
        <v>2.0</v>
      </c>
      <c r="W314" s="71">
        <f t="shared" si="1"/>
        <v>159</v>
      </c>
    </row>
    <row r="315" ht="15.75" customHeight="1">
      <c r="A315" s="71" t="s">
        <v>1350</v>
      </c>
      <c r="B315" s="71" t="s">
        <v>67</v>
      </c>
      <c r="C315" s="71">
        <v>64.0</v>
      </c>
      <c r="D315" s="71" t="s">
        <v>731</v>
      </c>
      <c r="E315" s="71" t="s">
        <v>1213</v>
      </c>
      <c r="F315" s="71" t="s">
        <v>175</v>
      </c>
      <c r="G315" s="71" t="s">
        <v>669</v>
      </c>
      <c r="H315" s="71">
        <v>4.0</v>
      </c>
      <c r="I315" s="71">
        <v>4.0</v>
      </c>
      <c r="J315" s="71">
        <v>16.0</v>
      </c>
      <c r="K315" s="72">
        <f>Centrocampisti!I64</f>
        <v>10</v>
      </c>
      <c r="L315" s="73">
        <f>Centrocampisti!AE64</f>
        <v>6.36</v>
      </c>
      <c r="M315" s="74">
        <f>Centrocampisti!B64</f>
        <v>18.9</v>
      </c>
      <c r="N315" s="71">
        <f>Centrocampisti!A64</f>
        <v>61</v>
      </c>
      <c r="O315" s="71" t="s">
        <v>332</v>
      </c>
      <c r="P315" s="71">
        <v>21.0</v>
      </c>
      <c r="Q315" s="71">
        <v>6.52</v>
      </c>
      <c r="R315" s="71" t="s">
        <v>71</v>
      </c>
      <c r="S315" s="71" t="s">
        <v>735</v>
      </c>
      <c r="T315" s="71" t="str">
        <f>Centrocampisti!K64</f>
        <v>3a fascia</v>
      </c>
      <c r="U315" s="71" t="s">
        <v>392</v>
      </c>
      <c r="V315" s="71">
        <v>2.0</v>
      </c>
      <c r="W315" s="71">
        <f t="shared" si="1"/>
        <v>215</v>
      </c>
    </row>
    <row r="316" ht="15.75" customHeight="1">
      <c r="A316" s="71" t="s">
        <v>1354</v>
      </c>
      <c r="B316" s="71" t="s">
        <v>67</v>
      </c>
      <c r="C316" s="71">
        <v>65.0</v>
      </c>
      <c r="D316" s="71" t="s">
        <v>738</v>
      </c>
      <c r="E316" s="71" t="s">
        <v>1209</v>
      </c>
      <c r="F316" s="71" t="s">
        <v>64</v>
      </c>
      <c r="G316" s="71" t="s">
        <v>669</v>
      </c>
      <c r="H316" s="71">
        <v>8.0</v>
      </c>
      <c r="I316" s="71">
        <v>9.0</v>
      </c>
      <c r="J316" s="71">
        <v>21.0</v>
      </c>
      <c r="K316" s="72">
        <f>Centrocampisti!I65</f>
        <v>11</v>
      </c>
      <c r="L316" s="73">
        <f>Centrocampisti!AE65</f>
        <v>6.27</v>
      </c>
      <c r="M316" s="74">
        <f>Centrocampisti!B65</f>
        <v>18.7</v>
      </c>
      <c r="N316" s="71">
        <f>Centrocampisti!A65</f>
        <v>62</v>
      </c>
      <c r="O316" s="71" t="s">
        <v>226</v>
      </c>
      <c r="P316" s="71">
        <v>28.0</v>
      </c>
      <c r="Q316" s="71">
        <v>6.27</v>
      </c>
      <c r="R316" s="71" t="s">
        <v>71</v>
      </c>
      <c r="S316" s="71" t="s">
        <v>740</v>
      </c>
      <c r="T316" s="71" t="str">
        <f>Centrocampisti!K65</f>
        <v>3a fascia</v>
      </c>
      <c r="U316" s="71" t="s">
        <v>277</v>
      </c>
      <c r="V316" s="71">
        <v>2.0</v>
      </c>
      <c r="W316" s="71">
        <f t="shared" si="1"/>
        <v>167</v>
      </c>
    </row>
    <row r="317" ht="15.75" customHeight="1">
      <c r="A317" s="71" t="s">
        <v>1358</v>
      </c>
      <c r="B317" s="71" t="s">
        <v>67</v>
      </c>
      <c r="C317" s="71">
        <v>66.0</v>
      </c>
      <c r="D317" s="71" t="s">
        <v>747</v>
      </c>
      <c r="E317" s="71" t="s">
        <v>1236</v>
      </c>
      <c r="F317" s="71" t="s">
        <v>232</v>
      </c>
      <c r="G317" s="71" t="s">
        <v>669</v>
      </c>
      <c r="H317" s="71">
        <v>6.0</v>
      </c>
      <c r="I317" s="71">
        <v>7.0</v>
      </c>
      <c r="J317" s="71">
        <v>17.0</v>
      </c>
      <c r="K317" s="72">
        <f>Centrocampisti!I66</f>
        <v>10</v>
      </c>
      <c r="L317" s="73">
        <f>Centrocampisti!AE66</f>
        <v>6.29</v>
      </c>
      <c r="M317" s="74">
        <f>Centrocampisti!B66</f>
        <v>18.1</v>
      </c>
      <c r="N317" s="71">
        <f>Centrocampisti!A66</f>
        <v>63</v>
      </c>
      <c r="O317" s="71" t="s">
        <v>68</v>
      </c>
      <c r="P317" s="71">
        <v>33.0</v>
      </c>
      <c r="Q317" s="71">
        <v>6.29</v>
      </c>
      <c r="R317" s="71" t="s">
        <v>71</v>
      </c>
      <c r="S317" s="71" t="s">
        <v>320</v>
      </c>
      <c r="T317" s="71" t="str">
        <f>Centrocampisti!K66</f>
        <v>3a fascia</v>
      </c>
      <c r="U317" s="71" t="s">
        <v>70</v>
      </c>
      <c r="V317" s="71">
        <v>2.0</v>
      </c>
      <c r="W317" s="71">
        <f t="shared" si="1"/>
        <v>208</v>
      </c>
    </row>
    <row r="318" ht="15.75" customHeight="1">
      <c r="A318" s="71" t="s">
        <v>1362</v>
      </c>
      <c r="B318" s="71" t="s">
        <v>67</v>
      </c>
      <c r="C318" s="71">
        <v>67.0</v>
      </c>
      <c r="D318" s="71" t="s">
        <v>757</v>
      </c>
      <c r="E318" s="71" t="s">
        <v>1209</v>
      </c>
      <c r="F318" s="71" t="s">
        <v>64</v>
      </c>
      <c r="G318" s="71" t="s">
        <v>669</v>
      </c>
      <c r="H318" s="71">
        <v>8.0</v>
      </c>
      <c r="I318" s="71">
        <v>9.0</v>
      </c>
      <c r="J318" s="71">
        <v>43.0</v>
      </c>
      <c r="K318" s="72">
        <f>Centrocampisti!I67</f>
        <v>17</v>
      </c>
      <c r="L318" s="73">
        <f>Centrocampisti!AE67</f>
        <v>5.88</v>
      </c>
      <c r="M318" s="74">
        <f>Centrocampisti!B67</f>
        <v>18</v>
      </c>
      <c r="N318" s="71">
        <f>Centrocampisti!A67</f>
        <v>64</v>
      </c>
      <c r="O318" s="71" t="s">
        <v>226</v>
      </c>
      <c r="P318" s="71">
        <v>10.0</v>
      </c>
      <c r="Q318" s="71">
        <v>6.45</v>
      </c>
      <c r="R318" s="71" t="s">
        <v>71</v>
      </c>
      <c r="S318" s="71" t="s">
        <v>740</v>
      </c>
      <c r="T318" s="71" t="str">
        <f>Centrocampisti!K67</f>
        <v>2a fascia</v>
      </c>
      <c r="U318" s="71" t="s">
        <v>301</v>
      </c>
      <c r="V318" s="71">
        <v>1.0</v>
      </c>
      <c r="W318" s="71">
        <f t="shared" si="1"/>
        <v>76</v>
      </c>
    </row>
    <row r="319" ht="15.75" customHeight="1">
      <c r="A319" s="71" t="s">
        <v>1365</v>
      </c>
      <c r="B319" s="71" t="s">
        <v>67</v>
      </c>
      <c r="C319" s="71">
        <v>68.0</v>
      </c>
      <c r="D319" s="71" t="s">
        <v>769</v>
      </c>
      <c r="E319" s="71" t="s">
        <v>1225</v>
      </c>
      <c r="F319" s="71" t="s">
        <v>208</v>
      </c>
      <c r="G319" s="71" t="s">
        <v>669</v>
      </c>
      <c r="H319" s="71">
        <v>8.0</v>
      </c>
      <c r="I319" s="71">
        <v>7.0</v>
      </c>
      <c r="J319" s="71">
        <v>20.0</v>
      </c>
      <c r="K319" s="72">
        <f>Centrocampisti!I68</f>
        <v>11</v>
      </c>
      <c r="L319" s="73">
        <f>Centrocampisti!AE68</f>
        <v>6.23</v>
      </c>
      <c r="M319" s="74">
        <f>Centrocampisti!B68</f>
        <v>17.9</v>
      </c>
      <c r="N319" s="71">
        <f>Centrocampisti!A68</f>
        <v>65</v>
      </c>
      <c r="O319" s="71" t="s">
        <v>226</v>
      </c>
      <c r="P319" s="71">
        <v>33.0</v>
      </c>
      <c r="Q319" s="71">
        <v>6.23</v>
      </c>
      <c r="R319" s="71" t="s">
        <v>71</v>
      </c>
      <c r="S319" s="71" t="s">
        <v>772</v>
      </c>
      <c r="T319" s="71" t="str">
        <f>Centrocampisti!K68</f>
        <v>3a fascia</v>
      </c>
      <c r="U319" s="71" t="s">
        <v>277</v>
      </c>
      <c r="V319" s="71">
        <v>2.0</v>
      </c>
      <c r="W319" s="71">
        <f t="shared" si="1"/>
        <v>173</v>
      </c>
    </row>
    <row r="320" ht="15.75" customHeight="1">
      <c r="A320" s="71" t="s">
        <v>1368</v>
      </c>
      <c r="B320" s="71" t="s">
        <v>67</v>
      </c>
      <c r="C320" s="71">
        <v>69.0</v>
      </c>
      <c r="D320" s="71" t="s">
        <v>774</v>
      </c>
      <c r="E320" s="71" t="s">
        <v>1241</v>
      </c>
      <c r="F320" s="71" t="s">
        <v>177</v>
      </c>
      <c r="G320" s="71" t="s">
        <v>669</v>
      </c>
      <c r="H320" s="71">
        <v>3.0</v>
      </c>
      <c r="I320" s="71">
        <v>4.0</v>
      </c>
      <c r="J320" s="71">
        <v>8.0</v>
      </c>
      <c r="K320" s="72">
        <f>Centrocampisti!I69</f>
        <v>6</v>
      </c>
      <c r="L320" s="73">
        <f>Centrocampisti!AE69</f>
        <v>6.4</v>
      </c>
      <c r="M320" s="74">
        <f>Centrocampisti!B69</f>
        <v>17.6</v>
      </c>
      <c r="N320" s="71">
        <f>Centrocampisti!A69</f>
        <v>66</v>
      </c>
      <c r="O320" s="71" t="s">
        <v>332</v>
      </c>
      <c r="P320" s="71">
        <v>19.0</v>
      </c>
      <c r="Q320" s="71">
        <v>6.68</v>
      </c>
      <c r="R320" s="71" t="s">
        <v>71</v>
      </c>
      <c r="S320" s="71" t="s">
        <v>776</v>
      </c>
      <c r="T320" s="71" t="str">
        <f>Centrocampisti!K69</f>
        <v>4a fascia</v>
      </c>
      <c r="U320" s="71" t="s">
        <v>392</v>
      </c>
      <c r="V320" s="71">
        <v>2.0</v>
      </c>
      <c r="W320" s="71">
        <f t="shared" si="1"/>
        <v>384</v>
      </c>
    </row>
    <row r="321" ht="15.75" customHeight="1">
      <c r="A321" s="71" t="s">
        <v>1372</v>
      </c>
      <c r="B321" s="71" t="s">
        <v>67</v>
      </c>
      <c r="C321" s="71">
        <v>70.0</v>
      </c>
      <c r="D321" s="71" t="s">
        <v>778</v>
      </c>
      <c r="E321" s="71" t="s">
        <v>1225</v>
      </c>
      <c r="F321" s="71" t="s">
        <v>208</v>
      </c>
      <c r="G321" s="71" t="s">
        <v>669</v>
      </c>
      <c r="H321" s="71">
        <v>12.0</v>
      </c>
      <c r="I321" s="71">
        <v>11.0</v>
      </c>
      <c r="J321" s="71">
        <v>50.0</v>
      </c>
      <c r="K321" s="72">
        <f>Centrocampisti!I70</f>
        <v>19</v>
      </c>
      <c r="L321" s="73">
        <f>Centrocampisti!AE70</f>
        <v>5.5</v>
      </c>
      <c r="M321" s="74">
        <f>Centrocampisti!B70</f>
        <v>16.8</v>
      </c>
      <c r="N321" s="71">
        <f>Centrocampisti!A70</f>
        <v>67</v>
      </c>
      <c r="O321" s="71" t="s">
        <v>68</v>
      </c>
      <c r="P321" s="71">
        <v>0.0</v>
      </c>
      <c r="R321" s="71" t="s">
        <v>71</v>
      </c>
      <c r="S321" s="71" t="s">
        <v>772</v>
      </c>
      <c r="T321" s="71" t="str">
        <f>Centrocampisti!K70</f>
        <v>2a fascia</v>
      </c>
      <c r="U321" s="71" t="s">
        <v>100</v>
      </c>
      <c r="V321" s="71">
        <v>2.0</v>
      </c>
      <c r="W321" s="71">
        <f t="shared" si="1"/>
        <v>56</v>
      </c>
    </row>
    <row r="322" ht="15.75" customHeight="1">
      <c r="A322" s="71" t="s">
        <v>1375</v>
      </c>
      <c r="B322" s="71" t="s">
        <v>67</v>
      </c>
      <c r="C322" s="71">
        <v>71.0</v>
      </c>
      <c r="D322" s="71" t="s">
        <v>780</v>
      </c>
      <c r="E322" s="71" t="s">
        <v>1252</v>
      </c>
      <c r="F322" s="71" t="s">
        <v>272</v>
      </c>
      <c r="G322" s="71" t="s">
        <v>669</v>
      </c>
      <c r="H322" s="71">
        <v>4.0</v>
      </c>
      <c r="I322" s="71">
        <v>4.0</v>
      </c>
      <c r="J322" s="71">
        <v>17.0</v>
      </c>
      <c r="K322" s="72">
        <f>Centrocampisti!I71</f>
        <v>10</v>
      </c>
      <c r="L322" s="73">
        <f>Centrocampisti!AE71</f>
        <v>6.21</v>
      </c>
      <c r="M322" s="74">
        <f>Centrocampisti!B71</f>
        <v>16.8</v>
      </c>
      <c r="N322" s="71">
        <f>Centrocampisti!A71</f>
        <v>67</v>
      </c>
      <c r="O322" s="71" t="s">
        <v>226</v>
      </c>
      <c r="P322" s="71">
        <v>26.0</v>
      </c>
      <c r="Q322" s="71">
        <v>6.21</v>
      </c>
      <c r="R322" s="71" t="s">
        <v>71</v>
      </c>
      <c r="S322" s="71" t="s">
        <v>644</v>
      </c>
      <c r="T322" s="71" t="str">
        <f>Centrocampisti!K71</f>
        <v>3a fascia</v>
      </c>
      <c r="U322" s="71" t="s">
        <v>495</v>
      </c>
      <c r="V322" s="71">
        <v>1.0</v>
      </c>
      <c r="W322" s="71">
        <f t="shared" si="1"/>
        <v>208</v>
      </c>
    </row>
    <row r="323" ht="15.75" customHeight="1">
      <c r="A323" s="71" t="s">
        <v>1378</v>
      </c>
      <c r="B323" s="71" t="s">
        <v>67</v>
      </c>
      <c r="C323" s="71">
        <v>72.0</v>
      </c>
      <c r="D323" s="71" t="s">
        <v>782</v>
      </c>
      <c r="E323" s="71" t="s">
        <v>1245</v>
      </c>
      <c r="F323" s="71" t="s">
        <v>261</v>
      </c>
      <c r="G323" s="71" t="s">
        <v>669</v>
      </c>
      <c r="H323" s="71">
        <v>8.0</v>
      </c>
      <c r="I323" s="71">
        <v>8.0</v>
      </c>
      <c r="J323" s="71">
        <v>25.0</v>
      </c>
      <c r="K323" s="72">
        <f>Centrocampisti!I72</f>
        <v>12</v>
      </c>
      <c r="L323" s="73">
        <f>Centrocampisti!AE72</f>
        <v>5.5</v>
      </c>
      <c r="M323" s="74">
        <f>Centrocampisti!B72</f>
        <v>16.7</v>
      </c>
      <c r="N323" s="71">
        <f>Centrocampisti!A72</f>
        <v>69</v>
      </c>
      <c r="O323" s="71" t="s">
        <v>68</v>
      </c>
      <c r="P323" s="71">
        <v>0.0</v>
      </c>
      <c r="R323" s="71" t="s">
        <v>77</v>
      </c>
      <c r="S323" s="71" t="s">
        <v>784</v>
      </c>
      <c r="T323" s="71" t="str">
        <f>Centrocampisti!K72</f>
        <v>3a fascia</v>
      </c>
      <c r="U323" s="71" t="s">
        <v>100</v>
      </c>
      <c r="V323" s="71">
        <v>2.0</v>
      </c>
      <c r="W323" s="71">
        <f t="shared" si="1"/>
        <v>133</v>
      </c>
    </row>
    <row r="324" ht="15.75" customHeight="1">
      <c r="A324" s="71" t="s">
        <v>1381</v>
      </c>
      <c r="B324" s="71" t="s">
        <v>67</v>
      </c>
      <c r="C324" s="71">
        <v>73.0</v>
      </c>
      <c r="D324" s="71" t="s">
        <v>785</v>
      </c>
      <c r="E324" s="71" t="s">
        <v>1236</v>
      </c>
      <c r="F324" s="71" t="s">
        <v>232</v>
      </c>
      <c r="G324" s="71" t="s">
        <v>669</v>
      </c>
      <c r="H324" s="71">
        <v>6.0</v>
      </c>
      <c r="I324" s="71">
        <v>6.0</v>
      </c>
      <c r="J324" s="71">
        <v>19.0</v>
      </c>
      <c r="K324" s="72">
        <f>Centrocampisti!I73</f>
        <v>11</v>
      </c>
      <c r="L324" s="73">
        <f>Centrocampisti!AE73</f>
        <v>5.85</v>
      </c>
      <c r="M324" s="74">
        <f>Centrocampisti!B73</f>
        <v>16.7</v>
      </c>
      <c r="N324" s="71">
        <f>Centrocampisti!A73</f>
        <v>69</v>
      </c>
      <c r="O324" s="71" t="s">
        <v>68</v>
      </c>
      <c r="P324" s="71">
        <v>37.0</v>
      </c>
      <c r="Q324" s="71">
        <v>5.85</v>
      </c>
      <c r="R324" s="71" t="s">
        <v>71</v>
      </c>
      <c r="S324" s="71" t="s">
        <v>787</v>
      </c>
      <c r="T324" s="71" t="str">
        <f>Centrocampisti!K73</f>
        <v>3a fascia</v>
      </c>
      <c r="U324" s="71" t="s">
        <v>70</v>
      </c>
      <c r="V324" s="71">
        <v>2.0</v>
      </c>
      <c r="W324" s="71">
        <f t="shared" si="1"/>
        <v>191</v>
      </c>
    </row>
    <row r="325" ht="15.75" customHeight="1">
      <c r="A325" s="71" t="s">
        <v>1384</v>
      </c>
      <c r="B325" s="71" t="s">
        <v>67</v>
      </c>
      <c r="C325" s="71">
        <v>74.0</v>
      </c>
      <c r="D325" s="71" t="s">
        <v>789</v>
      </c>
      <c r="E325" s="71" t="s">
        <v>1217</v>
      </c>
      <c r="F325" s="71" t="s">
        <v>191</v>
      </c>
      <c r="G325" s="71" t="s">
        <v>669</v>
      </c>
      <c r="H325" s="71">
        <v>7.0</v>
      </c>
      <c r="I325" s="71">
        <v>8.0</v>
      </c>
      <c r="J325" s="71">
        <v>23.0</v>
      </c>
      <c r="K325" s="72">
        <f>Centrocampisti!I74</f>
        <v>12</v>
      </c>
      <c r="L325" s="73">
        <f>Centrocampisti!AE74</f>
        <v>6.1</v>
      </c>
      <c r="M325" s="74">
        <f>Centrocampisti!B74</f>
        <v>16.6</v>
      </c>
      <c r="N325" s="71">
        <f>Centrocampisti!A74</f>
        <v>71</v>
      </c>
      <c r="O325" s="71" t="s">
        <v>226</v>
      </c>
      <c r="P325" s="71">
        <v>31.0</v>
      </c>
      <c r="Q325" s="71">
        <v>6.1</v>
      </c>
      <c r="R325" s="71" t="s">
        <v>71</v>
      </c>
      <c r="S325" s="71" t="s">
        <v>787</v>
      </c>
      <c r="T325" s="71" t="str">
        <f>Centrocampisti!K74</f>
        <v>3a fascia</v>
      </c>
      <c r="U325" s="71" t="s">
        <v>277</v>
      </c>
      <c r="V325" s="71">
        <v>2.0</v>
      </c>
      <c r="W325" s="71">
        <f t="shared" si="1"/>
        <v>150</v>
      </c>
    </row>
    <row r="326" ht="15.75" customHeight="1">
      <c r="A326" s="71" t="s">
        <v>1387</v>
      </c>
      <c r="B326" s="71" t="s">
        <v>67</v>
      </c>
      <c r="C326" s="71">
        <v>75.0</v>
      </c>
      <c r="D326" s="71" t="s">
        <v>672</v>
      </c>
      <c r="E326" s="71" t="s">
        <v>1256</v>
      </c>
      <c r="F326" s="71" t="s">
        <v>283</v>
      </c>
      <c r="G326" s="71" t="s">
        <v>669</v>
      </c>
      <c r="H326" s="71">
        <v>6.0</v>
      </c>
      <c r="I326" s="71">
        <v>6.0</v>
      </c>
      <c r="J326" s="71">
        <v>16.0</v>
      </c>
      <c r="K326" s="72">
        <f>Centrocampisti!I75</f>
        <v>10</v>
      </c>
      <c r="L326" s="73">
        <f>Centrocampisti!AE75</f>
        <v>5.98</v>
      </c>
      <c r="M326" s="74">
        <f>Centrocampisti!B75</f>
        <v>16</v>
      </c>
      <c r="N326" s="71">
        <f>Centrocampisti!A75</f>
        <v>72</v>
      </c>
      <c r="O326" s="71" t="s">
        <v>68</v>
      </c>
      <c r="P326" s="71">
        <v>23.0</v>
      </c>
      <c r="Q326" s="71">
        <v>6.02</v>
      </c>
      <c r="R326" s="71" t="s">
        <v>71</v>
      </c>
      <c r="S326" s="71" t="s">
        <v>791</v>
      </c>
      <c r="T326" s="71" t="str">
        <f>Centrocampisti!K75</f>
        <v>3a fascia</v>
      </c>
      <c r="U326" s="71" t="s">
        <v>457</v>
      </c>
      <c r="V326" s="71">
        <v>0.0</v>
      </c>
      <c r="W326" s="71">
        <f t="shared" si="1"/>
        <v>215</v>
      </c>
    </row>
    <row r="327" ht="15.75" customHeight="1">
      <c r="A327" s="71" t="s">
        <v>1390</v>
      </c>
      <c r="B327" s="71" t="s">
        <v>67</v>
      </c>
      <c r="C327" s="71">
        <v>76.0</v>
      </c>
      <c r="D327" s="71" t="s">
        <v>793</v>
      </c>
      <c r="E327" s="71" t="s">
        <v>1225</v>
      </c>
      <c r="F327" s="71" t="s">
        <v>208</v>
      </c>
      <c r="G327" s="71" t="s">
        <v>669</v>
      </c>
      <c r="H327" s="71">
        <v>8.0</v>
      </c>
      <c r="I327" s="71">
        <v>7.0</v>
      </c>
      <c r="J327" s="71">
        <v>22.0</v>
      </c>
      <c r="K327" s="72">
        <f>Centrocampisti!I76</f>
        <v>12</v>
      </c>
      <c r="L327" s="73">
        <f>Centrocampisti!AE76</f>
        <v>6.07</v>
      </c>
      <c r="M327" s="74">
        <f>Centrocampisti!B76</f>
        <v>15.9</v>
      </c>
      <c r="N327" s="71">
        <f>Centrocampisti!A76</f>
        <v>73</v>
      </c>
      <c r="O327" s="71" t="s">
        <v>68</v>
      </c>
      <c r="P327" s="71">
        <v>30.0</v>
      </c>
      <c r="Q327" s="71">
        <v>6.07</v>
      </c>
      <c r="R327" s="71" t="s">
        <v>71</v>
      </c>
      <c r="S327" s="71" t="s">
        <v>795</v>
      </c>
      <c r="T327" s="71" t="str">
        <f>Centrocampisti!K76</f>
        <v>3a fascia</v>
      </c>
      <c r="U327" s="71" t="s">
        <v>70</v>
      </c>
      <c r="V327" s="71">
        <v>2.0</v>
      </c>
      <c r="W327" s="71">
        <f t="shared" si="1"/>
        <v>159</v>
      </c>
    </row>
    <row r="328" ht="15.75" customHeight="1">
      <c r="A328" s="71" t="s">
        <v>1393</v>
      </c>
      <c r="B328" s="71" t="s">
        <v>67</v>
      </c>
      <c r="C328" s="71">
        <v>77.0</v>
      </c>
      <c r="D328" s="71" t="s">
        <v>797</v>
      </c>
      <c r="E328" s="71" t="s">
        <v>1217</v>
      </c>
      <c r="F328" s="71" t="s">
        <v>191</v>
      </c>
      <c r="G328" s="71" t="s">
        <v>669</v>
      </c>
      <c r="H328" s="71">
        <v>8.0</v>
      </c>
      <c r="I328" s="71">
        <v>10.0</v>
      </c>
      <c r="J328" s="71">
        <v>35.0</v>
      </c>
      <c r="K328" s="72">
        <f>Centrocampisti!I77</f>
        <v>15</v>
      </c>
      <c r="L328" s="73">
        <f>Centrocampisti!AE77</f>
        <v>5.82</v>
      </c>
      <c r="M328" s="74">
        <f>Centrocampisti!B77</f>
        <v>15.1</v>
      </c>
      <c r="N328" s="71">
        <f>Centrocampisti!A77</f>
        <v>74</v>
      </c>
      <c r="O328" s="71" t="s">
        <v>68</v>
      </c>
      <c r="P328" s="71">
        <v>8.0</v>
      </c>
      <c r="Q328" s="71">
        <v>6.5</v>
      </c>
      <c r="R328" s="71" t="s">
        <v>71</v>
      </c>
      <c r="S328" s="71" t="s">
        <v>799</v>
      </c>
      <c r="T328" s="71" t="str">
        <f>Centrocampisti!K77</f>
        <v>2a fascia</v>
      </c>
      <c r="U328" s="71" t="s">
        <v>148</v>
      </c>
      <c r="V328" s="71">
        <v>1.0</v>
      </c>
      <c r="W328" s="71">
        <f t="shared" si="1"/>
        <v>97</v>
      </c>
    </row>
    <row r="329" ht="15.75" customHeight="1">
      <c r="A329" s="71" t="s">
        <v>1396</v>
      </c>
      <c r="B329" s="71" t="s">
        <v>67</v>
      </c>
      <c r="C329" s="71">
        <v>78.0</v>
      </c>
      <c r="D329" s="71" t="s">
        <v>800</v>
      </c>
      <c r="E329" s="71" t="s">
        <v>1215</v>
      </c>
      <c r="F329" s="71" t="s">
        <v>133</v>
      </c>
      <c r="G329" s="71" t="s">
        <v>669</v>
      </c>
      <c r="H329" s="71">
        <v>4.0</v>
      </c>
      <c r="I329" s="71">
        <v>4.0</v>
      </c>
      <c r="J329" s="71">
        <v>12.0</v>
      </c>
      <c r="K329" s="72">
        <f>Centrocampisti!I78</f>
        <v>8</v>
      </c>
      <c r="L329" s="73">
        <f>Centrocampisti!AE78</f>
        <v>6.18</v>
      </c>
      <c r="M329" s="74">
        <f>Centrocampisti!B78</f>
        <v>15.1</v>
      </c>
      <c r="N329" s="71">
        <f>Centrocampisti!A78</f>
        <v>74</v>
      </c>
      <c r="O329" s="71" t="s">
        <v>332</v>
      </c>
      <c r="P329" s="71">
        <v>28.0</v>
      </c>
      <c r="Q329" s="71">
        <v>6.18</v>
      </c>
      <c r="R329" s="71" t="s">
        <v>71</v>
      </c>
      <c r="S329" s="71" t="s">
        <v>419</v>
      </c>
      <c r="T329" s="71" t="str">
        <f>Centrocampisti!K78</f>
        <v>3a fascia</v>
      </c>
      <c r="U329" s="71" t="s">
        <v>338</v>
      </c>
      <c r="V329" s="71">
        <v>0.0</v>
      </c>
      <c r="W329" s="71">
        <f t="shared" si="1"/>
        <v>282</v>
      </c>
    </row>
    <row r="330" ht="15.75" customHeight="1">
      <c r="A330" s="71" t="s">
        <v>1399</v>
      </c>
      <c r="B330" s="71" t="s">
        <v>67</v>
      </c>
      <c r="C330" s="71">
        <v>79.0</v>
      </c>
      <c r="D330" s="71" t="s">
        <v>803</v>
      </c>
      <c r="E330" s="71" t="s">
        <v>1236</v>
      </c>
      <c r="F330" s="71" t="s">
        <v>232</v>
      </c>
      <c r="G330" s="71" t="s">
        <v>669</v>
      </c>
      <c r="H330" s="71">
        <v>5.0</v>
      </c>
      <c r="I330" s="71">
        <v>4.0</v>
      </c>
      <c r="J330" s="71">
        <v>10.0</v>
      </c>
      <c r="K330" s="72">
        <f>Centrocampisti!I79</f>
        <v>7</v>
      </c>
      <c r="L330" s="73">
        <f>Centrocampisti!AE79</f>
        <v>6.08</v>
      </c>
      <c r="M330" s="74">
        <f>Centrocampisti!B79</f>
        <v>14.8</v>
      </c>
      <c r="N330" s="71">
        <f>Centrocampisti!A79</f>
        <v>76</v>
      </c>
      <c r="O330" s="71" t="s">
        <v>226</v>
      </c>
      <c r="P330" s="71">
        <v>16.0</v>
      </c>
      <c r="Q330" s="71">
        <v>6.41</v>
      </c>
      <c r="R330" s="71" t="s">
        <v>71</v>
      </c>
      <c r="S330" s="71" t="s">
        <v>799</v>
      </c>
      <c r="T330" s="71" t="str">
        <f>Centrocampisti!K79</f>
        <v>3a fascia</v>
      </c>
      <c r="U330" s="71" t="s">
        <v>281</v>
      </c>
      <c r="V330" s="71">
        <v>0.0</v>
      </c>
      <c r="W330" s="71">
        <f t="shared" si="1"/>
        <v>342</v>
      </c>
    </row>
    <row r="331" ht="15.75" customHeight="1">
      <c r="A331" s="71" t="s">
        <v>1402</v>
      </c>
      <c r="B331" s="71" t="s">
        <v>67</v>
      </c>
      <c r="C331" s="71">
        <v>80.0</v>
      </c>
      <c r="D331" s="71" t="s">
        <v>806</v>
      </c>
      <c r="E331" s="71" t="s">
        <v>1237</v>
      </c>
      <c r="F331" s="71" t="s">
        <v>239</v>
      </c>
      <c r="G331" s="71" t="s">
        <v>669</v>
      </c>
      <c r="H331" s="71">
        <v>7.0</v>
      </c>
      <c r="I331" s="71">
        <v>6.0</v>
      </c>
      <c r="J331" s="71">
        <v>23.0</v>
      </c>
      <c r="K331" s="72">
        <f>Centrocampisti!I80</f>
        <v>12</v>
      </c>
      <c r="L331" s="73">
        <f>Centrocampisti!AE80</f>
        <v>5.66</v>
      </c>
      <c r="M331" s="74">
        <f>Centrocampisti!B80</f>
        <v>14.7</v>
      </c>
      <c r="N331" s="71">
        <f>Centrocampisti!A80</f>
        <v>77</v>
      </c>
      <c r="O331" s="71" t="s">
        <v>68</v>
      </c>
      <c r="P331" s="71">
        <v>12.0</v>
      </c>
      <c r="Q331" s="71">
        <v>5.83</v>
      </c>
      <c r="R331" s="71" t="s">
        <v>71</v>
      </c>
      <c r="S331" s="71" t="s">
        <v>784</v>
      </c>
      <c r="T331" s="71" t="str">
        <f>Centrocampisti!K80</f>
        <v>3a fascia</v>
      </c>
      <c r="U331" s="71" t="s">
        <v>100</v>
      </c>
      <c r="V331" s="71">
        <v>2.0</v>
      </c>
      <c r="W331" s="71">
        <f t="shared" si="1"/>
        <v>150</v>
      </c>
    </row>
    <row r="332" ht="15.75" customHeight="1">
      <c r="A332" s="71" t="s">
        <v>1405</v>
      </c>
      <c r="B332" s="71" t="s">
        <v>67</v>
      </c>
      <c r="C332" s="71">
        <v>81.0</v>
      </c>
      <c r="D332" s="71" t="s">
        <v>822</v>
      </c>
      <c r="E332" s="71" t="s">
        <v>1222</v>
      </c>
      <c r="F332" s="71" t="s">
        <v>182</v>
      </c>
      <c r="G332" s="71" t="s">
        <v>669</v>
      </c>
      <c r="H332" s="71">
        <v>4.0</v>
      </c>
      <c r="I332" s="71">
        <v>4.0</v>
      </c>
      <c r="J332" s="71">
        <v>14.0</v>
      </c>
      <c r="K332" s="72">
        <f>Centrocampisti!I81</f>
        <v>9</v>
      </c>
      <c r="L332" s="73">
        <f>Centrocampisti!AE81</f>
        <v>6.12</v>
      </c>
      <c r="M332" s="74">
        <f>Centrocampisti!B81</f>
        <v>14.7</v>
      </c>
      <c r="N332" s="71">
        <f>Centrocampisti!A81</f>
        <v>77</v>
      </c>
      <c r="O332" s="71" t="s">
        <v>332</v>
      </c>
      <c r="P332" s="71">
        <v>28.0</v>
      </c>
      <c r="Q332" s="71">
        <v>6.12</v>
      </c>
      <c r="R332" s="71" t="s">
        <v>71</v>
      </c>
      <c r="S332" s="71" t="s">
        <v>791</v>
      </c>
      <c r="T332" s="71" t="str">
        <f>Centrocampisti!K81</f>
        <v>3a fascia</v>
      </c>
      <c r="U332" s="71" t="s">
        <v>333</v>
      </c>
      <c r="V332" s="71">
        <v>0.0</v>
      </c>
      <c r="W332" s="71">
        <f t="shared" si="1"/>
        <v>248</v>
      </c>
    </row>
    <row r="333" ht="15.75" customHeight="1">
      <c r="A333" s="71" t="s">
        <v>1408</v>
      </c>
      <c r="B333" s="71" t="s">
        <v>67</v>
      </c>
      <c r="C333" s="71">
        <v>82.0</v>
      </c>
      <c r="D333" s="71" t="s">
        <v>827</v>
      </c>
      <c r="E333" s="71" t="s">
        <v>1237</v>
      </c>
      <c r="F333" s="71" t="s">
        <v>239</v>
      </c>
      <c r="G333" s="71" t="s">
        <v>669</v>
      </c>
      <c r="H333" s="71">
        <v>2.0</v>
      </c>
      <c r="I333" s="71">
        <v>2.0</v>
      </c>
      <c r="J333" s="71">
        <v>12.0</v>
      </c>
      <c r="K333" s="72">
        <f>Centrocampisti!I82</f>
        <v>8</v>
      </c>
      <c r="L333" s="73">
        <f>Centrocampisti!AE82</f>
        <v>6.12</v>
      </c>
      <c r="M333" s="74">
        <f>Centrocampisti!B82</f>
        <v>14.2</v>
      </c>
      <c r="N333" s="71">
        <f>Centrocampisti!A82</f>
        <v>79</v>
      </c>
      <c r="O333" s="71" t="s">
        <v>332</v>
      </c>
      <c r="P333" s="71">
        <v>24.0</v>
      </c>
      <c r="Q333" s="71">
        <v>6.15</v>
      </c>
      <c r="R333" s="71" t="s">
        <v>71</v>
      </c>
      <c r="S333" s="71" t="s">
        <v>784</v>
      </c>
      <c r="T333" s="71" t="str">
        <f>Centrocampisti!K82</f>
        <v>3a fascia</v>
      </c>
      <c r="U333" s="71" t="s">
        <v>615</v>
      </c>
      <c r="V333" s="71">
        <v>1.0</v>
      </c>
      <c r="W333" s="71">
        <f t="shared" si="1"/>
        <v>282</v>
      </c>
    </row>
    <row r="334" ht="15.75" customHeight="1">
      <c r="A334" s="71" t="s">
        <v>1411</v>
      </c>
      <c r="B334" s="71" t="s">
        <v>67</v>
      </c>
      <c r="C334" s="71">
        <v>83.0</v>
      </c>
      <c r="D334" s="71" t="s">
        <v>831</v>
      </c>
      <c r="E334" s="71" t="s">
        <v>1222</v>
      </c>
      <c r="F334" s="71" t="s">
        <v>182</v>
      </c>
      <c r="G334" s="71" t="s">
        <v>669</v>
      </c>
      <c r="H334" s="71">
        <v>6.0</v>
      </c>
      <c r="I334" s="71">
        <v>6.0</v>
      </c>
      <c r="J334" s="71">
        <v>12.0</v>
      </c>
      <c r="K334" s="72">
        <f>Centrocampisti!I83</f>
        <v>8</v>
      </c>
      <c r="L334" s="73">
        <f>Centrocampisti!AE83</f>
        <v>6.12</v>
      </c>
      <c r="M334" s="74">
        <f>Centrocampisti!B83</f>
        <v>14.2</v>
      </c>
      <c r="N334" s="71">
        <f>Centrocampisti!A83</f>
        <v>79</v>
      </c>
      <c r="O334" s="71" t="s">
        <v>332</v>
      </c>
      <c r="P334" s="71">
        <v>23.0</v>
      </c>
      <c r="Q334" s="71">
        <v>6.17</v>
      </c>
      <c r="R334" s="71" t="s">
        <v>71</v>
      </c>
      <c r="S334" s="71" t="s">
        <v>791</v>
      </c>
      <c r="T334" s="71" t="str">
        <f>Centrocampisti!K83</f>
        <v>3a fascia</v>
      </c>
      <c r="U334" s="71" t="s">
        <v>408</v>
      </c>
      <c r="V334" s="71">
        <v>1.0</v>
      </c>
      <c r="W334" s="71">
        <f t="shared" si="1"/>
        <v>282</v>
      </c>
    </row>
    <row r="335" ht="15.75" customHeight="1">
      <c r="A335" s="71" t="s">
        <v>1415</v>
      </c>
      <c r="B335" s="71" t="s">
        <v>67</v>
      </c>
      <c r="C335" s="71">
        <v>84.0</v>
      </c>
      <c r="D335" s="71" t="s">
        <v>838</v>
      </c>
      <c r="E335" s="71" t="s">
        <v>1210</v>
      </c>
      <c r="F335" s="71" t="s">
        <v>143</v>
      </c>
      <c r="G335" s="71" t="s">
        <v>669</v>
      </c>
      <c r="H335" s="71">
        <v>7.0</v>
      </c>
      <c r="I335" s="71">
        <v>7.0</v>
      </c>
      <c r="J335" s="71">
        <v>22.0</v>
      </c>
      <c r="K335" s="72">
        <f>Centrocampisti!I84</f>
        <v>12</v>
      </c>
      <c r="L335" s="73">
        <f>Centrocampisti!AE84</f>
        <v>5.96</v>
      </c>
      <c r="M335" s="74">
        <f>Centrocampisti!B84</f>
        <v>14.1</v>
      </c>
      <c r="N335" s="71">
        <f>Centrocampisti!A84</f>
        <v>81</v>
      </c>
      <c r="O335" s="71" t="s">
        <v>332</v>
      </c>
      <c r="P335" s="71">
        <v>28.0</v>
      </c>
      <c r="Q335" s="71">
        <v>5.96</v>
      </c>
      <c r="R335" s="71" t="s">
        <v>71</v>
      </c>
      <c r="S335" s="71" t="s">
        <v>419</v>
      </c>
      <c r="T335" s="71" t="str">
        <f>Centrocampisti!K84</f>
        <v>3a fascia</v>
      </c>
      <c r="U335" s="71" t="s">
        <v>615</v>
      </c>
      <c r="V335" s="71">
        <v>1.0</v>
      </c>
      <c r="W335" s="71">
        <f t="shared" si="1"/>
        <v>159</v>
      </c>
    </row>
    <row r="336" ht="15.75" customHeight="1">
      <c r="A336" s="71" t="s">
        <v>1418</v>
      </c>
      <c r="B336" s="71" t="s">
        <v>67</v>
      </c>
      <c r="C336" s="71">
        <v>85.0</v>
      </c>
      <c r="D336" s="71" t="s">
        <v>843</v>
      </c>
      <c r="E336" s="71" t="s">
        <v>1256</v>
      </c>
      <c r="F336" s="71" t="s">
        <v>283</v>
      </c>
      <c r="G336" s="71" t="s">
        <v>669</v>
      </c>
      <c r="H336" s="71">
        <v>5.0</v>
      </c>
      <c r="I336" s="71">
        <v>5.0</v>
      </c>
      <c r="J336" s="71">
        <v>15.0</v>
      </c>
      <c r="K336" s="72">
        <f>Centrocampisti!I85</f>
        <v>9</v>
      </c>
      <c r="L336" s="73">
        <f>Centrocampisti!AE85</f>
        <v>6.06</v>
      </c>
      <c r="M336" s="74">
        <f>Centrocampisti!B85</f>
        <v>14</v>
      </c>
      <c r="N336" s="71">
        <f>Centrocampisti!A85</f>
        <v>82</v>
      </c>
      <c r="O336" s="71" t="s">
        <v>68</v>
      </c>
      <c r="P336" s="71">
        <v>36.0</v>
      </c>
      <c r="Q336" s="71">
        <v>6.06</v>
      </c>
      <c r="R336" s="71" t="s">
        <v>71</v>
      </c>
      <c r="S336" s="71" t="s">
        <v>644</v>
      </c>
      <c r="T336" s="71" t="str">
        <f>Centrocampisti!K85</f>
        <v>3a fascia</v>
      </c>
      <c r="U336" s="71" t="s">
        <v>70</v>
      </c>
      <c r="V336" s="71">
        <v>2.0</v>
      </c>
      <c r="W336" s="71">
        <f t="shared" si="1"/>
        <v>224</v>
      </c>
    </row>
    <row r="337" ht="15.75" customHeight="1">
      <c r="A337" s="71" t="s">
        <v>1421</v>
      </c>
      <c r="B337" s="71" t="s">
        <v>67</v>
      </c>
      <c r="C337" s="71">
        <v>86.0</v>
      </c>
      <c r="D337" s="71" t="s">
        <v>847</v>
      </c>
      <c r="E337" s="71" t="s">
        <v>1225</v>
      </c>
      <c r="F337" s="71" t="s">
        <v>208</v>
      </c>
      <c r="G337" s="71" t="s">
        <v>669</v>
      </c>
      <c r="H337" s="71">
        <v>12.0</v>
      </c>
      <c r="I337" s="71">
        <v>12.0</v>
      </c>
      <c r="J337" s="71">
        <v>50.0</v>
      </c>
      <c r="K337" s="72">
        <f>Centrocampisti!I86</f>
        <v>19</v>
      </c>
      <c r="L337" s="73">
        <f>Centrocampisti!AE86</f>
        <v>5.5</v>
      </c>
      <c r="M337" s="74">
        <f>Centrocampisti!B86</f>
        <v>13.8</v>
      </c>
      <c r="N337" s="71">
        <f>Centrocampisti!A86</f>
        <v>83</v>
      </c>
      <c r="O337" s="71" t="s">
        <v>68</v>
      </c>
      <c r="P337" s="71">
        <v>0.0</v>
      </c>
      <c r="R337" s="71" t="s">
        <v>71</v>
      </c>
      <c r="S337" s="71" t="s">
        <v>644</v>
      </c>
      <c r="T337" s="71" t="str">
        <f>Centrocampisti!K86</f>
        <v>2a fascia</v>
      </c>
      <c r="U337" s="71" t="s">
        <v>214</v>
      </c>
      <c r="V337" s="71">
        <v>0.0</v>
      </c>
      <c r="W337" s="71">
        <f t="shared" si="1"/>
        <v>56</v>
      </c>
    </row>
    <row r="338" ht="15.75" customHeight="1">
      <c r="A338" s="71" t="s">
        <v>1425</v>
      </c>
      <c r="B338" s="71" t="s">
        <v>67</v>
      </c>
      <c r="C338" s="71">
        <v>87.0</v>
      </c>
      <c r="D338" s="71" t="s">
        <v>853</v>
      </c>
      <c r="E338" s="71" t="s">
        <v>1233</v>
      </c>
      <c r="F338" s="71" t="s">
        <v>185</v>
      </c>
      <c r="G338" s="71" t="s">
        <v>669</v>
      </c>
      <c r="H338" s="71">
        <v>6.0</v>
      </c>
      <c r="I338" s="71">
        <v>7.0</v>
      </c>
      <c r="J338" s="71">
        <v>20.0</v>
      </c>
      <c r="K338" s="72">
        <f>Centrocampisti!I87</f>
        <v>11</v>
      </c>
      <c r="L338" s="73">
        <f>Centrocampisti!AE87</f>
        <v>5.96</v>
      </c>
      <c r="M338" s="74">
        <f>Centrocampisti!B87</f>
        <v>13.6</v>
      </c>
      <c r="N338" s="71">
        <f>Centrocampisti!A87</f>
        <v>84</v>
      </c>
      <c r="O338" s="71" t="s">
        <v>68</v>
      </c>
      <c r="P338" s="71">
        <v>36.0</v>
      </c>
      <c r="Q338" s="71">
        <v>5.96</v>
      </c>
      <c r="R338" s="71" t="s">
        <v>71</v>
      </c>
      <c r="S338" s="71" t="s">
        <v>860</v>
      </c>
      <c r="T338" s="71" t="str">
        <f>Centrocampisti!K87</f>
        <v>3a fascia</v>
      </c>
      <c r="U338" s="71" t="s">
        <v>70</v>
      </c>
      <c r="V338" s="71">
        <v>2.0</v>
      </c>
      <c r="W338" s="71">
        <f t="shared" si="1"/>
        <v>173</v>
      </c>
    </row>
    <row r="339" ht="15.75" customHeight="1">
      <c r="A339" s="71" t="s">
        <v>1428</v>
      </c>
      <c r="B339" s="71" t="s">
        <v>67</v>
      </c>
      <c r="C339" s="71">
        <v>88.0</v>
      </c>
      <c r="D339" s="71" t="s">
        <v>865</v>
      </c>
      <c r="E339" s="71" t="s">
        <v>1241</v>
      </c>
      <c r="F339" s="71" t="s">
        <v>177</v>
      </c>
      <c r="G339" s="71" t="s">
        <v>669</v>
      </c>
      <c r="H339" s="71">
        <v>7.0</v>
      </c>
      <c r="I339" s="71">
        <v>7.0</v>
      </c>
      <c r="J339" s="71">
        <v>19.0</v>
      </c>
      <c r="K339" s="72">
        <f>Centrocampisti!I88</f>
        <v>11</v>
      </c>
      <c r="L339" s="73">
        <f>Centrocampisti!AE88</f>
        <v>5.97</v>
      </c>
      <c r="M339" s="74">
        <f>Centrocampisti!B88</f>
        <v>13.6</v>
      </c>
      <c r="N339" s="71">
        <f>Centrocampisti!A88</f>
        <v>84</v>
      </c>
      <c r="O339" s="71" t="s">
        <v>68</v>
      </c>
      <c r="P339" s="71">
        <v>36.0</v>
      </c>
      <c r="Q339" s="71">
        <v>5.97</v>
      </c>
      <c r="R339" s="71" t="s">
        <v>71</v>
      </c>
      <c r="S339" s="71" t="s">
        <v>869</v>
      </c>
      <c r="T339" s="71" t="str">
        <f>Centrocampisti!K88</f>
        <v>3a fascia</v>
      </c>
      <c r="U339" s="71" t="s">
        <v>70</v>
      </c>
      <c r="V339" s="71">
        <v>2.0</v>
      </c>
      <c r="W339" s="71">
        <f t="shared" si="1"/>
        <v>191</v>
      </c>
    </row>
    <row r="340" ht="15.75" customHeight="1">
      <c r="A340" s="71" t="s">
        <v>1431</v>
      </c>
      <c r="B340" s="71" t="s">
        <v>67</v>
      </c>
      <c r="C340" s="71">
        <v>89.0</v>
      </c>
      <c r="D340" s="71" t="s">
        <v>874</v>
      </c>
      <c r="E340" s="71" t="s">
        <v>1209</v>
      </c>
      <c r="F340" s="71" t="s">
        <v>64</v>
      </c>
      <c r="G340" s="71" t="s">
        <v>669</v>
      </c>
      <c r="H340" s="71">
        <v>4.0</v>
      </c>
      <c r="I340" s="71">
        <v>5.0</v>
      </c>
      <c r="J340" s="71">
        <v>12.0</v>
      </c>
      <c r="K340" s="72">
        <f>Centrocampisti!I89</f>
        <v>8</v>
      </c>
      <c r="L340" s="73">
        <f>Centrocampisti!AE89</f>
        <v>6.06</v>
      </c>
      <c r="M340" s="74">
        <f>Centrocampisti!B89</f>
        <v>13.3</v>
      </c>
      <c r="N340" s="71">
        <f>Centrocampisti!A89</f>
        <v>86</v>
      </c>
      <c r="O340" s="71" t="s">
        <v>332</v>
      </c>
      <c r="P340" s="71">
        <v>27.0</v>
      </c>
      <c r="Q340" s="71">
        <v>6.06</v>
      </c>
      <c r="R340" s="71" t="s">
        <v>71</v>
      </c>
      <c r="S340" s="71" t="s">
        <v>878</v>
      </c>
      <c r="T340" s="71" t="str">
        <f>Centrocampisti!K89</f>
        <v>3a fascia</v>
      </c>
      <c r="U340" s="71" t="s">
        <v>392</v>
      </c>
      <c r="V340" s="71">
        <v>2.0</v>
      </c>
      <c r="W340" s="71">
        <f t="shared" si="1"/>
        <v>282</v>
      </c>
    </row>
    <row r="341" ht="15.75" customHeight="1">
      <c r="A341" s="71" t="s">
        <v>1434</v>
      </c>
      <c r="B341" s="71" t="s">
        <v>67</v>
      </c>
      <c r="C341" s="71">
        <v>90.0</v>
      </c>
      <c r="D341" s="71" t="s">
        <v>882</v>
      </c>
      <c r="E341" s="71" t="s">
        <v>1225</v>
      </c>
      <c r="F341" s="71" t="s">
        <v>208</v>
      </c>
      <c r="G341" s="71" t="s">
        <v>669</v>
      </c>
      <c r="H341" s="71">
        <v>3.0</v>
      </c>
      <c r="I341" s="71">
        <v>3.0</v>
      </c>
      <c r="J341" s="71">
        <v>11.0</v>
      </c>
      <c r="K341" s="72">
        <f>Centrocampisti!I90</f>
        <v>8</v>
      </c>
      <c r="L341" s="73">
        <f>Centrocampisti!AE90</f>
        <v>6.08</v>
      </c>
      <c r="M341" s="74">
        <f>Centrocampisti!B90</f>
        <v>13.3</v>
      </c>
      <c r="N341" s="71">
        <f>Centrocampisti!A90</f>
        <v>86</v>
      </c>
      <c r="O341" s="71" t="s">
        <v>332</v>
      </c>
      <c r="P341" s="71">
        <v>18.0</v>
      </c>
      <c r="Q341" s="71">
        <v>6.31</v>
      </c>
      <c r="R341" s="71" t="s">
        <v>71</v>
      </c>
      <c r="S341" s="71" t="s">
        <v>644</v>
      </c>
      <c r="T341" s="71" t="str">
        <f>Centrocampisti!K90</f>
        <v>3a fascia</v>
      </c>
      <c r="U341" s="71" t="s">
        <v>392</v>
      </c>
      <c r="V341" s="71">
        <v>2.0</v>
      </c>
      <c r="W341" s="71">
        <f t="shared" si="1"/>
        <v>323</v>
      </c>
    </row>
    <row r="342" ht="15.75" customHeight="1">
      <c r="A342" s="71" t="s">
        <v>1437</v>
      </c>
      <c r="B342" s="71" t="s">
        <v>67</v>
      </c>
      <c r="C342" s="71">
        <v>91.0</v>
      </c>
      <c r="D342" s="71" t="s">
        <v>887</v>
      </c>
      <c r="E342" s="71" t="s">
        <v>1209</v>
      </c>
      <c r="F342" s="71" t="s">
        <v>64</v>
      </c>
      <c r="G342" s="71" t="s">
        <v>669</v>
      </c>
      <c r="H342" s="71">
        <v>12.0</v>
      </c>
      <c r="I342" s="71">
        <v>12.0</v>
      </c>
      <c r="J342" s="71">
        <v>47.0</v>
      </c>
      <c r="K342" s="72">
        <f>Centrocampisti!I91</f>
        <v>18</v>
      </c>
      <c r="L342" s="73">
        <f>Centrocampisti!AE91</f>
        <v>5.5</v>
      </c>
      <c r="M342" s="74">
        <f>Centrocampisti!B91</f>
        <v>13.1</v>
      </c>
      <c r="N342" s="71">
        <f>Centrocampisti!A91</f>
        <v>88</v>
      </c>
      <c r="O342" s="71" t="s">
        <v>68</v>
      </c>
      <c r="P342" s="71">
        <v>0.0</v>
      </c>
      <c r="R342" s="71" t="s">
        <v>71</v>
      </c>
      <c r="S342" s="71" t="s">
        <v>878</v>
      </c>
      <c r="T342" s="71" t="str">
        <f>Centrocampisti!K91</f>
        <v>2a fascia</v>
      </c>
      <c r="U342" s="71" t="s">
        <v>294</v>
      </c>
      <c r="V342" s="71">
        <v>1.0</v>
      </c>
      <c r="W342" s="71">
        <f t="shared" si="1"/>
        <v>65</v>
      </c>
    </row>
    <row r="343" ht="15.75" customHeight="1">
      <c r="A343" s="71" t="s">
        <v>1440</v>
      </c>
      <c r="B343" s="71" t="s">
        <v>67</v>
      </c>
      <c r="C343" s="71">
        <v>92.0</v>
      </c>
      <c r="D343" s="71" t="s">
        <v>892</v>
      </c>
      <c r="E343" s="71" t="s">
        <v>1210</v>
      </c>
      <c r="F343" s="71" t="s">
        <v>143</v>
      </c>
      <c r="G343" s="71" t="s">
        <v>669</v>
      </c>
      <c r="H343" s="71">
        <v>12.0</v>
      </c>
      <c r="I343" s="71">
        <v>12.0</v>
      </c>
      <c r="J343" s="71">
        <v>47.0</v>
      </c>
      <c r="K343" s="72">
        <f>Centrocampisti!I92</f>
        <v>18</v>
      </c>
      <c r="L343" s="73">
        <f>Centrocampisti!AE92</f>
        <v>5.5</v>
      </c>
      <c r="M343" s="74">
        <f>Centrocampisti!B92</f>
        <v>13.1</v>
      </c>
      <c r="N343" s="71">
        <f>Centrocampisti!A92</f>
        <v>88</v>
      </c>
      <c r="O343" s="71" t="s">
        <v>68</v>
      </c>
      <c r="P343" s="71">
        <v>0.0</v>
      </c>
      <c r="R343" s="71" t="s">
        <v>71</v>
      </c>
      <c r="S343" s="71" t="s">
        <v>896</v>
      </c>
      <c r="T343" s="71" t="str">
        <f>Centrocampisti!K92</f>
        <v>2a fascia</v>
      </c>
      <c r="U343" s="71" t="s">
        <v>214</v>
      </c>
      <c r="V343" s="71">
        <v>0.0</v>
      </c>
      <c r="W343" s="71">
        <f t="shared" si="1"/>
        <v>65</v>
      </c>
    </row>
    <row r="344" ht="15.75" customHeight="1">
      <c r="A344" s="71" t="s">
        <v>1443</v>
      </c>
      <c r="B344" s="71" t="s">
        <v>67</v>
      </c>
      <c r="C344" s="71">
        <v>93.0</v>
      </c>
      <c r="D344" s="71" t="s">
        <v>901</v>
      </c>
      <c r="E344" s="71" t="s">
        <v>1213</v>
      </c>
      <c r="F344" s="71" t="s">
        <v>175</v>
      </c>
      <c r="G344" s="71" t="s">
        <v>669</v>
      </c>
      <c r="H344" s="71">
        <v>5.0</v>
      </c>
      <c r="I344" s="71">
        <v>4.0</v>
      </c>
      <c r="J344" s="71">
        <v>10.0</v>
      </c>
      <c r="K344" s="72">
        <f>Centrocampisti!I93</f>
        <v>7</v>
      </c>
      <c r="L344" s="73">
        <f>Centrocampisti!AE93</f>
        <v>6.06</v>
      </c>
      <c r="M344" s="74">
        <f>Centrocampisti!B93</f>
        <v>12.8</v>
      </c>
      <c r="N344" s="71">
        <f>Centrocampisti!A93</f>
        <v>90</v>
      </c>
      <c r="O344" s="71" t="s">
        <v>332</v>
      </c>
      <c r="P344" s="71">
        <v>33.0</v>
      </c>
      <c r="Q344" s="71">
        <v>6.06</v>
      </c>
      <c r="R344" s="71" t="s">
        <v>71</v>
      </c>
      <c r="S344" s="71" t="s">
        <v>735</v>
      </c>
      <c r="T344" s="71" t="str">
        <f>Centrocampisti!K93</f>
        <v>3a fascia</v>
      </c>
      <c r="U344" s="71" t="s">
        <v>333</v>
      </c>
      <c r="V344" s="71">
        <v>0.0</v>
      </c>
      <c r="W344" s="71">
        <f t="shared" si="1"/>
        <v>342</v>
      </c>
    </row>
    <row r="345" ht="15.75" customHeight="1">
      <c r="A345" s="71" t="s">
        <v>1445</v>
      </c>
      <c r="B345" s="71" t="s">
        <v>67</v>
      </c>
      <c r="C345" s="71">
        <v>94.0</v>
      </c>
      <c r="D345" s="71" t="s">
        <v>907</v>
      </c>
      <c r="E345" s="71" t="s">
        <v>1207</v>
      </c>
      <c r="F345" s="71" t="s">
        <v>93</v>
      </c>
      <c r="G345" s="71" t="s">
        <v>669</v>
      </c>
      <c r="H345" s="71">
        <v>11.0</v>
      </c>
      <c r="I345" s="71">
        <v>12.0</v>
      </c>
      <c r="J345" s="71">
        <v>45.0</v>
      </c>
      <c r="K345" s="72">
        <f>Centrocampisti!I94</f>
        <v>18</v>
      </c>
      <c r="L345" s="73">
        <f>Centrocampisti!AE94</f>
        <v>5.5</v>
      </c>
      <c r="M345" s="74">
        <f>Centrocampisti!B94</f>
        <v>12.6</v>
      </c>
      <c r="N345" s="71">
        <f>Centrocampisti!A94</f>
        <v>91</v>
      </c>
      <c r="O345" s="71" t="s">
        <v>68</v>
      </c>
      <c r="P345" s="71">
        <v>0.0</v>
      </c>
      <c r="R345" s="71" t="s">
        <v>71</v>
      </c>
      <c r="S345" s="71" t="s">
        <v>913</v>
      </c>
      <c r="T345" s="71" t="str">
        <f>Centrocampisti!K94</f>
        <v>2a fascia</v>
      </c>
      <c r="U345" s="71" t="s">
        <v>148</v>
      </c>
      <c r="V345" s="71">
        <v>1.0</v>
      </c>
      <c r="W345" s="71">
        <f t="shared" si="1"/>
        <v>71</v>
      </c>
    </row>
    <row r="346" ht="15.75" customHeight="1">
      <c r="A346" s="71" t="s">
        <v>1447</v>
      </c>
      <c r="B346" s="71" t="s">
        <v>67</v>
      </c>
      <c r="C346" s="71">
        <v>95.0</v>
      </c>
      <c r="D346" s="71" t="s">
        <v>916</v>
      </c>
      <c r="E346" s="71" t="s">
        <v>1213</v>
      </c>
      <c r="F346" s="71" t="s">
        <v>175</v>
      </c>
      <c r="G346" s="71" t="s">
        <v>669</v>
      </c>
      <c r="H346" s="71">
        <v>12.0</v>
      </c>
      <c r="I346" s="71">
        <v>11.0</v>
      </c>
      <c r="J346" s="71">
        <v>45.0</v>
      </c>
      <c r="K346" s="72">
        <f>Centrocampisti!I95</f>
        <v>18</v>
      </c>
      <c r="L346" s="73">
        <f>Centrocampisti!AE95</f>
        <v>5.5</v>
      </c>
      <c r="M346" s="74">
        <f>Centrocampisti!B95</f>
        <v>12.6</v>
      </c>
      <c r="N346" s="71">
        <f>Centrocampisti!A95</f>
        <v>91</v>
      </c>
      <c r="O346" s="71" t="s">
        <v>68</v>
      </c>
      <c r="P346" s="71">
        <v>0.0</v>
      </c>
      <c r="R346" s="71" t="s">
        <v>71</v>
      </c>
      <c r="S346" s="71" t="s">
        <v>913</v>
      </c>
      <c r="T346" s="71" t="str">
        <f>Centrocampisti!K95</f>
        <v>2a fascia</v>
      </c>
      <c r="U346" s="71" t="s">
        <v>214</v>
      </c>
      <c r="V346" s="71">
        <v>0.0</v>
      </c>
      <c r="W346" s="71">
        <f t="shared" si="1"/>
        <v>71</v>
      </c>
    </row>
    <row r="347" ht="15.75" customHeight="1">
      <c r="A347" s="71" t="s">
        <v>1449</v>
      </c>
      <c r="B347" s="71" t="s">
        <v>67</v>
      </c>
      <c r="C347" s="71">
        <v>96.0</v>
      </c>
      <c r="D347" s="71" t="s">
        <v>922</v>
      </c>
      <c r="E347" s="71" t="s">
        <v>1225</v>
      </c>
      <c r="F347" s="71" t="s">
        <v>208</v>
      </c>
      <c r="G347" s="71" t="s">
        <v>669</v>
      </c>
      <c r="H347" s="71">
        <v>4.0</v>
      </c>
      <c r="I347" s="71">
        <v>4.0</v>
      </c>
      <c r="J347" s="71">
        <v>28.0</v>
      </c>
      <c r="K347" s="72">
        <f>Centrocampisti!I96</f>
        <v>13</v>
      </c>
      <c r="L347" s="73">
        <f>Centrocampisti!AE96</f>
        <v>5.76</v>
      </c>
      <c r="M347" s="74">
        <f>Centrocampisti!B96</f>
        <v>12.5</v>
      </c>
      <c r="N347" s="71">
        <f>Centrocampisti!A96</f>
        <v>93</v>
      </c>
      <c r="O347" s="71" t="s">
        <v>332</v>
      </c>
      <c r="P347" s="71">
        <v>10.0</v>
      </c>
      <c r="Q347" s="71">
        <v>6.15</v>
      </c>
      <c r="R347" s="71" t="s">
        <v>71</v>
      </c>
      <c r="S347" s="71" t="s">
        <v>925</v>
      </c>
      <c r="T347" s="71" t="str">
        <f>Centrocampisti!K96</f>
        <v>3a fascia</v>
      </c>
      <c r="U347" s="71" t="s">
        <v>615</v>
      </c>
      <c r="V347" s="71">
        <v>1.0</v>
      </c>
      <c r="W347" s="71">
        <f t="shared" si="1"/>
        <v>117</v>
      </c>
    </row>
    <row r="348" ht="15.75" customHeight="1">
      <c r="A348" s="71" t="s">
        <v>1451</v>
      </c>
      <c r="B348" s="71" t="s">
        <v>67</v>
      </c>
      <c r="C348" s="71">
        <v>97.0</v>
      </c>
      <c r="D348" s="71" t="s">
        <v>930</v>
      </c>
      <c r="E348" s="71" t="s">
        <v>1243</v>
      </c>
      <c r="F348" s="71" t="s">
        <v>253</v>
      </c>
      <c r="G348" s="71" t="s">
        <v>669</v>
      </c>
      <c r="H348" s="71">
        <v>5.0</v>
      </c>
      <c r="I348" s="71">
        <v>6.0</v>
      </c>
      <c r="J348" s="71">
        <v>15.0</v>
      </c>
      <c r="K348" s="72">
        <f>Centrocampisti!I97</f>
        <v>9</v>
      </c>
      <c r="L348" s="73">
        <f>Centrocampisti!AE97</f>
        <v>5.96</v>
      </c>
      <c r="M348" s="74">
        <f>Centrocampisti!B97</f>
        <v>12.4</v>
      </c>
      <c r="N348" s="71">
        <f>Centrocampisti!A97</f>
        <v>94</v>
      </c>
      <c r="O348" s="71" t="s">
        <v>226</v>
      </c>
      <c r="P348" s="71">
        <v>34.0</v>
      </c>
      <c r="Q348" s="71">
        <v>5.96</v>
      </c>
      <c r="R348" s="71" t="s">
        <v>71</v>
      </c>
      <c r="S348" s="71" t="s">
        <v>913</v>
      </c>
      <c r="T348" s="71" t="str">
        <f>Centrocampisti!K97</f>
        <v>3a fascia</v>
      </c>
      <c r="U348" s="71" t="s">
        <v>277</v>
      </c>
      <c r="V348" s="71">
        <v>2.0</v>
      </c>
      <c r="W348" s="71">
        <f t="shared" si="1"/>
        <v>224</v>
      </c>
    </row>
    <row r="349" ht="15.75" customHeight="1">
      <c r="A349" s="71" t="s">
        <v>1454</v>
      </c>
      <c r="B349" s="71" t="s">
        <v>67</v>
      </c>
      <c r="C349" s="71">
        <v>98.0</v>
      </c>
      <c r="D349" s="71" t="s">
        <v>936</v>
      </c>
      <c r="E349" s="71" t="s">
        <v>1233</v>
      </c>
      <c r="F349" s="71" t="s">
        <v>185</v>
      </c>
      <c r="G349" s="71" t="s">
        <v>669</v>
      </c>
      <c r="H349" s="71">
        <v>5.0</v>
      </c>
      <c r="I349" s="71">
        <v>6.0</v>
      </c>
      <c r="J349" s="71">
        <v>15.0</v>
      </c>
      <c r="K349" s="72">
        <f>Centrocampisti!I98</f>
        <v>9</v>
      </c>
      <c r="L349" s="73">
        <f>Centrocampisti!AE98</f>
        <v>5.95</v>
      </c>
      <c r="M349" s="74">
        <f>Centrocampisti!B98</f>
        <v>12.3</v>
      </c>
      <c r="N349" s="71">
        <f>Centrocampisti!A98</f>
        <v>95</v>
      </c>
      <c r="O349" s="71" t="s">
        <v>226</v>
      </c>
      <c r="P349" s="71">
        <v>30.0</v>
      </c>
      <c r="Q349" s="71">
        <v>5.95</v>
      </c>
      <c r="R349" s="71" t="s">
        <v>71</v>
      </c>
      <c r="S349" s="71" t="s">
        <v>941</v>
      </c>
      <c r="T349" s="71" t="str">
        <f>Centrocampisti!K98</f>
        <v>3a fascia</v>
      </c>
      <c r="U349" s="71" t="s">
        <v>277</v>
      </c>
      <c r="V349" s="71">
        <v>2.0</v>
      </c>
      <c r="W349" s="71">
        <f t="shared" si="1"/>
        <v>224</v>
      </c>
    </row>
    <row r="350" ht="15.75" customHeight="1">
      <c r="A350" s="71" t="s">
        <v>1456</v>
      </c>
      <c r="B350" s="71" t="s">
        <v>67</v>
      </c>
      <c r="C350" s="71">
        <v>99.0</v>
      </c>
      <c r="D350" s="71" t="s">
        <v>947</v>
      </c>
      <c r="E350" s="71" t="s">
        <v>1228</v>
      </c>
      <c r="F350" s="71" t="s">
        <v>212</v>
      </c>
      <c r="G350" s="71" t="s">
        <v>669</v>
      </c>
      <c r="H350" s="71">
        <v>7.0</v>
      </c>
      <c r="I350" s="71">
        <v>6.0</v>
      </c>
      <c r="J350" s="71">
        <v>12.0</v>
      </c>
      <c r="K350" s="72">
        <f>Centrocampisti!I99</f>
        <v>8</v>
      </c>
      <c r="L350" s="73">
        <f>Centrocampisti!AE99</f>
        <v>5.8</v>
      </c>
      <c r="M350" s="74">
        <f>Centrocampisti!B99</f>
        <v>12.2</v>
      </c>
      <c r="N350" s="71">
        <f>Centrocampisti!A99</f>
        <v>96</v>
      </c>
      <c r="O350" s="71" t="s">
        <v>226</v>
      </c>
      <c r="P350" s="71">
        <v>18.0</v>
      </c>
      <c r="Q350" s="71">
        <v>5.92</v>
      </c>
      <c r="R350" s="71" t="s">
        <v>71</v>
      </c>
      <c r="S350" s="71" t="s">
        <v>954</v>
      </c>
      <c r="T350" s="71" t="str">
        <f>Centrocampisti!K99</f>
        <v>3a fascia</v>
      </c>
      <c r="U350" s="71" t="s">
        <v>227</v>
      </c>
      <c r="V350" s="71">
        <v>0.0</v>
      </c>
      <c r="W350" s="71">
        <f t="shared" si="1"/>
        <v>282</v>
      </c>
    </row>
    <row r="351" ht="15.75" customHeight="1">
      <c r="A351" s="71" t="s">
        <v>1459</v>
      </c>
      <c r="B351" s="71" t="s">
        <v>67</v>
      </c>
      <c r="C351" s="71">
        <v>100.0</v>
      </c>
      <c r="D351" s="71" t="s">
        <v>965</v>
      </c>
      <c r="E351" s="71" t="s">
        <v>1241</v>
      </c>
      <c r="F351" s="71" t="s">
        <v>177</v>
      </c>
      <c r="G351" s="71" t="s">
        <v>669</v>
      </c>
      <c r="H351" s="71">
        <v>6.0</v>
      </c>
      <c r="I351" s="71">
        <v>6.0</v>
      </c>
      <c r="J351" s="71">
        <v>16.0</v>
      </c>
      <c r="K351" s="72">
        <f>Centrocampisti!I100</f>
        <v>10</v>
      </c>
      <c r="L351" s="73">
        <f>Centrocampisti!AE100</f>
        <v>5.91</v>
      </c>
      <c r="M351" s="74">
        <f>Centrocampisti!B100</f>
        <v>11.9</v>
      </c>
      <c r="N351" s="71">
        <f>Centrocampisti!A100</f>
        <v>97</v>
      </c>
      <c r="O351" s="71" t="s">
        <v>68</v>
      </c>
      <c r="P351" s="71">
        <v>35.0</v>
      </c>
      <c r="Q351" s="71">
        <v>5.91</v>
      </c>
      <c r="R351" s="71" t="s">
        <v>71</v>
      </c>
      <c r="S351" s="71" t="s">
        <v>974</v>
      </c>
      <c r="T351" s="71" t="str">
        <f>Centrocampisti!K100</f>
        <v>3a fascia</v>
      </c>
      <c r="U351" s="71" t="s">
        <v>70</v>
      </c>
      <c r="V351" s="71">
        <v>2.0</v>
      </c>
      <c r="W351" s="71">
        <f t="shared" si="1"/>
        <v>215</v>
      </c>
    </row>
    <row r="352" ht="15.75" customHeight="1">
      <c r="A352" s="71" t="s">
        <v>1461</v>
      </c>
      <c r="B352" s="71" t="s">
        <v>67</v>
      </c>
      <c r="C352" s="71">
        <v>101.0</v>
      </c>
      <c r="D352" s="71" t="s">
        <v>978</v>
      </c>
      <c r="E352" s="71" t="s">
        <v>1207</v>
      </c>
      <c r="F352" s="71" t="s">
        <v>93</v>
      </c>
      <c r="G352" s="71" t="s">
        <v>669</v>
      </c>
      <c r="H352" s="71">
        <v>12.0</v>
      </c>
      <c r="I352" s="71">
        <v>11.0</v>
      </c>
      <c r="J352" s="71">
        <v>42.0</v>
      </c>
      <c r="K352" s="72">
        <f>Centrocampisti!I101</f>
        <v>17</v>
      </c>
      <c r="L352" s="73">
        <f>Centrocampisti!AE101</f>
        <v>5.5</v>
      </c>
      <c r="M352" s="74">
        <f>Centrocampisti!B101</f>
        <v>11.8</v>
      </c>
      <c r="N352" s="71">
        <f>Centrocampisti!A101</f>
        <v>98</v>
      </c>
      <c r="O352" s="71" t="s">
        <v>68</v>
      </c>
      <c r="P352" s="71">
        <v>0.0</v>
      </c>
      <c r="R352" s="71" t="s">
        <v>71</v>
      </c>
      <c r="S352" s="71" t="s">
        <v>983</v>
      </c>
      <c r="T352" s="71" t="str">
        <f>Centrocampisti!K101</f>
        <v>2a fascia</v>
      </c>
      <c r="U352" s="71" t="s">
        <v>294</v>
      </c>
      <c r="V352" s="71">
        <v>1.0</v>
      </c>
      <c r="W352" s="71">
        <f t="shared" si="1"/>
        <v>78</v>
      </c>
    </row>
    <row r="353" ht="15.75" customHeight="1">
      <c r="A353" s="71" t="s">
        <v>1463</v>
      </c>
      <c r="B353" s="71" t="s">
        <v>67</v>
      </c>
      <c r="C353" s="71">
        <v>102.0</v>
      </c>
      <c r="D353" s="71" t="s">
        <v>686</v>
      </c>
      <c r="E353" s="71" t="s">
        <v>1215</v>
      </c>
      <c r="F353" s="71" t="s">
        <v>133</v>
      </c>
      <c r="G353" s="71" t="s">
        <v>669</v>
      </c>
      <c r="H353" s="71">
        <v>5.0</v>
      </c>
      <c r="I353" s="71">
        <v>4.0</v>
      </c>
      <c r="J353" s="71">
        <v>10.0</v>
      </c>
      <c r="K353" s="72">
        <f>Centrocampisti!I102</f>
        <v>7</v>
      </c>
      <c r="L353" s="73">
        <f>Centrocampisti!AE102</f>
        <v>6</v>
      </c>
      <c r="M353" s="74">
        <f>Centrocampisti!B102</f>
        <v>11.8</v>
      </c>
      <c r="N353" s="71">
        <f>Centrocampisti!A102</f>
        <v>98</v>
      </c>
      <c r="O353" s="71" t="s">
        <v>332</v>
      </c>
      <c r="P353" s="71">
        <v>12.0</v>
      </c>
      <c r="Q353" s="71">
        <v>6.54</v>
      </c>
      <c r="R353" s="71" t="s">
        <v>71</v>
      </c>
      <c r="S353" s="71" t="s">
        <v>983</v>
      </c>
      <c r="T353" s="71" t="str">
        <f>Centrocampisti!K102</f>
        <v>3a fascia</v>
      </c>
      <c r="U353" s="71" t="s">
        <v>477</v>
      </c>
      <c r="V353" s="71">
        <v>0.0</v>
      </c>
      <c r="W353" s="71">
        <f t="shared" si="1"/>
        <v>342</v>
      </c>
    </row>
    <row r="354" ht="15.75" customHeight="1">
      <c r="A354" s="71" t="s">
        <v>1465</v>
      </c>
      <c r="B354" s="71" t="s">
        <v>67</v>
      </c>
      <c r="C354" s="71">
        <v>103.0</v>
      </c>
      <c r="D354" s="71" t="s">
        <v>948</v>
      </c>
      <c r="E354" s="71" t="s">
        <v>1205</v>
      </c>
      <c r="F354" s="71" t="s">
        <v>60</v>
      </c>
      <c r="G354" s="71" t="s">
        <v>669</v>
      </c>
      <c r="H354" s="71">
        <v>4.0</v>
      </c>
      <c r="I354" s="71">
        <v>4.0</v>
      </c>
      <c r="J354" s="71">
        <v>10.0</v>
      </c>
      <c r="K354" s="72">
        <f>Centrocampisti!I103</f>
        <v>7</v>
      </c>
      <c r="L354" s="73">
        <f>Centrocampisti!AE103</f>
        <v>6</v>
      </c>
      <c r="M354" s="74">
        <f>Centrocampisti!B103</f>
        <v>11.8</v>
      </c>
      <c r="N354" s="71">
        <f>Centrocampisti!A103</f>
        <v>98</v>
      </c>
      <c r="O354" s="71" t="s">
        <v>226</v>
      </c>
      <c r="P354" s="71">
        <v>34.0</v>
      </c>
      <c r="Q354" s="71">
        <v>6.0</v>
      </c>
      <c r="R354" s="71" t="s">
        <v>71</v>
      </c>
      <c r="S354" s="71" t="s">
        <v>954</v>
      </c>
      <c r="T354" s="71" t="str">
        <f>Centrocampisti!K103</f>
        <v>3a fascia</v>
      </c>
      <c r="U354" s="71" t="s">
        <v>227</v>
      </c>
      <c r="V354" s="71">
        <v>0.0</v>
      </c>
      <c r="W354" s="71">
        <f t="shared" si="1"/>
        <v>342</v>
      </c>
    </row>
    <row r="355" ht="15.75" customHeight="1">
      <c r="A355" s="71" t="s">
        <v>1467</v>
      </c>
      <c r="B355" s="71" t="s">
        <v>67</v>
      </c>
      <c r="C355" s="71">
        <v>104.0</v>
      </c>
      <c r="D355" s="71" t="s">
        <v>688</v>
      </c>
      <c r="E355" s="71" t="s">
        <v>1219</v>
      </c>
      <c r="F355" s="71" t="s">
        <v>195</v>
      </c>
      <c r="G355" s="71" t="s">
        <v>669</v>
      </c>
      <c r="H355" s="71">
        <v>6.0</v>
      </c>
      <c r="I355" s="71">
        <v>7.0</v>
      </c>
      <c r="J355" s="71">
        <v>16.0</v>
      </c>
      <c r="K355" s="72">
        <f>Centrocampisti!I104</f>
        <v>10</v>
      </c>
      <c r="L355" s="73">
        <f>Centrocampisti!AE104</f>
        <v>5.56</v>
      </c>
      <c r="M355" s="74">
        <f>Centrocampisti!B104</f>
        <v>11.4</v>
      </c>
      <c r="N355" s="71">
        <f>Centrocampisti!A104</f>
        <v>101</v>
      </c>
      <c r="O355" s="71" t="s">
        <v>332</v>
      </c>
      <c r="P355" s="71">
        <v>11.0</v>
      </c>
      <c r="Q355" s="71">
        <v>5.64</v>
      </c>
      <c r="R355" s="71" t="s">
        <v>71</v>
      </c>
      <c r="S355" s="71" t="s">
        <v>320</v>
      </c>
      <c r="T355" s="71" t="str">
        <f>Centrocampisti!K104</f>
        <v>3a fascia</v>
      </c>
      <c r="U355" s="71" t="s">
        <v>187</v>
      </c>
      <c r="V355" s="71">
        <v>2.0</v>
      </c>
      <c r="W355" s="71">
        <f t="shared" si="1"/>
        <v>215</v>
      </c>
    </row>
    <row r="356" ht="15.75" customHeight="1">
      <c r="A356" s="71" t="s">
        <v>1469</v>
      </c>
      <c r="B356" s="71" t="s">
        <v>67</v>
      </c>
      <c r="C356" s="71">
        <v>105.0</v>
      </c>
      <c r="D356" s="71" t="s">
        <v>1013</v>
      </c>
      <c r="E356" s="71" t="s">
        <v>1222</v>
      </c>
      <c r="F356" s="71" t="s">
        <v>182</v>
      </c>
      <c r="G356" s="71" t="s">
        <v>669</v>
      </c>
      <c r="H356" s="71">
        <v>7.0</v>
      </c>
      <c r="I356" s="71">
        <v>7.0</v>
      </c>
      <c r="J356" s="71">
        <v>23.0</v>
      </c>
      <c r="K356" s="72">
        <f>Centrocampisti!I105</f>
        <v>12</v>
      </c>
      <c r="L356" s="73">
        <f>Centrocampisti!AE105</f>
        <v>5.76</v>
      </c>
      <c r="M356" s="74">
        <f>Centrocampisti!B105</f>
        <v>11.3</v>
      </c>
      <c r="N356" s="71">
        <f>Centrocampisti!A105</f>
        <v>102</v>
      </c>
      <c r="O356" s="71" t="s">
        <v>226</v>
      </c>
      <c r="P356" s="71">
        <v>23.0</v>
      </c>
      <c r="Q356" s="71">
        <v>5.78</v>
      </c>
      <c r="R356" s="71" t="s">
        <v>71</v>
      </c>
      <c r="S356" s="71" t="s">
        <v>176</v>
      </c>
      <c r="T356" s="71" t="str">
        <f>Centrocampisti!K105</f>
        <v>3a fascia</v>
      </c>
      <c r="U356" s="71" t="s">
        <v>277</v>
      </c>
      <c r="V356" s="71">
        <v>2.0</v>
      </c>
      <c r="W356" s="71">
        <f t="shared" si="1"/>
        <v>150</v>
      </c>
    </row>
    <row r="357" ht="15.75" customHeight="1">
      <c r="A357" s="71" t="s">
        <v>1471</v>
      </c>
      <c r="B357" s="71" t="s">
        <v>67</v>
      </c>
      <c r="C357" s="71">
        <v>106.0</v>
      </c>
      <c r="D357" s="71" t="s">
        <v>935</v>
      </c>
      <c r="E357" s="71" t="s">
        <v>1213</v>
      </c>
      <c r="F357" s="71" t="s">
        <v>175</v>
      </c>
      <c r="G357" s="71" t="s">
        <v>669</v>
      </c>
      <c r="H357" s="71">
        <v>2.0</v>
      </c>
      <c r="I357" s="71">
        <v>3.0</v>
      </c>
      <c r="J357" s="71">
        <v>15.0</v>
      </c>
      <c r="K357" s="72">
        <f>Centrocampisti!I106</f>
        <v>9</v>
      </c>
      <c r="L357" s="73">
        <f>Centrocampisti!AE106</f>
        <v>5.88</v>
      </c>
      <c r="M357" s="74">
        <f>Centrocampisti!B106</f>
        <v>11.2</v>
      </c>
      <c r="N357" s="71">
        <f>Centrocampisti!A106</f>
        <v>103</v>
      </c>
      <c r="O357" s="71" t="s">
        <v>332</v>
      </c>
      <c r="P357" s="71">
        <v>16.0</v>
      </c>
      <c r="Q357" s="71">
        <v>6.09</v>
      </c>
      <c r="R357" s="71" t="s">
        <v>71</v>
      </c>
      <c r="S357" s="71" t="s">
        <v>216</v>
      </c>
      <c r="T357" s="71" t="str">
        <f>Centrocampisti!K106</f>
        <v>3a fascia</v>
      </c>
      <c r="U357" s="71" t="s">
        <v>473</v>
      </c>
      <c r="V357" s="71">
        <v>2.0</v>
      </c>
      <c r="W357" s="71">
        <f t="shared" si="1"/>
        <v>224</v>
      </c>
    </row>
    <row r="358" ht="15.75" customHeight="1">
      <c r="A358" s="71" t="s">
        <v>1473</v>
      </c>
      <c r="B358" s="71" t="s">
        <v>67</v>
      </c>
      <c r="C358" s="71">
        <v>107.0</v>
      </c>
      <c r="D358" s="71" t="s">
        <v>1022</v>
      </c>
      <c r="E358" s="71" t="s">
        <v>1228</v>
      </c>
      <c r="F358" s="71" t="s">
        <v>212</v>
      </c>
      <c r="G358" s="71" t="s">
        <v>669</v>
      </c>
      <c r="H358" s="71">
        <v>5.0</v>
      </c>
      <c r="I358" s="71">
        <v>5.0</v>
      </c>
      <c r="J358" s="71">
        <v>12.0</v>
      </c>
      <c r="K358" s="72">
        <f>Centrocampisti!I107</f>
        <v>8</v>
      </c>
      <c r="L358" s="73">
        <f>Centrocampisti!AE107</f>
        <v>5.81</v>
      </c>
      <c r="M358" s="74">
        <f>Centrocampisti!B107</f>
        <v>11.1</v>
      </c>
      <c r="N358" s="71">
        <f>Centrocampisti!A107</f>
        <v>104</v>
      </c>
      <c r="O358" s="71" t="s">
        <v>332</v>
      </c>
      <c r="P358" s="71">
        <v>27.0</v>
      </c>
      <c r="Q358" s="71">
        <v>5.81</v>
      </c>
      <c r="R358" s="71" t="s">
        <v>71</v>
      </c>
      <c r="S358" s="71" t="s">
        <v>275</v>
      </c>
      <c r="T358" s="71" t="str">
        <f>Centrocampisti!K107</f>
        <v>3a fascia</v>
      </c>
      <c r="U358" s="71" t="s">
        <v>392</v>
      </c>
      <c r="V358" s="71">
        <v>2.0</v>
      </c>
      <c r="W358" s="71">
        <f t="shared" si="1"/>
        <v>282</v>
      </c>
    </row>
    <row r="359" ht="15.75" customHeight="1">
      <c r="A359" s="71" t="s">
        <v>1475</v>
      </c>
      <c r="B359" s="71" t="s">
        <v>67</v>
      </c>
      <c r="C359" s="71">
        <v>108.0</v>
      </c>
      <c r="D359" s="71" t="s">
        <v>942</v>
      </c>
      <c r="E359" s="71" t="s">
        <v>1256</v>
      </c>
      <c r="F359" s="71" t="s">
        <v>283</v>
      </c>
      <c r="G359" s="71" t="s">
        <v>669</v>
      </c>
      <c r="H359" s="71">
        <v>4.0</v>
      </c>
      <c r="I359" s="71">
        <v>4.0</v>
      </c>
      <c r="J359" s="71">
        <v>8.0</v>
      </c>
      <c r="K359" s="72">
        <f>Centrocampisti!I108</f>
        <v>6</v>
      </c>
      <c r="L359" s="73">
        <f>Centrocampisti!AE108</f>
        <v>5.98</v>
      </c>
      <c r="M359" s="74">
        <f>Centrocampisti!B108</f>
        <v>11</v>
      </c>
      <c r="N359" s="71">
        <f>Centrocampisti!A108</f>
        <v>105</v>
      </c>
      <c r="O359" s="71" t="s">
        <v>226</v>
      </c>
      <c r="P359" s="71">
        <v>22.0</v>
      </c>
      <c r="Q359" s="71">
        <v>6.05</v>
      </c>
      <c r="R359" s="71" t="s">
        <v>71</v>
      </c>
      <c r="S359" s="71" t="s">
        <v>397</v>
      </c>
      <c r="T359" s="71" t="str">
        <f>Centrocampisti!K108</f>
        <v>4a fascia</v>
      </c>
      <c r="U359" s="71" t="s">
        <v>227</v>
      </c>
      <c r="V359" s="71">
        <v>0.0</v>
      </c>
      <c r="W359" s="71">
        <f t="shared" si="1"/>
        <v>384</v>
      </c>
    </row>
    <row r="360" ht="15.75" customHeight="1">
      <c r="A360" s="71" t="s">
        <v>1478</v>
      </c>
      <c r="B360" s="71" t="s">
        <v>67</v>
      </c>
      <c r="C360" s="71">
        <v>109.0</v>
      </c>
      <c r="D360" s="71" t="s">
        <v>1052</v>
      </c>
      <c r="E360" s="71" t="s">
        <v>1215</v>
      </c>
      <c r="F360" s="71" t="s">
        <v>133</v>
      </c>
      <c r="G360" s="71" t="s">
        <v>669</v>
      </c>
      <c r="H360" s="71">
        <v>5.0</v>
      </c>
      <c r="I360" s="71">
        <v>6.0</v>
      </c>
      <c r="J360" s="71">
        <v>30.0</v>
      </c>
      <c r="K360" s="72">
        <f>Centrocampisti!I109</f>
        <v>14</v>
      </c>
      <c r="L360" s="73">
        <f>Centrocampisti!AE109</f>
        <v>5.5</v>
      </c>
      <c r="M360" s="74">
        <f>Centrocampisti!B109</f>
        <v>10.7</v>
      </c>
      <c r="N360" s="71">
        <f>Centrocampisti!A109</f>
        <v>106</v>
      </c>
      <c r="O360" s="71" t="s">
        <v>226</v>
      </c>
      <c r="P360" s="71">
        <v>0.0</v>
      </c>
      <c r="R360" s="71" t="s">
        <v>71</v>
      </c>
      <c r="S360" s="71" t="s">
        <v>254</v>
      </c>
      <c r="T360" s="71" t="str">
        <f>Centrocampisti!K109</f>
        <v>3a fascia</v>
      </c>
      <c r="U360" s="71" t="s">
        <v>300</v>
      </c>
      <c r="V360" s="71">
        <v>2.0</v>
      </c>
      <c r="W360" s="71">
        <f t="shared" si="1"/>
        <v>111</v>
      </c>
    </row>
    <row r="361" ht="15.75" customHeight="1">
      <c r="A361" s="71" t="s">
        <v>1480</v>
      </c>
      <c r="B361" s="71" t="s">
        <v>67</v>
      </c>
      <c r="C361" s="71">
        <v>110.0</v>
      </c>
      <c r="D361" s="71" t="s">
        <v>833</v>
      </c>
      <c r="E361" s="71" t="s">
        <v>1243</v>
      </c>
      <c r="F361" s="71" t="s">
        <v>253</v>
      </c>
      <c r="G361" s="71" t="s">
        <v>669</v>
      </c>
      <c r="H361" s="71">
        <v>5.0</v>
      </c>
      <c r="I361" s="71">
        <v>6.0</v>
      </c>
      <c r="J361" s="71">
        <v>16.0</v>
      </c>
      <c r="K361" s="72">
        <f>Centrocampisti!I110</f>
        <v>10</v>
      </c>
      <c r="L361" s="73">
        <f>Centrocampisti!AE110</f>
        <v>5.72</v>
      </c>
      <c r="M361" s="74">
        <f>Centrocampisti!B110</f>
        <v>10.7</v>
      </c>
      <c r="N361" s="71">
        <f>Centrocampisti!A110</f>
        <v>106</v>
      </c>
      <c r="O361" s="71" t="s">
        <v>68</v>
      </c>
      <c r="P361" s="71">
        <v>4.0</v>
      </c>
      <c r="Q361" s="71">
        <v>6.88</v>
      </c>
      <c r="R361" s="71" t="s">
        <v>71</v>
      </c>
      <c r="S361" s="71" t="s">
        <v>216</v>
      </c>
      <c r="T361" s="71" t="str">
        <f>Centrocampisti!K110</f>
        <v>3a fascia</v>
      </c>
      <c r="U361" s="71" t="s">
        <v>100</v>
      </c>
      <c r="V361" s="71">
        <v>2.0</v>
      </c>
      <c r="W361" s="71">
        <f t="shared" si="1"/>
        <v>215</v>
      </c>
    </row>
    <row r="362" ht="15.75" customHeight="1">
      <c r="A362" s="71" t="s">
        <v>1482</v>
      </c>
      <c r="B362" s="71" t="s">
        <v>67</v>
      </c>
      <c r="C362" s="71">
        <v>111.0</v>
      </c>
      <c r="D362" s="71" t="s">
        <v>999</v>
      </c>
      <c r="E362" s="71" t="s">
        <v>1237</v>
      </c>
      <c r="F362" s="71" t="s">
        <v>239</v>
      </c>
      <c r="G362" s="71" t="s">
        <v>669</v>
      </c>
      <c r="H362" s="71">
        <v>6.0</v>
      </c>
      <c r="I362" s="71">
        <v>7.0</v>
      </c>
      <c r="J362" s="71">
        <v>13.0</v>
      </c>
      <c r="K362" s="72">
        <f>Centrocampisti!I111</f>
        <v>8</v>
      </c>
      <c r="L362" s="73">
        <f>Centrocampisti!AE111</f>
        <v>5.88</v>
      </c>
      <c r="M362" s="74">
        <f>Centrocampisti!B111</f>
        <v>10.7</v>
      </c>
      <c r="N362" s="71">
        <f>Centrocampisti!A111</f>
        <v>106</v>
      </c>
      <c r="O362" s="71" t="s">
        <v>68</v>
      </c>
      <c r="P362" s="71">
        <v>38.0</v>
      </c>
      <c r="Q362" s="71">
        <v>5.88</v>
      </c>
      <c r="R362" s="71" t="s">
        <v>71</v>
      </c>
      <c r="S362" s="71" t="s">
        <v>254</v>
      </c>
      <c r="T362" s="71" t="str">
        <f>Centrocampisti!K111</f>
        <v>3a fascia</v>
      </c>
      <c r="U362" s="71" t="s">
        <v>70</v>
      </c>
      <c r="V362" s="71">
        <v>2.0</v>
      </c>
      <c r="W362" s="71">
        <f t="shared" si="1"/>
        <v>262</v>
      </c>
    </row>
    <row r="363" ht="15.75" customHeight="1">
      <c r="A363" s="71" t="s">
        <v>1485</v>
      </c>
      <c r="B363" s="71" t="s">
        <v>67</v>
      </c>
      <c r="C363" s="71">
        <v>112.0</v>
      </c>
      <c r="D363" s="71" t="s">
        <v>859</v>
      </c>
      <c r="E363" s="71" t="s">
        <v>1237</v>
      </c>
      <c r="F363" s="71" t="s">
        <v>239</v>
      </c>
      <c r="G363" s="71" t="s">
        <v>669</v>
      </c>
      <c r="H363" s="71">
        <v>5.0</v>
      </c>
      <c r="I363" s="71">
        <v>5.0</v>
      </c>
      <c r="J363" s="71">
        <v>7.0</v>
      </c>
      <c r="K363" s="72">
        <f>Centrocampisti!I112</f>
        <v>6</v>
      </c>
      <c r="L363" s="73">
        <f>Centrocampisti!AE112</f>
        <v>5.96</v>
      </c>
      <c r="M363" s="74">
        <f>Centrocampisti!B112</f>
        <v>10.5</v>
      </c>
      <c r="N363" s="71">
        <f>Centrocampisti!A112</f>
        <v>109</v>
      </c>
      <c r="O363" s="71" t="s">
        <v>226</v>
      </c>
      <c r="P363" s="71">
        <v>11.0</v>
      </c>
      <c r="Q363" s="71">
        <v>6.55</v>
      </c>
      <c r="R363" s="71" t="s">
        <v>71</v>
      </c>
      <c r="S363" s="71" t="s">
        <v>254</v>
      </c>
      <c r="T363" s="71" t="str">
        <f>Centrocampisti!K112</f>
        <v>4a fascia</v>
      </c>
      <c r="U363" s="71" t="s">
        <v>301</v>
      </c>
      <c r="V363" s="71">
        <v>1.0</v>
      </c>
      <c r="W363" s="71">
        <f t="shared" si="1"/>
        <v>408</v>
      </c>
    </row>
    <row r="364" ht="15.75" customHeight="1">
      <c r="A364" s="71" t="s">
        <v>1487</v>
      </c>
      <c r="B364" s="71" t="s">
        <v>67</v>
      </c>
      <c r="C364" s="71">
        <v>113.0</v>
      </c>
      <c r="D364" s="71" t="s">
        <v>908</v>
      </c>
      <c r="E364" s="71" t="s">
        <v>1217</v>
      </c>
      <c r="F364" s="71" t="s">
        <v>191</v>
      </c>
      <c r="G364" s="71" t="s">
        <v>669</v>
      </c>
      <c r="H364" s="71">
        <v>3.0</v>
      </c>
      <c r="I364" s="71">
        <v>3.0</v>
      </c>
      <c r="J364" s="71">
        <v>10.0</v>
      </c>
      <c r="K364" s="72">
        <f>Centrocampisti!I113</f>
        <v>7</v>
      </c>
      <c r="L364" s="73">
        <f>Centrocampisti!AE113</f>
        <v>5.9</v>
      </c>
      <c r="M364" s="74">
        <f>Centrocampisti!B113</f>
        <v>10.3</v>
      </c>
      <c r="N364" s="71">
        <f>Centrocampisti!A113</f>
        <v>110</v>
      </c>
      <c r="O364" s="71" t="s">
        <v>332</v>
      </c>
      <c r="P364" s="71">
        <v>13.0</v>
      </c>
      <c r="Q364" s="71">
        <v>6.27</v>
      </c>
      <c r="R364" s="71" t="s">
        <v>71</v>
      </c>
      <c r="S364" s="71" t="s">
        <v>320</v>
      </c>
      <c r="T364" s="71" t="str">
        <f>Centrocampisti!K113</f>
        <v>3a fascia</v>
      </c>
      <c r="U364" s="71" t="s">
        <v>333</v>
      </c>
      <c r="V364" s="71">
        <v>0.0</v>
      </c>
      <c r="W364" s="71">
        <f t="shared" si="1"/>
        <v>342</v>
      </c>
    </row>
    <row r="365" ht="15.75" customHeight="1">
      <c r="A365" s="71" t="s">
        <v>1489</v>
      </c>
      <c r="B365" s="71" t="s">
        <v>67</v>
      </c>
      <c r="C365" s="71">
        <v>114.0</v>
      </c>
      <c r="D365" s="71" t="s">
        <v>1020</v>
      </c>
      <c r="E365" s="71" t="s">
        <v>1252</v>
      </c>
      <c r="F365" s="71" t="s">
        <v>272</v>
      </c>
      <c r="G365" s="71" t="s">
        <v>669</v>
      </c>
      <c r="H365" s="71">
        <v>6.0</v>
      </c>
      <c r="I365" s="71">
        <v>6.0</v>
      </c>
      <c r="J365" s="71">
        <v>14.0</v>
      </c>
      <c r="K365" s="72">
        <f>Centrocampisti!I114</f>
        <v>9</v>
      </c>
      <c r="L365" s="73">
        <f>Centrocampisti!AE114</f>
        <v>5.82</v>
      </c>
      <c r="M365" s="74">
        <f>Centrocampisti!B114</f>
        <v>10</v>
      </c>
      <c r="N365" s="71">
        <f>Centrocampisti!A114</f>
        <v>111</v>
      </c>
      <c r="O365" s="71" t="s">
        <v>68</v>
      </c>
      <c r="P365" s="71">
        <v>30.0</v>
      </c>
      <c r="Q365" s="71">
        <v>5.82</v>
      </c>
      <c r="R365" s="71" t="s">
        <v>71</v>
      </c>
      <c r="S365" s="71" t="s">
        <v>644</v>
      </c>
      <c r="T365" s="71" t="str">
        <f>Centrocampisti!K114</f>
        <v>3a fascia</v>
      </c>
      <c r="U365" s="71" t="s">
        <v>214</v>
      </c>
      <c r="V365" s="71">
        <v>0.0</v>
      </c>
      <c r="W365" s="71">
        <f t="shared" si="1"/>
        <v>248</v>
      </c>
    </row>
    <row r="366" ht="15.75" customHeight="1">
      <c r="A366" s="71" t="s">
        <v>1491</v>
      </c>
      <c r="B366" s="71" t="s">
        <v>67</v>
      </c>
      <c r="C366" s="71">
        <v>115.0</v>
      </c>
      <c r="D366" s="71" t="s">
        <v>987</v>
      </c>
      <c r="E366" s="71" t="s">
        <v>1233</v>
      </c>
      <c r="F366" s="71" t="s">
        <v>185</v>
      </c>
      <c r="G366" s="71" t="s">
        <v>669</v>
      </c>
      <c r="H366" s="71">
        <v>3.0</v>
      </c>
      <c r="I366" s="71">
        <v>4.0</v>
      </c>
      <c r="J366" s="71">
        <v>12.0</v>
      </c>
      <c r="K366" s="72">
        <f>Centrocampisti!I115</f>
        <v>8</v>
      </c>
      <c r="L366" s="73">
        <f>Centrocampisti!AE115</f>
        <v>5.84</v>
      </c>
      <c r="M366" s="74">
        <f>Centrocampisti!B115</f>
        <v>9.8</v>
      </c>
      <c r="N366" s="71">
        <f>Centrocampisti!A115</f>
        <v>112</v>
      </c>
      <c r="O366" s="71" t="s">
        <v>226</v>
      </c>
      <c r="P366" s="71">
        <v>19.0</v>
      </c>
      <c r="Q366" s="71">
        <v>5.95</v>
      </c>
      <c r="R366" s="71" t="s">
        <v>71</v>
      </c>
      <c r="S366" s="71" t="s">
        <v>106</v>
      </c>
      <c r="T366" s="71" t="str">
        <f>Centrocampisti!K115</f>
        <v>3a fascia</v>
      </c>
      <c r="U366" s="71" t="s">
        <v>277</v>
      </c>
      <c r="V366" s="71">
        <v>2.0</v>
      </c>
      <c r="W366" s="71">
        <f t="shared" si="1"/>
        <v>282</v>
      </c>
    </row>
    <row r="367" ht="15.75" customHeight="1">
      <c r="A367" s="71" t="s">
        <v>1493</v>
      </c>
      <c r="B367" s="71" t="s">
        <v>67</v>
      </c>
      <c r="C367" s="71">
        <v>116.0</v>
      </c>
      <c r="D367" s="71" t="s">
        <v>982</v>
      </c>
      <c r="E367" s="71" t="s">
        <v>1207</v>
      </c>
      <c r="F367" s="71" t="s">
        <v>93</v>
      </c>
      <c r="G367" s="71" t="s">
        <v>669</v>
      </c>
      <c r="H367" s="71">
        <v>6.0</v>
      </c>
      <c r="I367" s="71">
        <v>6.0</v>
      </c>
      <c r="J367" s="71">
        <v>17.0</v>
      </c>
      <c r="K367" s="72">
        <f>Centrocampisti!I116</f>
        <v>10</v>
      </c>
      <c r="L367" s="73">
        <f>Centrocampisti!AE116</f>
        <v>5.72</v>
      </c>
      <c r="M367" s="74">
        <f>Centrocampisti!B116</f>
        <v>9.2</v>
      </c>
      <c r="N367" s="71">
        <f>Centrocampisti!A116</f>
        <v>113</v>
      </c>
      <c r="O367" s="71" t="s">
        <v>332</v>
      </c>
      <c r="P367" s="71">
        <v>12.0</v>
      </c>
      <c r="Q367" s="71">
        <v>5.96</v>
      </c>
      <c r="R367" s="71" t="s">
        <v>71</v>
      </c>
      <c r="S367" s="71" t="s">
        <v>363</v>
      </c>
      <c r="T367" s="71" t="str">
        <f>Centrocampisti!K116</f>
        <v>3a fascia</v>
      </c>
      <c r="U367" s="71" t="s">
        <v>408</v>
      </c>
      <c r="V367" s="71">
        <v>1.0</v>
      </c>
      <c r="W367" s="71">
        <f t="shared" si="1"/>
        <v>208</v>
      </c>
    </row>
    <row r="368" ht="15.75" customHeight="1">
      <c r="A368" s="71" t="s">
        <v>1496</v>
      </c>
      <c r="B368" s="71" t="s">
        <v>67</v>
      </c>
      <c r="C368" s="71">
        <v>117.0</v>
      </c>
      <c r="D368" s="71" t="s">
        <v>691</v>
      </c>
      <c r="E368" s="71" t="s">
        <v>1219</v>
      </c>
      <c r="F368" s="71" t="s">
        <v>195</v>
      </c>
      <c r="G368" s="71" t="s">
        <v>669</v>
      </c>
      <c r="H368" s="71">
        <v>5.0</v>
      </c>
      <c r="I368" s="71">
        <v>5.0</v>
      </c>
      <c r="J368" s="71">
        <v>13.0</v>
      </c>
      <c r="K368" s="72">
        <f>Centrocampisti!I117</f>
        <v>8</v>
      </c>
      <c r="L368" s="73">
        <f>Centrocampisti!AE117</f>
        <v>5.78</v>
      </c>
      <c r="M368" s="74">
        <f>Centrocampisti!B117</f>
        <v>9.1</v>
      </c>
      <c r="N368" s="71">
        <f>Centrocampisti!A117</f>
        <v>114</v>
      </c>
      <c r="O368" s="71" t="s">
        <v>332</v>
      </c>
      <c r="P368" s="71">
        <v>21.0</v>
      </c>
      <c r="Q368" s="71">
        <v>5.83</v>
      </c>
      <c r="R368" s="71" t="s">
        <v>71</v>
      </c>
      <c r="S368" s="71" t="s">
        <v>320</v>
      </c>
      <c r="T368" s="71" t="str">
        <f>Centrocampisti!K117</f>
        <v>3a fascia</v>
      </c>
      <c r="U368" s="71" t="s">
        <v>284</v>
      </c>
      <c r="V368" s="71">
        <v>1.0</v>
      </c>
      <c r="W368" s="71">
        <f t="shared" si="1"/>
        <v>262</v>
      </c>
    </row>
    <row r="369" ht="15.75" customHeight="1">
      <c r="A369" s="71" t="s">
        <v>1498</v>
      </c>
      <c r="B369" s="71" t="s">
        <v>67</v>
      </c>
      <c r="C369" s="71">
        <v>118.0</v>
      </c>
      <c r="D369" s="71" t="s">
        <v>986</v>
      </c>
      <c r="E369" s="71" t="s">
        <v>1237</v>
      </c>
      <c r="F369" s="71" t="s">
        <v>239</v>
      </c>
      <c r="G369" s="71" t="s">
        <v>669</v>
      </c>
      <c r="H369" s="71">
        <v>3.0</v>
      </c>
      <c r="I369" s="71">
        <v>3.0</v>
      </c>
      <c r="J369" s="71">
        <v>8.0</v>
      </c>
      <c r="K369" s="72">
        <f>Centrocampisti!I118</f>
        <v>6</v>
      </c>
      <c r="L369" s="73">
        <f>Centrocampisti!AE118</f>
        <v>5.86</v>
      </c>
      <c r="M369" s="74">
        <f>Centrocampisti!B118</f>
        <v>9.1</v>
      </c>
      <c r="N369" s="71">
        <f>Centrocampisti!A118</f>
        <v>114</v>
      </c>
      <c r="O369" s="71" t="s">
        <v>332</v>
      </c>
      <c r="P369" s="71">
        <v>20.0</v>
      </c>
      <c r="Q369" s="71">
        <v>5.95</v>
      </c>
      <c r="R369" s="71" t="s">
        <v>71</v>
      </c>
      <c r="S369" s="71" t="s">
        <v>254</v>
      </c>
      <c r="T369" s="71" t="str">
        <f>Centrocampisti!K118</f>
        <v>4a fascia</v>
      </c>
      <c r="U369" s="71" t="s">
        <v>392</v>
      </c>
      <c r="V369" s="71">
        <v>2.0</v>
      </c>
      <c r="W369" s="71">
        <f t="shared" si="1"/>
        <v>384</v>
      </c>
    </row>
    <row r="370" ht="15.75" customHeight="1">
      <c r="A370" s="71" t="s">
        <v>1500</v>
      </c>
      <c r="B370" s="71" t="s">
        <v>67</v>
      </c>
      <c r="C370" s="71">
        <v>119.0</v>
      </c>
      <c r="D370" s="71" t="s">
        <v>1034</v>
      </c>
      <c r="E370" s="71" t="s">
        <v>1245</v>
      </c>
      <c r="F370" s="71" t="s">
        <v>261</v>
      </c>
      <c r="G370" s="71" t="s">
        <v>669</v>
      </c>
      <c r="H370" s="71">
        <v>5.0</v>
      </c>
      <c r="I370" s="71">
        <v>6.0</v>
      </c>
      <c r="J370" s="71">
        <v>12.0</v>
      </c>
      <c r="K370" s="72">
        <f>Centrocampisti!I119</f>
        <v>8</v>
      </c>
      <c r="L370" s="73">
        <f>Centrocampisti!AE119</f>
        <v>5.79</v>
      </c>
      <c r="M370" s="74">
        <f>Centrocampisti!B119</f>
        <v>9</v>
      </c>
      <c r="N370" s="71">
        <f>Centrocampisti!A119</f>
        <v>116</v>
      </c>
      <c r="O370" s="71" t="s">
        <v>68</v>
      </c>
      <c r="P370" s="71">
        <v>29.0</v>
      </c>
      <c r="Q370" s="71">
        <v>5.79</v>
      </c>
      <c r="R370" s="71" t="s">
        <v>71</v>
      </c>
      <c r="S370" s="71" t="s">
        <v>563</v>
      </c>
      <c r="T370" s="71" t="str">
        <f>Centrocampisti!K119</f>
        <v>3a fascia</v>
      </c>
      <c r="U370" s="71" t="s">
        <v>100</v>
      </c>
      <c r="V370" s="71">
        <v>2.0</v>
      </c>
      <c r="W370" s="71">
        <f t="shared" si="1"/>
        <v>282</v>
      </c>
    </row>
    <row r="371" ht="15.75" customHeight="1">
      <c r="A371" s="71" t="s">
        <v>1502</v>
      </c>
      <c r="B371" s="71" t="s">
        <v>67</v>
      </c>
      <c r="C371" s="71">
        <v>120.0</v>
      </c>
      <c r="D371" s="71" t="s">
        <v>1014</v>
      </c>
      <c r="E371" s="71" t="s">
        <v>1237</v>
      </c>
      <c r="F371" s="71" t="s">
        <v>239</v>
      </c>
      <c r="G371" s="71" t="s">
        <v>669</v>
      </c>
      <c r="H371" s="71">
        <v>3.0</v>
      </c>
      <c r="I371" s="71">
        <v>3.0</v>
      </c>
      <c r="J371" s="71">
        <v>8.0</v>
      </c>
      <c r="K371" s="72">
        <f>Centrocampisti!I120</f>
        <v>6</v>
      </c>
      <c r="L371" s="73">
        <f>Centrocampisti!AE120</f>
        <v>5.84</v>
      </c>
      <c r="M371" s="74">
        <f>Centrocampisti!B120</f>
        <v>8.8</v>
      </c>
      <c r="N371" s="71">
        <f>Centrocampisti!A120</f>
        <v>117</v>
      </c>
      <c r="O371" s="71" t="s">
        <v>332</v>
      </c>
      <c r="P371" s="71">
        <v>29.0</v>
      </c>
      <c r="Q371" s="71">
        <v>5.84</v>
      </c>
      <c r="R371" s="71" t="s">
        <v>71</v>
      </c>
      <c r="S371" s="71" t="s">
        <v>254</v>
      </c>
      <c r="T371" s="71" t="str">
        <f>Centrocampisti!K120</f>
        <v>4a fascia</v>
      </c>
      <c r="U371" s="71" t="s">
        <v>338</v>
      </c>
      <c r="V371" s="71">
        <v>0.0</v>
      </c>
      <c r="W371" s="71">
        <f t="shared" si="1"/>
        <v>384</v>
      </c>
    </row>
    <row r="372" ht="15.75" customHeight="1">
      <c r="A372" s="71" t="s">
        <v>1505</v>
      </c>
      <c r="B372" s="71" t="s">
        <v>67</v>
      </c>
      <c r="C372" s="71">
        <v>121.0</v>
      </c>
      <c r="D372" s="71" t="s">
        <v>952</v>
      </c>
      <c r="E372" s="71" t="s">
        <v>1228</v>
      </c>
      <c r="F372" s="71" t="s">
        <v>212</v>
      </c>
      <c r="G372" s="71" t="s">
        <v>669</v>
      </c>
      <c r="H372" s="71">
        <v>4.0</v>
      </c>
      <c r="I372" s="71">
        <v>4.0</v>
      </c>
      <c r="J372" s="71">
        <v>8.0</v>
      </c>
      <c r="K372" s="72">
        <f>Centrocampisti!I121</f>
        <v>6</v>
      </c>
      <c r="L372" s="73">
        <f>Centrocampisti!AE121</f>
        <v>5.84</v>
      </c>
      <c r="M372" s="74">
        <f>Centrocampisti!B121</f>
        <v>8.8</v>
      </c>
      <c r="N372" s="71">
        <f>Centrocampisti!A121</f>
        <v>117</v>
      </c>
      <c r="O372" s="71" t="s">
        <v>332</v>
      </c>
      <c r="P372" s="71">
        <v>17.0</v>
      </c>
      <c r="Q372" s="71">
        <v>6.0</v>
      </c>
      <c r="R372" s="71" t="s">
        <v>71</v>
      </c>
      <c r="S372" s="71" t="s">
        <v>275</v>
      </c>
      <c r="T372" s="71" t="str">
        <f>Centrocampisti!K121</f>
        <v>4a fascia</v>
      </c>
      <c r="U372" s="71" t="s">
        <v>408</v>
      </c>
      <c r="V372" s="71">
        <v>1.0</v>
      </c>
      <c r="W372" s="71">
        <f t="shared" si="1"/>
        <v>384</v>
      </c>
    </row>
    <row r="373" ht="15.75" customHeight="1">
      <c r="A373" s="71" t="s">
        <v>1507</v>
      </c>
      <c r="B373" s="71" t="s">
        <v>67</v>
      </c>
      <c r="C373" s="71">
        <v>122.0</v>
      </c>
      <c r="D373" s="71" t="s">
        <v>993</v>
      </c>
      <c r="E373" s="71" t="s">
        <v>1245</v>
      </c>
      <c r="F373" s="71" t="s">
        <v>261</v>
      </c>
      <c r="G373" s="71" t="s">
        <v>669</v>
      </c>
      <c r="H373" s="71">
        <v>2.0</v>
      </c>
      <c r="I373" s="71">
        <v>3.0</v>
      </c>
      <c r="J373" s="71">
        <v>8.0</v>
      </c>
      <c r="K373" s="72">
        <f>Centrocampisti!I122</f>
        <v>6</v>
      </c>
      <c r="L373" s="73">
        <f>Centrocampisti!AE122</f>
        <v>5.84</v>
      </c>
      <c r="M373" s="74">
        <f>Centrocampisti!B122</f>
        <v>8.8</v>
      </c>
      <c r="N373" s="71">
        <f>Centrocampisti!A122</f>
        <v>117</v>
      </c>
      <c r="O373" s="71" t="s">
        <v>332</v>
      </c>
      <c r="P373" s="71">
        <v>21.0</v>
      </c>
      <c r="Q373" s="71">
        <v>5.9</v>
      </c>
      <c r="R373" s="71" t="s">
        <v>71</v>
      </c>
      <c r="S373" s="71" t="s">
        <v>563</v>
      </c>
      <c r="T373" s="71" t="str">
        <f>Centrocampisti!K122</f>
        <v>4a fascia</v>
      </c>
      <c r="U373" s="71" t="s">
        <v>473</v>
      </c>
      <c r="V373" s="71">
        <v>2.0</v>
      </c>
      <c r="W373" s="71">
        <f t="shared" si="1"/>
        <v>384</v>
      </c>
    </row>
    <row r="374" ht="15.75" customHeight="1">
      <c r="A374" s="71" t="s">
        <v>1509</v>
      </c>
      <c r="B374" s="71" t="s">
        <v>67</v>
      </c>
      <c r="C374" s="71">
        <v>123.0</v>
      </c>
      <c r="D374" s="71" t="s">
        <v>946</v>
      </c>
      <c r="E374" s="71" t="s">
        <v>1243</v>
      </c>
      <c r="F374" s="71" t="s">
        <v>253</v>
      </c>
      <c r="G374" s="71" t="s">
        <v>669</v>
      </c>
      <c r="H374" s="71">
        <v>3.0</v>
      </c>
      <c r="I374" s="71">
        <v>4.0</v>
      </c>
      <c r="J374" s="71">
        <v>12.0</v>
      </c>
      <c r="K374" s="72">
        <f>Centrocampisti!I123</f>
        <v>8</v>
      </c>
      <c r="L374" s="73">
        <f>Centrocampisti!AE123</f>
        <v>5.76</v>
      </c>
      <c r="M374" s="74">
        <f>Centrocampisti!B123</f>
        <v>8.6</v>
      </c>
      <c r="N374" s="71">
        <f>Centrocampisti!A123</f>
        <v>120</v>
      </c>
      <c r="O374" s="71" t="s">
        <v>332</v>
      </c>
      <c r="P374" s="71">
        <v>12.0</v>
      </c>
      <c r="Q374" s="71">
        <v>6.04</v>
      </c>
      <c r="R374" s="71" t="s">
        <v>71</v>
      </c>
      <c r="S374" s="71" t="s">
        <v>216</v>
      </c>
      <c r="T374" s="71" t="str">
        <f>Centrocampisti!K123</f>
        <v>3a fascia</v>
      </c>
      <c r="U374" s="71" t="s">
        <v>473</v>
      </c>
      <c r="V374" s="71">
        <v>2.0</v>
      </c>
      <c r="W374" s="71">
        <f t="shared" si="1"/>
        <v>282</v>
      </c>
    </row>
    <row r="375" ht="15.75" customHeight="1">
      <c r="A375" s="71" t="s">
        <v>1511</v>
      </c>
      <c r="B375" s="71" t="s">
        <v>67</v>
      </c>
      <c r="C375" s="71">
        <v>124.0</v>
      </c>
      <c r="D375" s="71" t="s">
        <v>1028</v>
      </c>
      <c r="E375" s="71" t="s">
        <v>1252</v>
      </c>
      <c r="F375" s="71" t="s">
        <v>272</v>
      </c>
      <c r="G375" s="71" t="s">
        <v>669</v>
      </c>
      <c r="H375" s="71">
        <v>6.0</v>
      </c>
      <c r="I375" s="71">
        <v>7.0</v>
      </c>
      <c r="J375" s="71">
        <v>11.0</v>
      </c>
      <c r="K375" s="72">
        <f>Centrocampisti!I124</f>
        <v>8</v>
      </c>
      <c r="L375" s="73">
        <f>Centrocampisti!AE124</f>
        <v>5.78</v>
      </c>
      <c r="M375" s="74">
        <f>Centrocampisti!B124</f>
        <v>8.6</v>
      </c>
      <c r="N375" s="71">
        <f>Centrocampisti!A124</f>
        <v>120</v>
      </c>
      <c r="O375" s="71" t="s">
        <v>68</v>
      </c>
      <c r="P375" s="71">
        <v>23.0</v>
      </c>
      <c r="Q375" s="71">
        <v>5.8</v>
      </c>
      <c r="R375" s="71" t="s">
        <v>71</v>
      </c>
      <c r="S375" s="71" t="s">
        <v>644</v>
      </c>
      <c r="T375" s="71" t="str">
        <f>Centrocampisti!K124</f>
        <v>3a fascia</v>
      </c>
      <c r="U375" s="71" t="s">
        <v>294</v>
      </c>
      <c r="V375" s="71">
        <v>1.0</v>
      </c>
      <c r="W375" s="71">
        <f t="shared" si="1"/>
        <v>323</v>
      </c>
    </row>
    <row r="376" ht="15.75" customHeight="1">
      <c r="A376" s="71" t="s">
        <v>1513</v>
      </c>
      <c r="B376" s="71" t="s">
        <v>67</v>
      </c>
      <c r="C376" s="71">
        <v>125.0</v>
      </c>
      <c r="D376" s="71" t="s">
        <v>1226</v>
      </c>
      <c r="E376" s="71" t="s">
        <v>1237</v>
      </c>
      <c r="F376" s="71" t="s">
        <v>239</v>
      </c>
      <c r="G376" s="71" t="s">
        <v>669</v>
      </c>
      <c r="H376" s="71">
        <v>5.0</v>
      </c>
      <c r="I376" s="71">
        <v>7.0</v>
      </c>
      <c r="J376" s="71">
        <v>21.0</v>
      </c>
      <c r="K376" s="72">
        <f>Centrocampisti!I125</f>
        <v>11</v>
      </c>
      <c r="L376" s="73">
        <f>Centrocampisti!AE125</f>
        <v>5.5</v>
      </c>
      <c r="M376" s="74">
        <f>Centrocampisti!B125</f>
        <v>8.5</v>
      </c>
      <c r="N376" s="71">
        <f>Centrocampisti!A125</f>
        <v>122</v>
      </c>
      <c r="O376" s="71" t="s">
        <v>68</v>
      </c>
      <c r="P376" s="71">
        <v>0.0</v>
      </c>
      <c r="R376" s="71" t="s">
        <v>71</v>
      </c>
      <c r="S376" s="71" t="s">
        <v>254</v>
      </c>
      <c r="T376" s="71" t="str">
        <f>Centrocampisti!K125</f>
        <v>3a fascia</v>
      </c>
      <c r="U376" s="71" t="s">
        <v>100</v>
      </c>
      <c r="V376" s="71">
        <v>2.0</v>
      </c>
      <c r="W376" s="71">
        <f t="shared" si="1"/>
        <v>167</v>
      </c>
    </row>
    <row r="377" ht="15.75" customHeight="1">
      <c r="A377" s="71" t="s">
        <v>1515</v>
      </c>
      <c r="B377" s="71" t="s">
        <v>67</v>
      </c>
      <c r="C377" s="71">
        <v>126.0</v>
      </c>
      <c r="D377" s="71" t="s">
        <v>1235</v>
      </c>
      <c r="E377" s="71" t="s">
        <v>1222</v>
      </c>
      <c r="F377" s="71" t="s">
        <v>182</v>
      </c>
      <c r="G377" s="71" t="s">
        <v>669</v>
      </c>
      <c r="H377" s="71">
        <v>8.0</v>
      </c>
      <c r="I377" s="71">
        <v>8.0</v>
      </c>
      <c r="J377" s="71">
        <v>28.0</v>
      </c>
      <c r="K377" s="72">
        <f>Centrocampisti!I126</f>
        <v>13</v>
      </c>
      <c r="L377" s="73">
        <f>Centrocampisti!AE126</f>
        <v>5.5</v>
      </c>
      <c r="M377" s="74">
        <f>Centrocampisti!B126</f>
        <v>8.4</v>
      </c>
      <c r="N377" s="71">
        <f>Centrocampisti!A126</f>
        <v>123</v>
      </c>
      <c r="O377" s="71" t="s">
        <v>68</v>
      </c>
      <c r="P377" s="71">
        <v>0.0</v>
      </c>
      <c r="R377" s="71" t="s">
        <v>71</v>
      </c>
      <c r="S377" s="71" t="s">
        <v>176</v>
      </c>
      <c r="T377" s="71" t="str">
        <f>Centrocampisti!K126</f>
        <v>3a fascia</v>
      </c>
      <c r="U377" s="71" t="s">
        <v>214</v>
      </c>
      <c r="V377" s="71">
        <v>0.0</v>
      </c>
      <c r="W377" s="71">
        <f t="shared" si="1"/>
        <v>117</v>
      </c>
    </row>
    <row r="378" ht="15.75" customHeight="1">
      <c r="A378" s="71" t="s">
        <v>1517</v>
      </c>
      <c r="B378" s="71" t="s">
        <v>67</v>
      </c>
      <c r="C378" s="71">
        <v>127.0</v>
      </c>
      <c r="D378" s="71" t="s">
        <v>1244</v>
      </c>
      <c r="E378" s="71" t="s">
        <v>1252</v>
      </c>
      <c r="F378" s="71" t="s">
        <v>272</v>
      </c>
      <c r="G378" s="71" t="s">
        <v>669</v>
      </c>
      <c r="H378" s="71">
        <v>8.0</v>
      </c>
      <c r="I378" s="71">
        <v>9.0</v>
      </c>
      <c r="J378" s="71">
        <v>15.0</v>
      </c>
      <c r="K378" s="72">
        <f>Centrocampisti!I127</f>
        <v>9</v>
      </c>
      <c r="L378" s="73">
        <f>Centrocampisti!AE127</f>
        <v>5.5</v>
      </c>
      <c r="M378" s="74">
        <f>Centrocampisti!B127</f>
        <v>8.2</v>
      </c>
      <c r="N378" s="71">
        <f>Centrocampisti!A127</f>
        <v>124</v>
      </c>
      <c r="O378" s="71" t="s">
        <v>68</v>
      </c>
      <c r="P378" s="71">
        <v>0.0</v>
      </c>
      <c r="R378" s="71" t="s">
        <v>71</v>
      </c>
      <c r="S378" s="71" t="s">
        <v>644</v>
      </c>
      <c r="T378" s="71" t="str">
        <f>Centrocampisti!K127</f>
        <v>3a fascia</v>
      </c>
      <c r="U378" s="71" t="s">
        <v>100</v>
      </c>
      <c r="V378" s="71">
        <v>2.0</v>
      </c>
      <c r="W378" s="71">
        <f t="shared" si="1"/>
        <v>224</v>
      </c>
    </row>
    <row r="379" ht="15.75" customHeight="1">
      <c r="A379" s="71" t="s">
        <v>1519</v>
      </c>
      <c r="B379" s="71" t="s">
        <v>67</v>
      </c>
      <c r="C379" s="71">
        <v>128.0</v>
      </c>
      <c r="D379" s="71" t="s">
        <v>1024</v>
      </c>
      <c r="E379" s="71" t="s">
        <v>1256</v>
      </c>
      <c r="F379" s="71" t="s">
        <v>283</v>
      </c>
      <c r="G379" s="71" t="s">
        <v>669</v>
      </c>
      <c r="H379" s="71">
        <v>2.0</v>
      </c>
      <c r="I379" s="71">
        <v>3.0</v>
      </c>
      <c r="J379" s="71">
        <v>10.0</v>
      </c>
      <c r="K379" s="72">
        <f>Centrocampisti!I128</f>
        <v>7</v>
      </c>
      <c r="L379" s="73">
        <f>Centrocampisti!AE128</f>
        <v>5.76</v>
      </c>
      <c r="M379" s="74">
        <f>Centrocampisti!B128</f>
        <v>8.1</v>
      </c>
      <c r="N379" s="71">
        <f>Centrocampisti!A128</f>
        <v>125</v>
      </c>
      <c r="O379" s="71" t="s">
        <v>332</v>
      </c>
      <c r="P379" s="71">
        <v>21.0</v>
      </c>
      <c r="Q379" s="71">
        <v>5.81</v>
      </c>
      <c r="R379" s="71" t="s">
        <v>71</v>
      </c>
      <c r="S379" s="71" t="s">
        <v>397</v>
      </c>
      <c r="T379" s="71" t="str">
        <f>Centrocampisti!K128</f>
        <v>3a fascia</v>
      </c>
      <c r="U379" s="71" t="s">
        <v>392</v>
      </c>
      <c r="V379" s="71">
        <v>2.0</v>
      </c>
      <c r="W379" s="71">
        <f t="shared" si="1"/>
        <v>342</v>
      </c>
    </row>
    <row r="380" ht="15.75" customHeight="1">
      <c r="A380" s="71" t="s">
        <v>1522</v>
      </c>
      <c r="B380" s="71" t="s">
        <v>67</v>
      </c>
      <c r="C380" s="71">
        <v>129.0</v>
      </c>
      <c r="D380" s="71" t="s">
        <v>994</v>
      </c>
      <c r="E380" s="71" t="s">
        <v>1243</v>
      </c>
      <c r="F380" s="71" t="s">
        <v>253</v>
      </c>
      <c r="G380" s="71" t="s">
        <v>669</v>
      </c>
      <c r="H380" s="71">
        <v>2.0</v>
      </c>
      <c r="I380" s="71">
        <v>2.0</v>
      </c>
      <c r="J380" s="71">
        <v>5.0</v>
      </c>
      <c r="K380" s="72">
        <f>Centrocampisti!I129</f>
        <v>5</v>
      </c>
      <c r="L380" s="73">
        <f>Centrocampisti!AE129</f>
        <v>5.84</v>
      </c>
      <c r="M380" s="74">
        <f>Centrocampisti!B129</f>
        <v>8.1</v>
      </c>
      <c r="N380" s="71">
        <f>Centrocampisti!A129</f>
        <v>125</v>
      </c>
      <c r="O380" s="71" t="s">
        <v>332</v>
      </c>
      <c r="P380" s="71">
        <v>21.0</v>
      </c>
      <c r="Q380" s="71">
        <v>5.9</v>
      </c>
      <c r="R380" s="71" t="s">
        <v>71</v>
      </c>
      <c r="S380" s="71" t="s">
        <v>216</v>
      </c>
      <c r="T380" s="71" t="str">
        <f>Centrocampisti!K129</f>
        <v>4a fascia</v>
      </c>
      <c r="U380" s="71" t="s">
        <v>333</v>
      </c>
      <c r="V380" s="71">
        <v>0.0</v>
      </c>
      <c r="W380" s="71">
        <f t="shared" si="1"/>
        <v>427</v>
      </c>
    </row>
    <row r="381" ht="15.75" customHeight="1">
      <c r="A381" s="71" t="s">
        <v>1524</v>
      </c>
      <c r="B381" s="71" t="s">
        <v>67</v>
      </c>
      <c r="C381" s="71">
        <v>130.0</v>
      </c>
      <c r="D381" s="71" t="s">
        <v>1268</v>
      </c>
      <c r="E381" s="71" t="s">
        <v>1213</v>
      </c>
      <c r="F381" s="71" t="s">
        <v>175</v>
      </c>
      <c r="G381" s="71" t="s">
        <v>669</v>
      </c>
      <c r="H381" s="71">
        <v>8.0</v>
      </c>
      <c r="I381" s="71">
        <v>8.0</v>
      </c>
      <c r="J381" s="71">
        <v>25.0</v>
      </c>
      <c r="K381" s="72">
        <f>Centrocampisti!I130</f>
        <v>12</v>
      </c>
      <c r="L381" s="73">
        <f>Centrocampisti!AE130</f>
        <v>5.5</v>
      </c>
      <c r="M381" s="74">
        <f>Centrocampisti!B130</f>
        <v>7.7</v>
      </c>
      <c r="N381" s="71">
        <f>Centrocampisti!A130</f>
        <v>127</v>
      </c>
      <c r="O381" s="71" t="s">
        <v>226</v>
      </c>
      <c r="P381" s="71">
        <v>0.0</v>
      </c>
      <c r="R381" s="71" t="s">
        <v>71</v>
      </c>
      <c r="S381" s="71" t="s">
        <v>216</v>
      </c>
      <c r="T381" s="71" t="str">
        <f>Centrocampisti!K130</f>
        <v>3a fascia</v>
      </c>
      <c r="U381" s="71" t="s">
        <v>227</v>
      </c>
      <c r="V381" s="71">
        <v>0.0</v>
      </c>
      <c r="W381" s="71">
        <f t="shared" si="1"/>
        <v>133</v>
      </c>
    </row>
    <row r="382" ht="15.75" customHeight="1">
      <c r="A382" s="71" t="s">
        <v>1527</v>
      </c>
      <c r="B382" s="71" t="s">
        <v>67</v>
      </c>
      <c r="C382" s="71">
        <v>131.0</v>
      </c>
      <c r="D382" s="71" t="s">
        <v>1275</v>
      </c>
      <c r="E382" s="71" t="s">
        <v>1207</v>
      </c>
      <c r="F382" s="71" t="s">
        <v>93</v>
      </c>
      <c r="G382" s="71" t="s">
        <v>669</v>
      </c>
      <c r="H382" s="71">
        <v>7.0</v>
      </c>
      <c r="I382" s="71">
        <v>7.0</v>
      </c>
      <c r="J382" s="71">
        <v>25.0</v>
      </c>
      <c r="K382" s="72">
        <f>Centrocampisti!I131</f>
        <v>12</v>
      </c>
      <c r="L382" s="73">
        <f>Centrocampisti!AE131</f>
        <v>5.5</v>
      </c>
      <c r="M382" s="74">
        <f>Centrocampisti!B131</f>
        <v>7.7</v>
      </c>
      <c r="N382" s="71">
        <f>Centrocampisti!A131</f>
        <v>127</v>
      </c>
      <c r="O382" s="71" t="s">
        <v>332</v>
      </c>
      <c r="P382" s="71">
        <v>0.0</v>
      </c>
      <c r="R382" s="71" t="s">
        <v>71</v>
      </c>
      <c r="S382" s="71" t="s">
        <v>363</v>
      </c>
      <c r="T382" s="71" t="str">
        <f>Centrocampisti!K131</f>
        <v>3a fascia</v>
      </c>
      <c r="U382" s="71" t="s">
        <v>338</v>
      </c>
      <c r="V382" s="71">
        <v>0.0</v>
      </c>
      <c r="W382" s="71">
        <f t="shared" si="1"/>
        <v>133</v>
      </c>
    </row>
    <row r="383" ht="15.75" customHeight="1">
      <c r="A383" s="71" t="s">
        <v>1529</v>
      </c>
      <c r="B383" s="71" t="s">
        <v>67</v>
      </c>
      <c r="C383" s="71">
        <v>132.0</v>
      </c>
      <c r="D383" s="71" t="s">
        <v>1282</v>
      </c>
      <c r="E383" s="71" t="s">
        <v>1228</v>
      </c>
      <c r="F383" s="71" t="s">
        <v>212</v>
      </c>
      <c r="G383" s="71" t="s">
        <v>669</v>
      </c>
      <c r="H383" s="71">
        <v>5.0</v>
      </c>
      <c r="I383" s="71">
        <v>6.0</v>
      </c>
      <c r="J383" s="71">
        <v>24.0</v>
      </c>
      <c r="K383" s="72">
        <f>Centrocampisti!I132</f>
        <v>12</v>
      </c>
      <c r="L383" s="73">
        <f>Centrocampisti!AE132</f>
        <v>5.5</v>
      </c>
      <c r="M383" s="74">
        <f>Centrocampisti!B132</f>
        <v>7.4</v>
      </c>
      <c r="N383" s="71">
        <f>Centrocampisti!A132</f>
        <v>129</v>
      </c>
      <c r="O383" s="71" t="s">
        <v>68</v>
      </c>
      <c r="P383" s="71">
        <v>0.0</v>
      </c>
      <c r="R383" s="71" t="s">
        <v>71</v>
      </c>
      <c r="S383" s="71" t="s">
        <v>275</v>
      </c>
      <c r="T383" s="71" t="str">
        <f>Centrocampisti!K132</f>
        <v>3a fascia</v>
      </c>
      <c r="U383" s="71" t="s">
        <v>100</v>
      </c>
      <c r="V383" s="71">
        <v>2.0</v>
      </c>
      <c r="W383" s="71">
        <f t="shared" si="1"/>
        <v>147</v>
      </c>
    </row>
    <row r="384" ht="15.75" customHeight="1">
      <c r="A384" s="71" t="s">
        <v>1531</v>
      </c>
      <c r="B384" s="71" t="s">
        <v>67</v>
      </c>
      <c r="C384" s="71">
        <v>133.0</v>
      </c>
      <c r="D384" s="71" t="s">
        <v>1292</v>
      </c>
      <c r="E384" s="71" t="s">
        <v>1213</v>
      </c>
      <c r="F384" s="71" t="s">
        <v>175</v>
      </c>
      <c r="G384" s="71" t="s">
        <v>669</v>
      </c>
      <c r="H384" s="71">
        <v>3.0</v>
      </c>
      <c r="I384" s="71">
        <v>5.0</v>
      </c>
      <c r="J384" s="71">
        <v>24.0</v>
      </c>
      <c r="K384" s="72">
        <f>Centrocampisti!I133</f>
        <v>12</v>
      </c>
      <c r="L384" s="73">
        <f>Centrocampisti!AE133</f>
        <v>5.5</v>
      </c>
      <c r="M384" s="74">
        <f>Centrocampisti!B133</f>
        <v>7.4</v>
      </c>
      <c r="N384" s="71">
        <f>Centrocampisti!A133</f>
        <v>129</v>
      </c>
      <c r="O384" s="71" t="s">
        <v>332</v>
      </c>
      <c r="P384" s="71">
        <v>0.0</v>
      </c>
      <c r="R384" s="71" t="s">
        <v>71</v>
      </c>
      <c r="S384" s="71" t="s">
        <v>216</v>
      </c>
      <c r="T384" s="71" t="str">
        <f>Centrocampisti!K133</f>
        <v>3a fascia</v>
      </c>
      <c r="U384" s="71" t="s">
        <v>473</v>
      </c>
      <c r="V384" s="71">
        <v>2.0</v>
      </c>
      <c r="W384" s="71">
        <f t="shared" si="1"/>
        <v>147</v>
      </c>
    </row>
    <row r="385" ht="15.75" customHeight="1">
      <c r="A385" s="71" t="s">
        <v>1534</v>
      </c>
      <c r="B385" s="71" t="s">
        <v>67</v>
      </c>
      <c r="C385" s="71">
        <v>134.0</v>
      </c>
      <c r="D385" s="71" t="s">
        <v>939</v>
      </c>
      <c r="E385" s="71" t="s">
        <v>1256</v>
      </c>
      <c r="F385" s="71" t="s">
        <v>283</v>
      </c>
      <c r="G385" s="71" t="s">
        <v>669</v>
      </c>
      <c r="H385" s="71">
        <v>4.0</v>
      </c>
      <c r="I385" s="71">
        <v>4.0</v>
      </c>
      <c r="J385" s="71">
        <v>11.0</v>
      </c>
      <c r="K385" s="72">
        <f>Centrocampisti!I134</f>
        <v>8</v>
      </c>
      <c r="L385" s="73">
        <f>Centrocampisti!AE134</f>
        <v>5.7</v>
      </c>
      <c r="M385" s="74">
        <f>Centrocampisti!B134</f>
        <v>7.4</v>
      </c>
      <c r="N385" s="71">
        <f>Centrocampisti!A134</f>
        <v>129</v>
      </c>
      <c r="O385" s="71" t="s">
        <v>68</v>
      </c>
      <c r="P385" s="71">
        <v>9.0</v>
      </c>
      <c r="Q385" s="71">
        <v>6.06</v>
      </c>
      <c r="R385" s="71" t="s">
        <v>71</v>
      </c>
      <c r="S385" s="71" t="s">
        <v>397</v>
      </c>
      <c r="T385" s="71" t="str">
        <f>Centrocampisti!K134</f>
        <v>3a fascia</v>
      </c>
      <c r="U385" s="71" t="s">
        <v>148</v>
      </c>
      <c r="V385" s="71">
        <v>1.0</v>
      </c>
      <c r="W385" s="71">
        <f t="shared" si="1"/>
        <v>323</v>
      </c>
    </row>
    <row r="386" ht="15.75" customHeight="1">
      <c r="A386" s="71" t="s">
        <v>1536</v>
      </c>
      <c r="B386" s="71" t="s">
        <v>67</v>
      </c>
      <c r="C386" s="71">
        <v>135.0</v>
      </c>
      <c r="D386" s="71" t="s">
        <v>1309</v>
      </c>
      <c r="E386" s="71" t="s">
        <v>1236</v>
      </c>
      <c r="F386" s="71" t="s">
        <v>232</v>
      </c>
      <c r="G386" s="71" t="s">
        <v>669</v>
      </c>
      <c r="H386" s="71">
        <v>7.0</v>
      </c>
      <c r="I386" s="71">
        <v>7.0</v>
      </c>
      <c r="J386" s="71">
        <v>23.0</v>
      </c>
      <c r="K386" s="72">
        <f>Centrocampisti!I135</f>
        <v>12</v>
      </c>
      <c r="L386" s="73">
        <f>Centrocampisti!AE135</f>
        <v>5.5</v>
      </c>
      <c r="M386" s="74">
        <f>Centrocampisti!B135</f>
        <v>7.2</v>
      </c>
      <c r="N386" s="71">
        <f>Centrocampisti!A135</f>
        <v>132</v>
      </c>
      <c r="O386" s="71" t="s">
        <v>68</v>
      </c>
      <c r="P386" s="71">
        <v>0.0</v>
      </c>
      <c r="R386" s="71" t="s">
        <v>71</v>
      </c>
      <c r="S386" s="71" t="s">
        <v>609</v>
      </c>
      <c r="T386" s="71" t="str">
        <f>Centrocampisti!K135</f>
        <v>3a fascia</v>
      </c>
      <c r="U386" s="71" t="s">
        <v>214</v>
      </c>
      <c r="V386" s="71">
        <v>0.0</v>
      </c>
      <c r="W386" s="71">
        <f t="shared" si="1"/>
        <v>150</v>
      </c>
    </row>
    <row r="387" ht="15.75" customHeight="1">
      <c r="A387" s="71" t="s">
        <v>1538</v>
      </c>
      <c r="B387" s="71" t="s">
        <v>67</v>
      </c>
      <c r="C387" s="71">
        <v>136.0</v>
      </c>
      <c r="D387" s="71" t="s">
        <v>1317</v>
      </c>
      <c r="E387" s="71" t="s">
        <v>1233</v>
      </c>
      <c r="F387" s="71" t="s">
        <v>185</v>
      </c>
      <c r="G387" s="71" t="s">
        <v>669</v>
      </c>
      <c r="H387" s="71">
        <v>7.0</v>
      </c>
      <c r="I387" s="71">
        <v>7.0</v>
      </c>
      <c r="J387" s="71">
        <v>16.0</v>
      </c>
      <c r="K387" s="72">
        <f>Centrocampisti!I136</f>
        <v>10</v>
      </c>
      <c r="L387" s="73">
        <f>Centrocampisti!AE136</f>
        <v>5.5</v>
      </c>
      <c r="M387" s="74">
        <f>Centrocampisti!B136</f>
        <v>7.2</v>
      </c>
      <c r="N387" s="71">
        <f>Centrocampisti!A136</f>
        <v>132</v>
      </c>
      <c r="O387" s="71" t="s">
        <v>68</v>
      </c>
      <c r="P387" s="71">
        <v>0.0</v>
      </c>
      <c r="R387" s="71" t="s">
        <v>71</v>
      </c>
      <c r="S387" s="71" t="s">
        <v>106</v>
      </c>
      <c r="T387" s="71" t="str">
        <f>Centrocampisti!K136</f>
        <v>3a fascia</v>
      </c>
      <c r="U387" s="71" t="s">
        <v>294</v>
      </c>
      <c r="V387" s="71">
        <v>1.0</v>
      </c>
      <c r="W387" s="71">
        <f t="shared" si="1"/>
        <v>215</v>
      </c>
    </row>
    <row r="388" ht="15.75" customHeight="1">
      <c r="A388" s="71" t="s">
        <v>1540</v>
      </c>
      <c r="B388" s="71" t="s">
        <v>67</v>
      </c>
      <c r="C388" s="71">
        <v>137.0</v>
      </c>
      <c r="D388" s="71" t="s">
        <v>1129</v>
      </c>
      <c r="E388" s="71" t="s">
        <v>1213</v>
      </c>
      <c r="F388" s="71" t="s">
        <v>175</v>
      </c>
      <c r="G388" s="71" t="s">
        <v>669</v>
      </c>
      <c r="H388" s="71">
        <v>6.0</v>
      </c>
      <c r="I388" s="71">
        <v>8.0</v>
      </c>
      <c r="J388" s="71">
        <v>22.0</v>
      </c>
      <c r="K388" s="72">
        <f>Centrocampisti!I137</f>
        <v>12</v>
      </c>
      <c r="L388" s="73">
        <f>Centrocampisti!AE137</f>
        <v>5.5</v>
      </c>
      <c r="M388" s="74">
        <f>Centrocampisti!B137</f>
        <v>7</v>
      </c>
      <c r="N388" s="71">
        <f>Centrocampisti!A137</f>
        <v>134</v>
      </c>
      <c r="O388" s="71" t="s">
        <v>332</v>
      </c>
      <c r="P388" s="71">
        <v>1.0</v>
      </c>
      <c r="Q388" s="71">
        <v>5.5</v>
      </c>
      <c r="R388" s="71" t="s">
        <v>71</v>
      </c>
      <c r="S388" s="71" t="s">
        <v>216</v>
      </c>
      <c r="T388" s="71" t="str">
        <f>Centrocampisti!K137</f>
        <v>3a fascia</v>
      </c>
      <c r="U388" s="71" t="s">
        <v>392</v>
      </c>
      <c r="V388" s="71">
        <v>2.0</v>
      </c>
      <c r="W388" s="71">
        <f t="shared" si="1"/>
        <v>159</v>
      </c>
    </row>
    <row r="389" ht="15.75" customHeight="1">
      <c r="A389" s="71" t="s">
        <v>1542</v>
      </c>
      <c r="B389" s="71" t="s">
        <v>67</v>
      </c>
      <c r="C389" s="71">
        <v>138.0</v>
      </c>
      <c r="D389" s="71" t="s">
        <v>1179</v>
      </c>
      <c r="E389" s="71" t="s">
        <v>1207</v>
      </c>
      <c r="F389" s="71" t="s">
        <v>93</v>
      </c>
      <c r="G389" s="71" t="s">
        <v>669</v>
      </c>
      <c r="H389" s="71">
        <v>4.0</v>
      </c>
      <c r="I389" s="71">
        <v>4.0</v>
      </c>
      <c r="J389" s="71">
        <v>15.0</v>
      </c>
      <c r="K389" s="72">
        <f>Centrocampisti!I138</f>
        <v>9</v>
      </c>
      <c r="L389" s="73">
        <f>Centrocampisti!AE138</f>
        <v>5.5</v>
      </c>
      <c r="M389" s="74">
        <f>Centrocampisti!B138</f>
        <v>7</v>
      </c>
      <c r="N389" s="71">
        <f>Centrocampisti!A138</f>
        <v>134</v>
      </c>
      <c r="O389" s="71" t="s">
        <v>332</v>
      </c>
      <c r="P389" s="71">
        <v>0.0</v>
      </c>
      <c r="R389" s="71" t="s">
        <v>71</v>
      </c>
      <c r="S389" s="71" t="s">
        <v>363</v>
      </c>
      <c r="T389" s="71" t="str">
        <f>Centrocampisti!K138</f>
        <v>3a fascia</v>
      </c>
      <c r="U389" s="71" t="s">
        <v>392</v>
      </c>
      <c r="V389" s="71">
        <v>2.0</v>
      </c>
      <c r="W389" s="71">
        <f t="shared" si="1"/>
        <v>224</v>
      </c>
    </row>
    <row r="390" ht="15.75" customHeight="1">
      <c r="A390" s="71" t="s">
        <v>1544</v>
      </c>
      <c r="B390" s="71" t="s">
        <v>67</v>
      </c>
      <c r="C390" s="71">
        <v>139.0</v>
      </c>
      <c r="D390" s="71" t="s">
        <v>1340</v>
      </c>
      <c r="E390" s="71" t="s">
        <v>1247</v>
      </c>
      <c r="F390" s="71" t="s">
        <v>264</v>
      </c>
      <c r="G390" s="71" t="s">
        <v>669</v>
      </c>
      <c r="H390" s="71">
        <v>5.0</v>
      </c>
      <c r="I390" s="71">
        <v>5.0</v>
      </c>
      <c r="J390" s="71">
        <v>15.0</v>
      </c>
      <c r="K390" s="72">
        <f>Centrocampisti!I139</f>
        <v>9</v>
      </c>
      <c r="L390" s="73">
        <f>Centrocampisti!AE139</f>
        <v>5.5</v>
      </c>
      <c r="M390" s="74">
        <f>Centrocampisti!B139</f>
        <v>7</v>
      </c>
      <c r="N390" s="71">
        <f>Centrocampisti!A139</f>
        <v>134</v>
      </c>
      <c r="O390" s="71" t="s">
        <v>68</v>
      </c>
      <c r="P390" s="71">
        <v>0.0</v>
      </c>
      <c r="R390" s="71" t="s">
        <v>71</v>
      </c>
      <c r="S390" s="71" t="s">
        <v>678</v>
      </c>
      <c r="T390" s="71" t="str">
        <f>Centrocampisti!K139</f>
        <v>3a fascia</v>
      </c>
      <c r="U390" s="71" t="s">
        <v>100</v>
      </c>
      <c r="V390" s="71">
        <v>2.0</v>
      </c>
      <c r="W390" s="71">
        <f t="shared" si="1"/>
        <v>224</v>
      </c>
    </row>
    <row r="391" ht="15.75" customHeight="1">
      <c r="A391" s="71" t="s">
        <v>1547</v>
      </c>
      <c r="B391" s="71" t="s">
        <v>67</v>
      </c>
      <c r="C391" s="71">
        <v>140.0</v>
      </c>
      <c r="D391" s="71" t="s">
        <v>1035</v>
      </c>
      <c r="E391" s="71" t="s">
        <v>1213</v>
      </c>
      <c r="F391" s="71" t="s">
        <v>175</v>
      </c>
      <c r="G391" s="71" t="s">
        <v>669</v>
      </c>
      <c r="H391" s="71">
        <v>4.0</v>
      </c>
      <c r="I391" s="71">
        <v>5.0</v>
      </c>
      <c r="J391" s="71">
        <v>13.0</v>
      </c>
      <c r="K391" s="72">
        <f>Centrocampisti!I140</f>
        <v>8</v>
      </c>
      <c r="L391" s="73">
        <f>Centrocampisti!AE140</f>
        <v>5.64</v>
      </c>
      <c r="M391" s="74">
        <f>Centrocampisti!B140</f>
        <v>6.9</v>
      </c>
      <c r="N391" s="71">
        <f>Centrocampisti!A140</f>
        <v>137</v>
      </c>
      <c r="O391" s="71" t="s">
        <v>332</v>
      </c>
      <c r="P391" s="71">
        <v>12.0</v>
      </c>
      <c r="Q391" s="71">
        <v>5.79</v>
      </c>
      <c r="R391" s="71" t="s">
        <v>71</v>
      </c>
      <c r="S391" s="71" t="s">
        <v>216</v>
      </c>
      <c r="T391" s="71" t="str">
        <f>Centrocampisti!K140</f>
        <v>3a fascia</v>
      </c>
      <c r="U391" s="71" t="s">
        <v>392</v>
      </c>
      <c r="V391" s="71">
        <v>2.0</v>
      </c>
      <c r="W391" s="71">
        <f t="shared" si="1"/>
        <v>262</v>
      </c>
    </row>
    <row r="392" ht="15.75" customHeight="1">
      <c r="A392" s="71" t="s">
        <v>1549</v>
      </c>
      <c r="B392" s="71" t="s">
        <v>67</v>
      </c>
      <c r="C392" s="71">
        <v>141.0</v>
      </c>
      <c r="D392" s="71" t="s">
        <v>1188</v>
      </c>
      <c r="E392" s="71" t="s">
        <v>1215</v>
      </c>
      <c r="F392" s="71" t="s">
        <v>133</v>
      </c>
      <c r="G392" s="71" t="s">
        <v>669</v>
      </c>
      <c r="H392" s="71">
        <v>6.0</v>
      </c>
      <c r="I392" s="71">
        <v>6.0</v>
      </c>
      <c r="J392" s="71">
        <v>21.0</v>
      </c>
      <c r="K392" s="72">
        <f>Centrocampisti!I141</f>
        <v>11</v>
      </c>
      <c r="L392" s="73">
        <f>Centrocampisti!AE141</f>
        <v>5.5</v>
      </c>
      <c r="M392" s="74">
        <f>Centrocampisti!B141</f>
        <v>6.7</v>
      </c>
      <c r="N392" s="71">
        <f>Centrocampisti!A141</f>
        <v>138</v>
      </c>
      <c r="O392" s="71" t="s">
        <v>332</v>
      </c>
      <c r="P392" s="71">
        <v>0.0</v>
      </c>
      <c r="R392" s="71" t="s">
        <v>71</v>
      </c>
      <c r="S392" s="71" t="s">
        <v>254</v>
      </c>
      <c r="T392" s="71" t="str">
        <f>Centrocampisti!K141</f>
        <v>3a fascia</v>
      </c>
      <c r="U392" s="71" t="s">
        <v>615</v>
      </c>
      <c r="V392" s="71">
        <v>1.0</v>
      </c>
      <c r="W392" s="71">
        <f t="shared" si="1"/>
        <v>167</v>
      </c>
    </row>
    <row r="393" ht="15.75" customHeight="1">
      <c r="A393" s="71" t="s">
        <v>1552</v>
      </c>
      <c r="B393" s="71" t="s">
        <v>67</v>
      </c>
      <c r="C393" s="71">
        <v>142.0</v>
      </c>
      <c r="D393" s="71" t="s">
        <v>1370</v>
      </c>
      <c r="E393" s="71" t="s">
        <v>1228</v>
      </c>
      <c r="F393" s="71" t="s">
        <v>212</v>
      </c>
      <c r="G393" s="71" t="s">
        <v>669</v>
      </c>
      <c r="H393" s="71">
        <v>6.0</v>
      </c>
      <c r="I393" s="71">
        <v>6.0</v>
      </c>
      <c r="J393" s="71">
        <v>20.0</v>
      </c>
      <c r="K393" s="72">
        <f>Centrocampisti!I142</f>
        <v>11</v>
      </c>
      <c r="L393" s="73">
        <f>Centrocampisti!AE142</f>
        <v>5.5</v>
      </c>
      <c r="M393" s="74">
        <f>Centrocampisti!B142</f>
        <v>6.5</v>
      </c>
      <c r="N393" s="71">
        <f>Centrocampisti!A142</f>
        <v>139</v>
      </c>
      <c r="O393" s="71" t="s">
        <v>226</v>
      </c>
      <c r="P393" s="71">
        <v>0.0</v>
      </c>
      <c r="R393" s="71" t="s">
        <v>71</v>
      </c>
      <c r="S393" s="71" t="s">
        <v>275</v>
      </c>
      <c r="T393" s="71" t="str">
        <f>Centrocampisti!K142</f>
        <v>3a fascia</v>
      </c>
      <c r="U393" s="71" t="s">
        <v>227</v>
      </c>
      <c r="V393" s="71">
        <v>0.0</v>
      </c>
      <c r="W393" s="71">
        <f t="shared" si="1"/>
        <v>173</v>
      </c>
    </row>
    <row r="394" ht="15.75" customHeight="1">
      <c r="A394" s="71" t="s">
        <v>1554</v>
      </c>
      <c r="B394" s="71" t="s">
        <v>67</v>
      </c>
      <c r="C394" s="71">
        <v>143.0</v>
      </c>
      <c r="D394" s="71" t="s">
        <v>1037</v>
      </c>
      <c r="E394" s="71" t="s">
        <v>1243</v>
      </c>
      <c r="F394" s="71" t="s">
        <v>253</v>
      </c>
      <c r="G394" s="71" t="s">
        <v>669</v>
      </c>
      <c r="H394" s="71">
        <v>3.0</v>
      </c>
      <c r="I394" s="71">
        <v>3.0</v>
      </c>
      <c r="J394" s="71">
        <v>7.0</v>
      </c>
      <c r="K394" s="72">
        <f>Centrocampisti!I143</f>
        <v>6</v>
      </c>
      <c r="L394" s="73">
        <f>Centrocampisti!AE143</f>
        <v>5.7</v>
      </c>
      <c r="M394" s="74">
        <f>Centrocampisti!B143</f>
        <v>6.4</v>
      </c>
      <c r="N394" s="71">
        <f>Centrocampisti!A143</f>
        <v>140</v>
      </c>
      <c r="O394" s="71" t="s">
        <v>332</v>
      </c>
      <c r="P394" s="71">
        <v>18.0</v>
      </c>
      <c r="Q394" s="71">
        <v>5.78</v>
      </c>
      <c r="R394" s="71" t="s">
        <v>71</v>
      </c>
      <c r="S394" s="71" t="s">
        <v>216</v>
      </c>
      <c r="T394" s="71" t="str">
        <f>Centrocampisti!K143</f>
        <v>4a fascia</v>
      </c>
      <c r="U394" s="71" t="s">
        <v>338</v>
      </c>
      <c r="V394" s="71">
        <v>0.0</v>
      </c>
      <c r="W394" s="71">
        <f t="shared" si="1"/>
        <v>408</v>
      </c>
    </row>
    <row r="395" ht="15.75" customHeight="1">
      <c r="A395" s="71" t="s">
        <v>1557</v>
      </c>
      <c r="B395" s="71" t="s">
        <v>67</v>
      </c>
      <c r="C395" s="71">
        <v>144.0</v>
      </c>
      <c r="D395" s="71" t="s">
        <v>924</v>
      </c>
      <c r="E395" s="71" t="s">
        <v>1243</v>
      </c>
      <c r="F395" s="71" t="s">
        <v>253</v>
      </c>
      <c r="G395" s="71" t="s">
        <v>669</v>
      </c>
      <c r="H395" s="71">
        <v>5.0</v>
      </c>
      <c r="I395" s="71">
        <v>6.0</v>
      </c>
      <c r="J395" s="71">
        <v>14.0</v>
      </c>
      <c r="K395" s="72">
        <f>Centrocampisti!I144</f>
        <v>9</v>
      </c>
      <c r="L395" s="73">
        <f>Centrocampisti!AE144</f>
        <v>5.58</v>
      </c>
      <c r="M395" s="74">
        <f>Centrocampisti!B144</f>
        <v>6.2</v>
      </c>
      <c r="N395" s="71">
        <f>Centrocampisti!A144</f>
        <v>141</v>
      </c>
      <c r="O395" s="71" t="s">
        <v>226</v>
      </c>
      <c r="P395" s="71">
        <v>3.0</v>
      </c>
      <c r="Q395" s="71">
        <v>6.17</v>
      </c>
      <c r="R395" s="71" t="s">
        <v>71</v>
      </c>
      <c r="S395" s="71" t="s">
        <v>216</v>
      </c>
      <c r="T395" s="71" t="str">
        <f>Centrocampisti!K144</f>
        <v>3a fascia</v>
      </c>
      <c r="U395" s="71" t="s">
        <v>277</v>
      </c>
      <c r="V395" s="71">
        <v>2.0</v>
      </c>
      <c r="W395" s="71">
        <f t="shared" si="1"/>
        <v>248</v>
      </c>
    </row>
    <row r="396" ht="15.75" customHeight="1">
      <c r="A396" s="71" t="s">
        <v>1559</v>
      </c>
      <c r="B396" s="71" t="s">
        <v>67</v>
      </c>
      <c r="C396" s="71">
        <v>145.0</v>
      </c>
      <c r="D396" s="71" t="s">
        <v>1087</v>
      </c>
      <c r="E396" s="71" t="s">
        <v>1247</v>
      </c>
      <c r="F396" s="71" t="s">
        <v>264</v>
      </c>
      <c r="G396" s="71" t="s">
        <v>669</v>
      </c>
      <c r="H396" s="71">
        <v>5.0</v>
      </c>
      <c r="I396" s="71">
        <v>5.0</v>
      </c>
      <c r="J396" s="71">
        <v>11.0</v>
      </c>
      <c r="K396" s="72">
        <f>Centrocampisti!I145</f>
        <v>8</v>
      </c>
      <c r="L396" s="73">
        <f>Centrocampisti!AE145</f>
        <v>5.62</v>
      </c>
      <c r="M396" s="74">
        <f>Centrocampisti!B145</f>
        <v>6.1</v>
      </c>
      <c r="N396" s="71">
        <f>Centrocampisti!A145</f>
        <v>142</v>
      </c>
      <c r="O396" s="71" t="s">
        <v>68</v>
      </c>
      <c r="P396" s="71">
        <v>24.0</v>
      </c>
      <c r="Q396" s="71">
        <v>5.62</v>
      </c>
      <c r="R396" s="71" t="s">
        <v>71</v>
      </c>
      <c r="S396" s="71" t="s">
        <v>678</v>
      </c>
      <c r="T396" s="71" t="str">
        <f>Centrocampisti!K145</f>
        <v>3a fascia</v>
      </c>
      <c r="U396" s="71" t="s">
        <v>294</v>
      </c>
      <c r="V396" s="71">
        <v>1.0</v>
      </c>
      <c r="W396" s="71">
        <f t="shared" si="1"/>
        <v>323</v>
      </c>
    </row>
    <row r="397" ht="15.75" customHeight="1">
      <c r="A397" s="71" t="s">
        <v>1561</v>
      </c>
      <c r="B397" s="71" t="s">
        <v>67</v>
      </c>
      <c r="C397" s="71">
        <v>146.0</v>
      </c>
      <c r="D397" s="71" t="s">
        <v>1057</v>
      </c>
      <c r="E397" s="71" t="s">
        <v>1236</v>
      </c>
      <c r="F397" s="71" t="s">
        <v>232</v>
      </c>
      <c r="G397" s="71" t="s">
        <v>669</v>
      </c>
      <c r="H397" s="71">
        <v>2.0</v>
      </c>
      <c r="I397" s="71">
        <v>3.0</v>
      </c>
      <c r="J397" s="71">
        <v>7.0</v>
      </c>
      <c r="K397" s="72">
        <f>Centrocampisti!I146</f>
        <v>6</v>
      </c>
      <c r="L397" s="73">
        <f>Centrocampisti!AE146</f>
        <v>5.68</v>
      </c>
      <c r="M397" s="74">
        <f>Centrocampisti!B146</f>
        <v>6.1</v>
      </c>
      <c r="N397" s="71">
        <f>Centrocampisti!A146</f>
        <v>142</v>
      </c>
      <c r="O397" s="71" t="s">
        <v>332</v>
      </c>
      <c r="P397" s="71">
        <v>21.0</v>
      </c>
      <c r="Q397" s="71">
        <v>5.71</v>
      </c>
      <c r="R397" s="71" t="s">
        <v>71</v>
      </c>
      <c r="S397" s="71" t="s">
        <v>609</v>
      </c>
      <c r="T397" s="71" t="str">
        <f>Centrocampisti!K146</f>
        <v>4a fascia</v>
      </c>
      <c r="U397" s="71" t="s">
        <v>473</v>
      </c>
      <c r="V397" s="71">
        <v>2.0</v>
      </c>
      <c r="W397" s="71">
        <f t="shared" si="1"/>
        <v>408</v>
      </c>
    </row>
    <row r="398" ht="15.75" customHeight="1">
      <c r="A398" s="71" t="s">
        <v>1563</v>
      </c>
      <c r="B398" s="71" t="s">
        <v>67</v>
      </c>
      <c r="C398" s="71">
        <v>147.0</v>
      </c>
      <c r="D398" s="71" t="s">
        <v>1413</v>
      </c>
      <c r="E398" s="71" t="s">
        <v>1228</v>
      </c>
      <c r="F398" s="71" t="s">
        <v>212</v>
      </c>
      <c r="G398" s="71" t="s">
        <v>669</v>
      </c>
      <c r="H398" s="71">
        <v>4.0</v>
      </c>
      <c r="I398" s="71">
        <v>5.0</v>
      </c>
      <c r="J398" s="71">
        <v>18.0</v>
      </c>
      <c r="K398" s="72">
        <f>Centrocampisti!I147</f>
        <v>10</v>
      </c>
      <c r="L398" s="73">
        <f>Centrocampisti!AE147</f>
        <v>5.5</v>
      </c>
      <c r="M398" s="74">
        <f>Centrocampisti!B147</f>
        <v>6</v>
      </c>
      <c r="N398" s="71">
        <f>Centrocampisti!A147</f>
        <v>144</v>
      </c>
      <c r="O398" s="71" t="s">
        <v>332</v>
      </c>
      <c r="P398" s="71">
        <v>0.0</v>
      </c>
      <c r="R398" s="71" t="s">
        <v>71</v>
      </c>
      <c r="S398" s="71" t="s">
        <v>275</v>
      </c>
      <c r="T398" s="71" t="str">
        <f>Centrocampisti!K147</f>
        <v>3a fascia</v>
      </c>
      <c r="U398" s="71" t="s">
        <v>473</v>
      </c>
      <c r="V398" s="71">
        <v>2.0</v>
      </c>
      <c r="W398" s="71">
        <f t="shared" si="1"/>
        <v>200</v>
      </c>
    </row>
    <row r="399" ht="15.75" customHeight="1">
      <c r="A399" s="71" t="s">
        <v>1565</v>
      </c>
      <c r="B399" s="71" t="s">
        <v>67</v>
      </c>
      <c r="C399" s="71">
        <v>148.0</v>
      </c>
      <c r="D399" s="71" t="s">
        <v>1423</v>
      </c>
      <c r="E399" s="71" t="s">
        <v>1225</v>
      </c>
      <c r="F399" s="71" t="s">
        <v>208</v>
      </c>
      <c r="G399" s="71" t="s">
        <v>669</v>
      </c>
      <c r="H399" s="71">
        <v>6.0</v>
      </c>
      <c r="I399" s="71">
        <v>6.0</v>
      </c>
      <c r="J399" s="71">
        <v>18.0</v>
      </c>
      <c r="K399" s="72">
        <f>Centrocampisti!I148</f>
        <v>10</v>
      </c>
      <c r="L399" s="73">
        <f>Centrocampisti!AE148</f>
        <v>5.5</v>
      </c>
      <c r="M399" s="74">
        <f>Centrocampisti!B148</f>
        <v>6</v>
      </c>
      <c r="N399" s="71">
        <f>Centrocampisti!A148</f>
        <v>144</v>
      </c>
      <c r="O399" s="71" t="s">
        <v>226</v>
      </c>
      <c r="P399" s="71">
        <v>0.0</v>
      </c>
      <c r="R399" s="71" t="s">
        <v>71</v>
      </c>
      <c r="S399" s="71" t="s">
        <v>303</v>
      </c>
      <c r="T399" s="71" t="str">
        <f>Centrocampisti!K148</f>
        <v>3a fascia</v>
      </c>
      <c r="U399" s="71" t="s">
        <v>300</v>
      </c>
      <c r="V399" s="71">
        <v>2.0</v>
      </c>
      <c r="W399" s="71">
        <f t="shared" si="1"/>
        <v>200</v>
      </c>
    </row>
    <row r="400" ht="15.75" customHeight="1">
      <c r="A400" s="71" t="s">
        <v>1567</v>
      </c>
      <c r="B400" s="71" t="s">
        <v>67</v>
      </c>
      <c r="C400" s="71">
        <v>149.0</v>
      </c>
      <c r="D400" s="71" t="s">
        <v>1112</v>
      </c>
      <c r="E400" s="71" t="s">
        <v>1207</v>
      </c>
      <c r="F400" s="71" t="s">
        <v>93</v>
      </c>
      <c r="G400" s="71" t="s">
        <v>669</v>
      </c>
      <c r="H400" s="71">
        <v>5.0</v>
      </c>
      <c r="I400" s="71">
        <v>7.0</v>
      </c>
      <c r="J400" s="71">
        <v>15.0</v>
      </c>
      <c r="K400" s="72">
        <f>Centrocampisti!I149</f>
        <v>9</v>
      </c>
      <c r="L400" s="73">
        <f>Centrocampisti!AE149</f>
        <v>5.55</v>
      </c>
      <c r="M400" s="74">
        <f>Centrocampisti!B149</f>
        <v>6</v>
      </c>
      <c r="N400" s="71">
        <f>Centrocampisti!A149</f>
        <v>144</v>
      </c>
      <c r="O400" s="71" t="s">
        <v>332</v>
      </c>
      <c r="P400" s="71">
        <v>29.0</v>
      </c>
      <c r="Q400" s="71">
        <v>5.55</v>
      </c>
      <c r="R400" s="71" t="s">
        <v>71</v>
      </c>
      <c r="S400" s="71" t="s">
        <v>363</v>
      </c>
      <c r="T400" s="71" t="str">
        <f>Centrocampisti!K149</f>
        <v>3a fascia</v>
      </c>
      <c r="U400" s="71" t="s">
        <v>408</v>
      </c>
      <c r="V400" s="71">
        <v>1.0</v>
      </c>
      <c r="W400" s="71">
        <f t="shared" si="1"/>
        <v>224</v>
      </c>
    </row>
    <row r="401" ht="15.75" customHeight="1">
      <c r="A401" s="71" t="s">
        <v>1569</v>
      </c>
      <c r="B401" s="71" t="s">
        <v>67</v>
      </c>
      <c r="C401" s="71">
        <v>150.0</v>
      </c>
      <c r="D401" s="71" t="s">
        <v>1001</v>
      </c>
      <c r="E401" s="71" t="s">
        <v>1236</v>
      </c>
      <c r="F401" s="71" t="s">
        <v>232</v>
      </c>
      <c r="G401" s="71" t="s">
        <v>669</v>
      </c>
      <c r="H401" s="71">
        <v>1.0</v>
      </c>
      <c r="I401" s="71">
        <v>1.0</v>
      </c>
      <c r="J401" s="71">
        <v>10.0</v>
      </c>
      <c r="K401" s="72">
        <f>Centrocampisti!I150</f>
        <v>7</v>
      </c>
      <c r="L401" s="73">
        <f>Centrocampisti!AE150</f>
        <v>5.62</v>
      </c>
      <c r="M401" s="74">
        <f>Centrocampisti!B150</f>
        <v>5.9</v>
      </c>
      <c r="N401" s="71">
        <f>Centrocampisti!A150</f>
        <v>147</v>
      </c>
      <c r="O401" s="71" t="s">
        <v>332</v>
      </c>
      <c r="P401" s="71">
        <v>8.0</v>
      </c>
      <c r="Q401" s="71">
        <v>5.88</v>
      </c>
      <c r="R401" s="71" t="s">
        <v>71</v>
      </c>
      <c r="S401" s="71" t="s">
        <v>609</v>
      </c>
      <c r="T401" s="71" t="str">
        <f>Centrocampisti!K150</f>
        <v>3a fascia</v>
      </c>
      <c r="U401" s="71" t="s">
        <v>615</v>
      </c>
      <c r="V401" s="71">
        <v>1.0</v>
      </c>
      <c r="W401" s="71">
        <f t="shared" si="1"/>
        <v>342</v>
      </c>
    </row>
    <row r="402" ht="15.75" customHeight="1">
      <c r="A402" s="71" t="s">
        <v>1571</v>
      </c>
      <c r="B402" s="71" t="s">
        <v>67</v>
      </c>
      <c r="C402" s="71">
        <v>151.0</v>
      </c>
      <c r="D402" s="71" t="s">
        <v>1079</v>
      </c>
      <c r="E402" s="71" t="s">
        <v>1236</v>
      </c>
      <c r="F402" s="71" t="s">
        <v>232</v>
      </c>
      <c r="G402" s="71" t="s">
        <v>669</v>
      </c>
      <c r="H402" s="71">
        <v>4.0</v>
      </c>
      <c r="I402" s="71">
        <v>4.0</v>
      </c>
      <c r="J402" s="71">
        <v>12.0</v>
      </c>
      <c r="K402" s="72">
        <f>Centrocampisti!I151</f>
        <v>8</v>
      </c>
      <c r="L402" s="73">
        <f>Centrocampisti!AE151</f>
        <v>5.58</v>
      </c>
      <c r="M402" s="74">
        <f>Centrocampisti!B151</f>
        <v>5.8</v>
      </c>
      <c r="N402" s="71">
        <f>Centrocampisti!A151</f>
        <v>148</v>
      </c>
      <c r="O402" s="71" t="s">
        <v>68</v>
      </c>
      <c r="P402" s="71">
        <v>13.0</v>
      </c>
      <c r="Q402" s="71">
        <v>5.65</v>
      </c>
      <c r="R402" s="71" t="s">
        <v>71</v>
      </c>
      <c r="S402" s="71" t="s">
        <v>609</v>
      </c>
      <c r="T402" s="71" t="str">
        <f>Centrocampisti!K151</f>
        <v>3a fascia</v>
      </c>
      <c r="U402" s="71" t="s">
        <v>70</v>
      </c>
      <c r="V402" s="71">
        <v>2.0</v>
      </c>
      <c r="W402" s="71">
        <f t="shared" si="1"/>
        <v>282</v>
      </c>
    </row>
    <row r="403" ht="15.75" customHeight="1">
      <c r="A403" s="71" t="s">
        <v>1573</v>
      </c>
      <c r="B403" s="71" t="s">
        <v>67</v>
      </c>
      <c r="C403" s="71">
        <v>152.0</v>
      </c>
      <c r="D403" s="71" t="s">
        <v>1452</v>
      </c>
      <c r="E403" s="71" t="s">
        <v>1241</v>
      </c>
      <c r="F403" s="71" t="s">
        <v>177</v>
      </c>
      <c r="G403" s="71" t="s">
        <v>669</v>
      </c>
      <c r="H403" s="71">
        <v>7.0</v>
      </c>
      <c r="I403" s="71">
        <v>7.0</v>
      </c>
      <c r="J403" s="71">
        <v>15.0</v>
      </c>
      <c r="K403" s="72">
        <f>Centrocampisti!I152</f>
        <v>9</v>
      </c>
      <c r="L403" s="73">
        <f>Centrocampisti!AE152</f>
        <v>5.5</v>
      </c>
      <c r="M403" s="74">
        <f>Centrocampisti!B152</f>
        <v>5.2</v>
      </c>
      <c r="N403" s="71">
        <f>Centrocampisti!A152</f>
        <v>149</v>
      </c>
      <c r="O403" s="71" t="s">
        <v>68</v>
      </c>
      <c r="P403" s="71">
        <v>0.0</v>
      </c>
      <c r="R403" s="71" t="s">
        <v>71</v>
      </c>
      <c r="S403" s="71" t="s">
        <v>275</v>
      </c>
      <c r="T403" s="71" t="str">
        <f>Centrocampisti!K152</f>
        <v>3a fascia</v>
      </c>
      <c r="U403" s="71" t="s">
        <v>100</v>
      </c>
      <c r="V403" s="71">
        <v>2.0</v>
      </c>
      <c r="W403" s="71">
        <f t="shared" si="1"/>
        <v>224</v>
      </c>
    </row>
    <row r="404" ht="15.75" customHeight="1">
      <c r="A404" s="71" t="s">
        <v>1576</v>
      </c>
      <c r="B404" s="71" t="s">
        <v>67</v>
      </c>
      <c r="C404" s="71">
        <v>153.0</v>
      </c>
      <c r="D404" s="71" t="s">
        <v>1457</v>
      </c>
      <c r="E404" s="71" t="s">
        <v>1237</v>
      </c>
      <c r="F404" s="71" t="s">
        <v>239</v>
      </c>
      <c r="G404" s="71" t="s">
        <v>669</v>
      </c>
      <c r="H404" s="71">
        <v>6.0</v>
      </c>
      <c r="I404" s="71">
        <v>6.0</v>
      </c>
      <c r="J404" s="71">
        <v>15.0</v>
      </c>
      <c r="K404" s="72">
        <f>Centrocampisti!I153</f>
        <v>9</v>
      </c>
      <c r="L404" s="73">
        <f>Centrocampisti!AE153</f>
        <v>5.5</v>
      </c>
      <c r="M404" s="74">
        <f>Centrocampisti!B153</f>
        <v>5.2</v>
      </c>
      <c r="N404" s="71">
        <f>Centrocampisti!A153</f>
        <v>149</v>
      </c>
      <c r="O404" s="71" t="s">
        <v>68</v>
      </c>
      <c r="P404" s="71">
        <v>0.0</v>
      </c>
      <c r="R404" s="71" t="s">
        <v>71</v>
      </c>
      <c r="S404" s="71" t="s">
        <v>254</v>
      </c>
      <c r="T404" s="71" t="str">
        <f>Centrocampisti!K153</f>
        <v>3a fascia</v>
      </c>
      <c r="U404" s="71" t="s">
        <v>100</v>
      </c>
      <c r="V404" s="71">
        <v>2.0</v>
      </c>
      <c r="W404" s="71">
        <f t="shared" si="1"/>
        <v>224</v>
      </c>
    </row>
    <row r="405" ht="15.75" customHeight="1">
      <c r="A405" s="71" t="s">
        <v>1578</v>
      </c>
      <c r="B405" s="71" t="s">
        <v>67</v>
      </c>
      <c r="C405" s="71">
        <v>154.0</v>
      </c>
      <c r="D405" s="71" t="s">
        <v>1073</v>
      </c>
      <c r="E405" s="71" t="s">
        <v>1241</v>
      </c>
      <c r="F405" s="71" t="s">
        <v>177</v>
      </c>
      <c r="G405" s="71" t="s">
        <v>669</v>
      </c>
      <c r="H405" s="71">
        <v>4.0</v>
      </c>
      <c r="I405" s="71">
        <v>4.0</v>
      </c>
      <c r="J405" s="71">
        <v>11.0</v>
      </c>
      <c r="K405" s="72">
        <f>Centrocampisti!I154</f>
        <v>8</v>
      </c>
      <c r="L405" s="73">
        <f>Centrocampisti!AE154</f>
        <v>5.56</v>
      </c>
      <c r="M405" s="74">
        <f>Centrocampisti!B154</f>
        <v>5.2</v>
      </c>
      <c r="N405" s="71">
        <f>Centrocampisti!A154</f>
        <v>149</v>
      </c>
      <c r="O405" s="71" t="s">
        <v>226</v>
      </c>
      <c r="P405" s="71">
        <v>9.0</v>
      </c>
      <c r="Q405" s="71">
        <v>5.67</v>
      </c>
      <c r="R405" s="71" t="s">
        <v>71</v>
      </c>
      <c r="S405" s="71" t="s">
        <v>275</v>
      </c>
      <c r="T405" s="71" t="str">
        <f>Centrocampisti!K154</f>
        <v>3a fascia</v>
      </c>
      <c r="U405" s="71" t="s">
        <v>301</v>
      </c>
      <c r="V405" s="71">
        <v>1.0</v>
      </c>
      <c r="W405" s="71">
        <f t="shared" si="1"/>
        <v>323</v>
      </c>
    </row>
    <row r="406" ht="15.75" customHeight="1">
      <c r="A406" s="71" t="s">
        <v>1581</v>
      </c>
      <c r="B406" s="71" t="s">
        <v>67</v>
      </c>
      <c r="C406" s="71">
        <v>155.0</v>
      </c>
      <c r="D406" s="71" t="s">
        <v>1130</v>
      </c>
      <c r="E406" s="71" t="s">
        <v>1245</v>
      </c>
      <c r="F406" s="71" t="s">
        <v>261</v>
      </c>
      <c r="G406" s="71" t="s">
        <v>669</v>
      </c>
      <c r="H406" s="71">
        <v>3.0</v>
      </c>
      <c r="I406" s="71">
        <v>4.0</v>
      </c>
      <c r="J406" s="71">
        <v>13.0</v>
      </c>
      <c r="K406" s="72">
        <f>Centrocampisti!I155</f>
        <v>8</v>
      </c>
      <c r="L406" s="73">
        <f>Centrocampisti!AE155</f>
        <v>5.5</v>
      </c>
      <c r="M406" s="74">
        <f>Centrocampisti!B155</f>
        <v>4.7</v>
      </c>
      <c r="N406" s="71">
        <f>Centrocampisti!A155</f>
        <v>152</v>
      </c>
      <c r="O406" s="71" t="s">
        <v>68</v>
      </c>
      <c r="P406" s="71">
        <v>1.0</v>
      </c>
      <c r="Q406" s="71">
        <v>5.5</v>
      </c>
      <c r="R406" s="71" t="s">
        <v>71</v>
      </c>
      <c r="S406" s="71" t="s">
        <v>563</v>
      </c>
      <c r="T406" s="71" t="str">
        <f>Centrocampisti!K155</f>
        <v>3a fascia</v>
      </c>
      <c r="U406" s="71" t="s">
        <v>100</v>
      </c>
      <c r="V406" s="71">
        <v>2.0</v>
      </c>
      <c r="W406" s="71">
        <f t="shared" si="1"/>
        <v>262</v>
      </c>
    </row>
    <row r="407" ht="15.75" customHeight="1">
      <c r="A407" s="71" t="s">
        <v>1583</v>
      </c>
      <c r="B407" s="71" t="s">
        <v>67</v>
      </c>
      <c r="C407" s="71">
        <v>156.0</v>
      </c>
      <c r="D407" s="71" t="s">
        <v>1476</v>
      </c>
      <c r="E407" s="71" t="s">
        <v>1245</v>
      </c>
      <c r="F407" s="71" t="s">
        <v>261</v>
      </c>
      <c r="G407" s="71" t="s">
        <v>669</v>
      </c>
      <c r="H407" s="71">
        <v>4.0</v>
      </c>
      <c r="I407" s="71">
        <v>4.0</v>
      </c>
      <c r="J407" s="71">
        <v>12.0</v>
      </c>
      <c r="K407" s="72">
        <f>Centrocampisti!I156</f>
        <v>8</v>
      </c>
      <c r="L407" s="73">
        <f>Centrocampisti!AE156</f>
        <v>5.5</v>
      </c>
      <c r="M407" s="74">
        <f>Centrocampisti!B156</f>
        <v>4.5</v>
      </c>
      <c r="N407" s="71">
        <f>Centrocampisti!A156</f>
        <v>153</v>
      </c>
      <c r="O407" s="71" t="s">
        <v>226</v>
      </c>
      <c r="P407" s="71">
        <v>0.0</v>
      </c>
      <c r="R407" s="71" t="s">
        <v>71</v>
      </c>
      <c r="S407" s="71" t="s">
        <v>563</v>
      </c>
      <c r="T407" s="71" t="str">
        <f>Centrocampisti!K156</f>
        <v>3a fascia</v>
      </c>
      <c r="U407" s="71" t="s">
        <v>495</v>
      </c>
      <c r="V407" s="71">
        <v>1.0</v>
      </c>
      <c r="W407" s="71">
        <f t="shared" si="1"/>
        <v>282</v>
      </c>
    </row>
    <row r="408" ht="15.75" customHeight="1">
      <c r="A408" s="71" t="s">
        <v>1585</v>
      </c>
      <c r="B408" s="71" t="s">
        <v>67</v>
      </c>
      <c r="C408" s="71">
        <v>157.0</v>
      </c>
      <c r="D408" s="71" t="s">
        <v>1483</v>
      </c>
      <c r="E408" s="71" t="s">
        <v>1256</v>
      </c>
      <c r="F408" s="71" t="s">
        <v>283</v>
      </c>
      <c r="G408" s="71" t="s">
        <v>669</v>
      </c>
      <c r="H408" s="71">
        <v>3.0</v>
      </c>
      <c r="I408" s="71">
        <v>3.0</v>
      </c>
      <c r="J408" s="71">
        <v>12.0</v>
      </c>
      <c r="K408" s="72">
        <f>Centrocampisti!I157</f>
        <v>8</v>
      </c>
      <c r="L408" s="73">
        <f>Centrocampisti!AE157</f>
        <v>5.5</v>
      </c>
      <c r="M408" s="74">
        <f>Centrocampisti!B157</f>
        <v>4.5</v>
      </c>
      <c r="N408" s="71">
        <f>Centrocampisti!A157</f>
        <v>153</v>
      </c>
      <c r="O408" s="71" t="s">
        <v>226</v>
      </c>
      <c r="P408" s="71">
        <v>0.0</v>
      </c>
      <c r="R408" s="71" t="s">
        <v>71</v>
      </c>
      <c r="S408" s="71" t="s">
        <v>397</v>
      </c>
      <c r="T408" s="71" t="str">
        <f>Centrocampisti!K157</f>
        <v>3a fascia</v>
      </c>
      <c r="U408" s="71" t="s">
        <v>495</v>
      </c>
      <c r="V408" s="71">
        <v>1.0</v>
      </c>
      <c r="W408" s="71">
        <f t="shared" si="1"/>
        <v>282</v>
      </c>
    </row>
    <row r="409" ht="15.75" customHeight="1">
      <c r="A409" s="71" t="s">
        <v>1587</v>
      </c>
      <c r="B409" s="71" t="s">
        <v>67</v>
      </c>
      <c r="C409" s="71">
        <v>158.0</v>
      </c>
      <c r="D409" s="71" t="s">
        <v>1131</v>
      </c>
      <c r="E409" s="71" t="s">
        <v>1236</v>
      </c>
      <c r="F409" s="71" t="s">
        <v>232</v>
      </c>
      <c r="G409" s="71" t="s">
        <v>669</v>
      </c>
      <c r="H409" s="71">
        <v>1.0</v>
      </c>
      <c r="I409" s="71">
        <v>3.0</v>
      </c>
      <c r="J409" s="71">
        <v>12.0</v>
      </c>
      <c r="K409" s="72">
        <f>Centrocampisti!I158</f>
        <v>8</v>
      </c>
      <c r="L409" s="73">
        <f>Centrocampisti!AE158</f>
        <v>5.5</v>
      </c>
      <c r="M409" s="74">
        <f>Centrocampisti!B158</f>
        <v>4.5</v>
      </c>
      <c r="N409" s="71">
        <f>Centrocampisti!A158</f>
        <v>153</v>
      </c>
      <c r="O409" s="71" t="s">
        <v>332</v>
      </c>
      <c r="P409" s="71">
        <v>1.0</v>
      </c>
      <c r="Q409" s="71">
        <v>5.5</v>
      </c>
      <c r="R409" s="71" t="s">
        <v>71</v>
      </c>
      <c r="S409" s="71" t="s">
        <v>609</v>
      </c>
      <c r="T409" s="71" t="str">
        <f>Centrocampisti!K158</f>
        <v>3a fascia</v>
      </c>
      <c r="U409" s="71" t="s">
        <v>392</v>
      </c>
      <c r="V409" s="71">
        <v>2.0</v>
      </c>
      <c r="W409" s="71">
        <f t="shared" si="1"/>
        <v>282</v>
      </c>
    </row>
    <row r="410" ht="15.75" customHeight="1">
      <c r="A410" s="71" t="s">
        <v>1590</v>
      </c>
      <c r="B410" s="71" t="s">
        <v>67</v>
      </c>
      <c r="C410" s="71">
        <v>159.0</v>
      </c>
      <c r="D410" s="71" t="s">
        <v>1494</v>
      </c>
      <c r="E410" s="71" t="s">
        <v>1237</v>
      </c>
      <c r="F410" s="71" t="s">
        <v>239</v>
      </c>
      <c r="G410" s="71" t="s">
        <v>669</v>
      </c>
      <c r="H410" s="71">
        <v>4.0</v>
      </c>
      <c r="I410" s="71">
        <v>4.0</v>
      </c>
      <c r="J410" s="71">
        <v>12.0</v>
      </c>
      <c r="K410" s="72">
        <f>Centrocampisti!I159</f>
        <v>8</v>
      </c>
      <c r="L410" s="73">
        <f>Centrocampisti!AE159</f>
        <v>5.5</v>
      </c>
      <c r="M410" s="74">
        <f>Centrocampisti!B159</f>
        <v>4.5</v>
      </c>
      <c r="N410" s="71">
        <f>Centrocampisti!A159</f>
        <v>153</v>
      </c>
      <c r="O410" s="71" t="s">
        <v>226</v>
      </c>
      <c r="P410" s="71">
        <v>0.0</v>
      </c>
      <c r="R410" s="71" t="s">
        <v>71</v>
      </c>
      <c r="S410" s="71" t="s">
        <v>254</v>
      </c>
      <c r="T410" s="71" t="str">
        <f>Centrocampisti!K159</f>
        <v>3a fascia</v>
      </c>
      <c r="U410" s="71" t="s">
        <v>227</v>
      </c>
      <c r="V410" s="71">
        <v>0.0</v>
      </c>
      <c r="W410" s="71">
        <f t="shared" si="1"/>
        <v>282</v>
      </c>
    </row>
    <row r="411" ht="15.75" customHeight="1">
      <c r="A411" s="71" t="s">
        <v>1592</v>
      </c>
      <c r="B411" s="71" t="s">
        <v>67</v>
      </c>
      <c r="C411" s="71">
        <v>160.0</v>
      </c>
      <c r="D411" s="71" t="s">
        <v>1503</v>
      </c>
      <c r="E411" s="71" t="s">
        <v>1252</v>
      </c>
      <c r="F411" s="71" t="s">
        <v>272</v>
      </c>
      <c r="G411" s="71" t="s">
        <v>669</v>
      </c>
      <c r="H411" s="71">
        <v>1.0</v>
      </c>
      <c r="I411" s="71">
        <v>1.0</v>
      </c>
      <c r="J411" s="71">
        <v>12.0</v>
      </c>
      <c r="K411" s="72">
        <f>Centrocampisti!I160</f>
        <v>8</v>
      </c>
      <c r="L411" s="73">
        <f>Centrocampisti!AE160</f>
        <v>5.5</v>
      </c>
      <c r="M411" s="74">
        <f>Centrocampisti!B160</f>
        <v>4.5</v>
      </c>
      <c r="N411" s="71">
        <f>Centrocampisti!A160</f>
        <v>153</v>
      </c>
      <c r="O411" s="71" t="s">
        <v>332</v>
      </c>
      <c r="P411" s="71">
        <v>0.0</v>
      </c>
      <c r="R411" s="71" t="s">
        <v>71</v>
      </c>
      <c r="S411" s="71" t="s">
        <v>644</v>
      </c>
      <c r="T411" s="71" t="str">
        <f>Centrocampisti!K160</f>
        <v>3a fascia</v>
      </c>
      <c r="U411" s="71" t="s">
        <v>615</v>
      </c>
      <c r="V411" s="71">
        <v>1.0</v>
      </c>
      <c r="W411" s="71">
        <f t="shared" si="1"/>
        <v>282</v>
      </c>
    </row>
    <row r="412" ht="15.75" customHeight="1">
      <c r="A412" s="71" t="s">
        <v>1594</v>
      </c>
      <c r="B412" s="71" t="s">
        <v>67</v>
      </c>
      <c r="C412" s="71">
        <v>161.0</v>
      </c>
      <c r="D412" s="71" t="s">
        <v>1021</v>
      </c>
      <c r="E412" s="71" t="s">
        <v>1219</v>
      </c>
      <c r="F412" s="71" t="s">
        <v>195</v>
      </c>
      <c r="G412" s="71" t="s">
        <v>669</v>
      </c>
      <c r="H412" s="71">
        <v>1.0</v>
      </c>
      <c r="I412" s="71">
        <v>2.0</v>
      </c>
      <c r="J412" s="71">
        <v>3.0</v>
      </c>
      <c r="K412" s="72">
        <f>Centrocampisti!I161</f>
        <v>4</v>
      </c>
      <c r="L412" s="73">
        <f>Centrocampisti!AE161</f>
        <v>5.64</v>
      </c>
      <c r="M412" s="74">
        <f>Centrocampisti!B161</f>
        <v>4.5</v>
      </c>
      <c r="N412" s="71">
        <f>Centrocampisti!A161</f>
        <v>153</v>
      </c>
      <c r="O412" s="71" t="s">
        <v>332</v>
      </c>
      <c r="P412" s="71">
        <v>11.0</v>
      </c>
      <c r="Q412" s="71">
        <v>5.82</v>
      </c>
      <c r="R412" s="71" t="s">
        <v>71</v>
      </c>
      <c r="S412" s="71" t="s">
        <v>320</v>
      </c>
      <c r="T412" s="71" t="str">
        <f>Centrocampisti!K161</f>
        <v>4a fascia</v>
      </c>
      <c r="U412" s="71" t="s">
        <v>408</v>
      </c>
      <c r="V412" s="71">
        <v>1.0</v>
      </c>
      <c r="W412" s="71">
        <f t="shared" si="1"/>
        <v>462</v>
      </c>
    </row>
    <row r="413" ht="15.75" customHeight="1">
      <c r="A413" s="71" t="s">
        <v>1597</v>
      </c>
      <c r="B413" s="71" t="s">
        <v>67</v>
      </c>
      <c r="C413" s="71">
        <v>162.0</v>
      </c>
      <c r="D413" s="71" t="s">
        <v>1520</v>
      </c>
      <c r="E413" s="71" t="s">
        <v>1245</v>
      </c>
      <c r="F413" s="71" t="s">
        <v>261</v>
      </c>
      <c r="G413" s="71" t="s">
        <v>669</v>
      </c>
      <c r="H413" s="71">
        <v>4.0</v>
      </c>
      <c r="I413" s="71">
        <v>4.0</v>
      </c>
      <c r="J413" s="71">
        <v>11.0</v>
      </c>
      <c r="K413" s="72">
        <f>Centrocampisti!I162</f>
        <v>8</v>
      </c>
      <c r="L413" s="73">
        <f>Centrocampisti!AE162</f>
        <v>5.5</v>
      </c>
      <c r="M413" s="74">
        <f>Centrocampisti!B162</f>
        <v>4.3</v>
      </c>
      <c r="N413" s="71">
        <f>Centrocampisti!A162</f>
        <v>159</v>
      </c>
      <c r="O413" s="71" t="s">
        <v>226</v>
      </c>
      <c r="P413" s="71">
        <v>0.0</v>
      </c>
      <c r="R413" s="71" t="s">
        <v>71</v>
      </c>
      <c r="S413" s="71" t="s">
        <v>563</v>
      </c>
      <c r="T413" s="71" t="str">
        <f>Centrocampisti!K162</f>
        <v>3a fascia</v>
      </c>
      <c r="U413" s="71" t="s">
        <v>227</v>
      </c>
      <c r="V413" s="71">
        <v>0.0</v>
      </c>
      <c r="W413" s="71">
        <f t="shared" si="1"/>
        <v>323</v>
      </c>
    </row>
    <row r="414" ht="15.75" customHeight="1">
      <c r="A414" s="71" t="s">
        <v>1600</v>
      </c>
      <c r="B414" s="71" t="s">
        <v>67</v>
      </c>
      <c r="C414" s="71">
        <v>163.0</v>
      </c>
      <c r="D414" s="71" t="s">
        <v>1525</v>
      </c>
      <c r="E414" s="71" t="s">
        <v>1241</v>
      </c>
      <c r="F414" s="71" t="s">
        <v>177</v>
      </c>
      <c r="G414" s="71" t="s">
        <v>669</v>
      </c>
      <c r="H414" s="71">
        <v>5.0</v>
      </c>
      <c r="I414" s="71">
        <v>5.0</v>
      </c>
      <c r="J414" s="71">
        <v>11.0</v>
      </c>
      <c r="K414" s="72">
        <f>Centrocampisti!I163</f>
        <v>8</v>
      </c>
      <c r="L414" s="73">
        <f>Centrocampisti!AE163</f>
        <v>5.5</v>
      </c>
      <c r="M414" s="74">
        <f>Centrocampisti!B163</f>
        <v>4.3</v>
      </c>
      <c r="N414" s="71">
        <f>Centrocampisti!A163</f>
        <v>159</v>
      </c>
      <c r="O414" s="71" t="s">
        <v>226</v>
      </c>
      <c r="P414" s="71">
        <v>0.0</v>
      </c>
      <c r="R414" s="71" t="s">
        <v>71</v>
      </c>
      <c r="S414" s="71" t="s">
        <v>275</v>
      </c>
      <c r="T414" s="71" t="str">
        <f>Centrocampisti!K163</f>
        <v>3a fascia</v>
      </c>
      <c r="U414" s="71" t="s">
        <v>300</v>
      </c>
      <c r="V414" s="71">
        <v>2.0</v>
      </c>
      <c r="W414" s="71">
        <f t="shared" si="1"/>
        <v>323</v>
      </c>
    </row>
    <row r="415" ht="15.75" customHeight="1">
      <c r="A415" s="71" t="s">
        <v>1602</v>
      </c>
      <c r="B415" s="71" t="s">
        <v>67</v>
      </c>
      <c r="C415" s="71">
        <v>164.0</v>
      </c>
      <c r="D415" s="71" t="s">
        <v>1532</v>
      </c>
      <c r="E415" s="71" t="s">
        <v>1241</v>
      </c>
      <c r="F415" s="71" t="s">
        <v>177</v>
      </c>
      <c r="G415" s="71" t="s">
        <v>669</v>
      </c>
      <c r="H415" s="71">
        <v>5.0</v>
      </c>
      <c r="I415" s="71">
        <v>4.0</v>
      </c>
      <c r="J415" s="71">
        <v>11.0</v>
      </c>
      <c r="K415" s="72">
        <f>Centrocampisti!I164</f>
        <v>8</v>
      </c>
      <c r="L415" s="73">
        <f>Centrocampisti!AE164</f>
        <v>5.5</v>
      </c>
      <c r="M415" s="74">
        <f>Centrocampisti!B164</f>
        <v>4.3</v>
      </c>
      <c r="N415" s="71">
        <f>Centrocampisti!A164</f>
        <v>159</v>
      </c>
      <c r="O415" s="71" t="s">
        <v>332</v>
      </c>
      <c r="P415" s="71">
        <v>0.0</v>
      </c>
      <c r="R415" s="71" t="s">
        <v>71</v>
      </c>
      <c r="S415" s="71" t="s">
        <v>275</v>
      </c>
      <c r="T415" s="71" t="str">
        <f>Centrocampisti!K164</f>
        <v>3a fascia</v>
      </c>
      <c r="U415" s="71" t="s">
        <v>338</v>
      </c>
      <c r="V415" s="71">
        <v>0.0</v>
      </c>
      <c r="W415" s="71">
        <f t="shared" si="1"/>
        <v>323</v>
      </c>
    </row>
    <row r="416" ht="15.75" customHeight="1">
      <c r="A416" s="71" t="s">
        <v>1605</v>
      </c>
      <c r="B416" s="71" t="s">
        <v>67</v>
      </c>
      <c r="C416" s="71">
        <v>165.0</v>
      </c>
      <c r="D416" s="71" t="s">
        <v>1007</v>
      </c>
      <c r="E416" s="71" t="s">
        <v>1241</v>
      </c>
      <c r="F416" s="71" t="s">
        <v>177</v>
      </c>
      <c r="G416" s="71" t="s">
        <v>669</v>
      </c>
      <c r="H416" s="71">
        <v>2.0</v>
      </c>
      <c r="I416" s="71">
        <v>2.0</v>
      </c>
      <c r="J416" s="71">
        <v>4.0</v>
      </c>
      <c r="K416" s="72">
        <f>Centrocampisti!I165</f>
        <v>4</v>
      </c>
      <c r="L416" s="73">
        <f>Centrocampisti!AE165</f>
        <v>5.6</v>
      </c>
      <c r="M416" s="74">
        <f>Centrocampisti!B165</f>
        <v>4.1</v>
      </c>
      <c r="N416" s="71">
        <f>Centrocampisti!A165</f>
        <v>162</v>
      </c>
      <c r="O416" s="71" t="s">
        <v>332</v>
      </c>
      <c r="P416" s="71">
        <v>7.0</v>
      </c>
      <c r="Q416" s="71">
        <v>5.86</v>
      </c>
      <c r="R416" s="71" t="s">
        <v>71</v>
      </c>
      <c r="S416" s="71" t="s">
        <v>275</v>
      </c>
      <c r="T416" s="71" t="str">
        <f>Centrocampisti!K165</f>
        <v>4a fascia</v>
      </c>
      <c r="U416" s="71" t="s">
        <v>338</v>
      </c>
      <c r="V416" s="71">
        <v>0.0</v>
      </c>
      <c r="W416" s="71">
        <f t="shared" si="1"/>
        <v>448</v>
      </c>
    </row>
    <row r="417" ht="15.75" customHeight="1">
      <c r="A417" s="71" t="s">
        <v>1607</v>
      </c>
      <c r="B417" s="71" t="s">
        <v>67</v>
      </c>
      <c r="C417" s="71">
        <v>166.0</v>
      </c>
      <c r="D417" s="71" t="s">
        <v>1545</v>
      </c>
      <c r="E417" s="71" t="s">
        <v>1222</v>
      </c>
      <c r="F417" s="71" t="s">
        <v>182</v>
      </c>
      <c r="G417" s="71" t="s">
        <v>669</v>
      </c>
      <c r="H417" s="71">
        <v>5.0</v>
      </c>
      <c r="I417" s="71">
        <v>5.0</v>
      </c>
      <c r="J417" s="71">
        <v>10.0</v>
      </c>
      <c r="K417" s="72">
        <f>Centrocampisti!I166</f>
        <v>7</v>
      </c>
      <c r="L417" s="73">
        <f>Centrocampisti!AE166</f>
        <v>5.5</v>
      </c>
      <c r="M417" s="74">
        <f>Centrocampisti!B166</f>
        <v>4</v>
      </c>
      <c r="N417" s="71">
        <f>Centrocampisti!A166</f>
        <v>163</v>
      </c>
      <c r="O417" s="71" t="s">
        <v>332</v>
      </c>
      <c r="P417" s="71">
        <v>0.0</v>
      </c>
      <c r="R417" s="71" t="s">
        <v>71</v>
      </c>
      <c r="S417" s="71" t="s">
        <v>176</v>
      </c>
      <c r="T417" s="71" t="str">
        <f>Centrocampisti!K166</f>
        <v>3a fascia</v>
      </c>
      <c r="U417" s="71" t="s">
        <v>615</v>
      </c>
      <c r="V417" s="71">
        <v>1.0</v>
      </c>
      <c r="W417" s="71">
        <f t="shared" si="1"/>
        <v>342</v>
      </c>
    </row>
    <row r="418" ht="15.75" customHeight="1">
      <c r="A418" s="71" t="s">
        <v>1609</v>
      </c>
      <c r="B418" s="71" t="s">
        <v>67</v>
      </c>
      <c r="C418" s="71">
        <v>167.0</v>
      </c>
      <c r="D418" s="71" t="s">
        <v>681</v>
      </c>
      <c r="E418" s="71" t="s">
        <v>1222</v>
      </c>
      <c r="F418" s="71" t="s">
        <v>182</v>
      </c>
      <c r="G418" s="71" t="s">
        <v>669</v>
      </c>
      <c r="H418" s="71">
        <v>2.0</v>
      </c>
      <c r="I418" s="71">
        <v>2.0</v>
      </c>
      <c r="J418" s="71">
        <v>10.0</v>
      </c>
      <c r="K418" s="72">
        <f>Centrocampisti!I167</f>
        <v>7</v>
      </c>
      <c r="L418" s="73">
        <f>Centrocampisti!AE167</f>
        <v>5.5</v>
      </c>
      <c r="M418" s="74">
        <f>Centrocampisti!B167</f>
        <v>4</v>
      </c>
      <c r="N418" s="71">
        <f>Centrocampisti!A167</f>
        <v>163</v>
      </c>
      <c r="O418" s="71" t="s">
        <v>332</v>
      </c>
      <c r="P418" s="71">
        <v>0.0</v>
      </c>
      <c r="R418" s="71" t="s">
        <v>71</v>
      </c>
      <c r="S418" s="71" t="s">
        <v>176</v>
      </c>
      <c r="T418" s="71" t="str">
        <f>Centrocampisti!K167</f>
        <v>3a fascia</v>
      </c>
      <c r="U418" s="71" t="s">
        <v>1550</v>
      </c>
      <c r="V418" s="71">
        <v>1.0</v>
      </c>
      <c r="W418" s="71">
        <f t="shared" si="1"/>
        <v>342</v>
      </c>
    </row>
    <row r="419" ht="15.75" customHeight="1">
      <c r="A419" s="71" t="s">
        <v>1611</v>
      </c>
      <c r="B419" s="71" t="s">
        <v>67</v>
      </c>
      <c r="C419" s="71">
        <v>168.0</v>
      </c>
      <c r="D419" s="71" t="s">
        <v>1555</v>
      </c>
      <c r="E419" s="71" t="s">
        <v>1245</v>
      </c>
      <c r="F419" s="71" t="s">
        <v>261</v>
      </c>
      <c r="G419" s="71" t="s">
        <v>669</v>
      </c>
      <c r="H419" s="71">
        <v>5.0</v>
      </c>
      <c r="I419" s="71">
        <v>4.0</v>
      </c>
      <c r="J419" s="71">
        <v>10.0</v>
      </c>
      <c r="K419" s="72">
        <f>Centrocampisti!I168</f>
        <v>7</v>
      </c>
      <c r="L419" s="73">
        <f>Centrocampisti!AE168</f>
        <v>5.5</v>
      </c>
      <c r="M419" s="74">
        <f>Centrocampisti!B168</f>
        <v>4</v>
      </c>
      <c r="N419" s="71">
        <f>Centrocampisti!A168</f>
        <v>163</v>
      </c>
      <c r="O419" s="71" t="s">
        <v>332</v>
      </c>
      <c r="P419" s="71">
        <v>0.0</v>
      </c>
      <c r="R419" s="71" t="s">
        <v>71</v>
      </c>
      <c r="S419" s="71" t="s">
        <v>563</v>
      </c>
      <c r="T419" s="71" t="str">
        <f>Centrocampisti!K168</f>
        <v>3a fascia</v>
      </c>
      <c r="U419" s="71" t="s">
        <v>338</v>
      </c>
      <c r="V419" s="71">
        <v>0.0</v>
      </c>
      <c r="W419" s="71">
        <f t="shared" si="1"/>
        <v>342</v>
      </c>
    </row>
    <row r="420" ht="15.75" customHeight="1">
      <c r="A420" s="71" t="s">
        <v>1613</v>
      </c>
      <c r="B420" s="71" t="s">
        <v>67</v>
      </c>
      <c r="C420" s="71">
        <v>169.0</v>
      </c>
      <c r="D420" s="71" t="s">
        <v>1056</v>
      </c>
      <c r="E420" s="71" t="s">
        <v>1228</v>
      </c>
      <c r="F420" s="71" t="s">
        <v>212</v>
      </c>
      <c r="G420" s="71" t="s">
        <v>669</v>
      </c>
      <c r="H420" s="71">
        <v>1.0</v>
      </c>
      <c r="I420" s="71">
        <v>1.0</v>
      </c>
      <c r="J420" s="71">
        <v>4.0</v>
      </c>
      <c r="K420" s="72">
        <f>Centrocampisti!I169</f>
        <v>4</v>
      </c>
      <c r="L420" s="73">
        <f>Centrocampisti!AE169</f>
        <v>5.58</v>
      </c>
      <c r="M420" s="74">
        <f>Centrocampisti!B169</f>
        <v>3.8</v>
      </c>
      <c r="N420" s="71">
        <f>Centrocampisti!A169</f>
        <v>166</v>
      </c>
      <c r="O420" s="71" t="s">
        <v>332</v>
      </c>
      <c r="P420" s="71">
        <v>9.0</v>
      </c>
      <c r="Q420" s="71">
        <v>5.72</v>
      </c>
      <c r="R420" s="71" t="s">
        <v>71</v>
      </c>
      <c r="S420" s="71" t="s">
        <v>275</v>
      </c>
      <c r="T420" s="71" t="str">
        <f>Centrocampisti!K169</f>
        <v>4a fascia</v>
      </c>
      <c r="U420" s="71" t="s">
        <v>333</v>
      </c>
      <c r="V420" s="71">
        <v>0.0</v>
      </c>
      <c r="W420" s="71">
        <f t="shared" si="1"/>
        <v>448</v>
      </c>
    </row>
    <row r="421" ht="15.75" customHeight="1">
      <c r="A421" s="71" t="s">
        <v>1615</v>
      </c>
      <c r="B421" s="71" t="s">
        <v>67</v>
      </c>
      <c r="C421" s="71">
        <v>170.0</v>
      </c>
      <c r="D421" s="71" t="s">
        <v>1063</v>
      </c>
      <c r="E421" s="71" t="s">
        <v>1233</v>
      </c>
      <c r="F421" s="71" t="s">
        <v>185</v>
      </c>
      <c r="G421" s="71" t="s">
        <v>669</v>
      </c>
      <c r="H421" s="71">
        <v>1.0</v>
      </c>
      <c r="I421" s="71">
        <v>2.0</v>
      </c>
      <c r="J421" s="71">
        <v>4.0</v>
      </c>
      <c r="K421" s="72">
        <f>Centrocampisti!I170</f>
        <v>4</v>
      </c>
      <c r="L421" s="73">
        <f>Centrocampisti!AE170</f>
        <v>5.58</v>
      </c>
      <c r="M421" s="74">
        <f>Centrocampisti!B170</f>
        <v>3.8</v>
      </c>
      <c r="N421" s="71">
        <f>Centrocampisti!A170</f>
        <v>166</v>
      </c>
      <c r="O421" s="71" t="s">
        <v>332</v>
      </c>
      <c r="P421" s="71">
        <v>10.0</v>
      </c>
      <c r="Q421" s="71">
        <v>5.7</v>
      </c>
      <c r="R421" s="71" t="s">
        <v>71</v>
      </c>
      <c r="S421" s="71" t="s">
        <v>106</v>
      </c>
      <c r="T421" s="71" t="str">
        <f>Centrocampisti!K170</f>
        <v>4a fascia</v>
      </c>
      <c r="U421" s="71" t="s">
        <v>408</v>
      </c>
      <c r="V421" s="71">
        <v>1.0</v>
      </c>
      <c r="W421" s="71">
        <f t="shared" si="1"/>
        <v>448</v>
      </c>
    </row>
    <row r="422" ht="15.75" customHeight="1">
      <c r="A422" s="71" t="s">
        <v>1618</v>
      </c>
      <c r="B422" s="71" t="s">
        <v>67</v>
      </c>
      <c r="C422" s="71">
        <v>171.0</v>
      </c>
      <c r="D422" s="71" t="s">
        <v>1084</v>
      </c>
      <c r="E422" s="71" t="s">
        <v>1228</v>
      </c>
      <c r="F422" s="71" t="s">
        <v>212</v>
      </c>
      <c r="G422" s="71" t="s">
        <v>669</v>
      </c>
      <c r="H422" s="71">
        <v>3.0</v>
      </c>
      <c r="I422" s="71">
        <v>3.0</v>
      </c>
      <c r="J422" s="71">
        <v>5.0</v>
      </c>
      <c r="K422" s="72">
        <f>Centrocampisti!I171</f>
        <v>5</v>
      </c>
      <c r="L422" s="73">
        <f>Centrocampisti!AE171</f>
        <v>5.56</v>
      </c>
      <c r="M422" s="74">
        <f>Centrocampisti!B171</f>
        <v>3.7</v>
      </c>
      <c r="N422" s="71">
        <f>Centrocampisti!A171</f>
        <v>168</v>
      </c>
      <c r="O422" s="71" t="s">
        <v>332</v>
      </c>
      <c r="P422" s="71">
        <v>11.0</v>
      </c>
      <c r="Q422" s="71">
        <v>5.64</v>
      </c>
      <c r="R422" s="71" t="s">
        <v>71</v>
      </c>
      <c r="S422" s="71" t="s">
        <v>275</v>
      </c>
      <c r="T422" s="71" t="str">
        <f>Centrocampisti!K171</f>
        <v>4a fascia</v>
      </c>
      <c r="U422" s="71" t="s">
        <v>392</v>
      </c>
      <c r="V422" s="71">
        <v>2.0</v>
      </c>
      <c r="W422" s="71">
        <f t="shared" si="1"/>
        <v>427</v>
      </c>
    </row>
    <row r="423" ht="15.75" customHeight="1">
      <c r="A423" s="71" t="s">
        <v>1620</v>
      </c>
      <c r="B423" s="71" t="s">
        <v>67</v>
      </c>
      <c r="C423" s="71">
        <v>172.0</v>
      </c>
      <c r="D423" s="71" t="s">
        <v>1051</v>
      </c>
      <c r="E423" s="71" t="s">
        <v>1236</v>
      </c>
      <c r="F423" s="71" t="s">
        <v>232</v>
      </c>
      <c r="G423" s="71" t="s">
        <v>669</v>
      </c>
      <c r="H423" s="71">
        <v>1.0</v>
      </c>
      <c r="I423" s="71">
        <v>1.0</v>
      </c>
      <c r="J423" s="71">
        <v>2.0</v>
      </c>
      <c r="K423" s="72">
        <f>Centrocampisti!I172</f>
        <v>3</v>
      </c>
      <c r="L423" s="73">
        <f>Centrocampisti!AE172</f>
        <v>5.6</v>
      </c>
      <c r="M423" s="74">
        <f>Centrocampisti!B172</f>
        <v>3.6</v>
      </c>
      <c r="N423" s="71">
        <f>Centrocampisti!A172</f>
        <v>169</v>
      </c>
      <c r="O423" s="71" t="s">
        <v>332</v>
      </c>
      <c r="P423" s="71">
        <v>11.0</v>
      </c>
      <c r="Q423" s="71">
        <v>5.73</v>
      </c>
      <c r="R423" s="71" t="s">
        <v>71</v>
      </c>
      <c r="S423" s="71" t="s">
        <v>609</v>
      </c>
      <c r="T423" s="71" t="str">
        <f>Centrocampisti!K172</f>
        <v>4a fascia</v>
      </c>
      <c r="U423" s="71" t="s">
        <v>333</v>
      </c>
      <c r="V423" s="71">
        <v>0.0</v>
      </c>
      <c r="W423" s="71">
        <f t="shared" si="1"/>
        <v>473</v>
      </c>
    </row>
    <row r="424" ht="15.75" customHeight="1">
      <c r="A424" s="71" t="s">
        <v>1623</v>
      </c>
      <c r="B424" s="71" t="s">
        <v>67</v>
      </c>
      <c r="C424" s="71">
        <v>173.0</v>
      </c>
      <c r="D424" s="71" t="s">
        <v>1574</v>
      </c>
      <c r="E424" s="71" t="s">
        <v>1247</v>
      </c>
      <c r="F424" s="71" t="s">
        <v>264</v>
      </c>
      <c r="G424" s="71" t="s">
        <v>669</v>
      </c>
      <c r="H424" s="71">
        <v>3.0</v>
      </c>
      <c r="I424" s="71">
        <v>3.0</v>
      </c>
      <c r="J424" s="71">
        <v>8.0</v>
      </c>
      <c r="K424" s="72">
        <f>Centrocampisti!I173</f>
        <v>6</v>
      </c>
      <c r="L424" s="73">
        <f>Centrocampisti!AE173</f>
        <v>5.5</v>
      </c>
      <c r="M424" s="74">
        <f>Centrocampisti!B173</f>
        <v>3.5</v>
      </c>
      <c r="N424" s="71">
        <f>Centrocampisti!A173</f>
        <v>170</v>
      </c>
      <c r="O424" s="71" t="s">
        <v>226</v>
      </c>
      <c r="P424" s="71">
        <v>0.0</v>
      </c>
      <c r="R424" s="71" t="s">
        <v>71</v>
      </c>
      <c r="S424" s="71" t="s">
        <v>678</v>
      </c>
      <c r="T424" s="71" t="str">
        <f>Centrocampisti!K173</f>
        <v>4a fascia</v>
      </c>
      <c r="U424" s="71" t="s">
        <v>227</v>
      </c>
      <c r="V424" s="71">
        <v>0.0</v>
      </c>
      <c r="W424" s="71">
        <f t="shared" si="1"/>
        <v>384</v>
      </c>
    </row>
    <row r="425" ht="15.75" customHeight="1">
      <c r="A425" s="71" t="s">
        <v>1625</v>
      </c>
      <c r="B425" s="71" t="s">
        <v>67</v>
      </c>
      <c r="C425" s="71">
        <v>174.0</v>
      </c>
      <c r="D425" s="71" t="s">
        <v>1579</v>
      </c>
      <c r="E425" s="71" t="s">
        <v>1209</v>
      </c>
      <c r="F425" s="71" t="s">
        <v>64</v>
      </c>
      <c r="G425" s="71" t="s">
        <v>669</v>
      </c>
      <c r="H425" s="71">
        <v>3.0</v>
      </c>
      <c r="I425" s="71">
        <v>3.0</v>
      </c>
      <c r="J425" s="71">
        <v>7.0</v>
      </c>
      <c r="K425" s="72">
        <f>Centrocampisti!I174</f>
        <v>6</v>
      </c>
      <c r="L425" s="73">
        <f>Centrocampisti!AE174</f>
        <v>5.5</v>
      </c>
      <c r="M425" s="74">
        <f>Centrocampisti!B174</f>
        <v>3.3</v>
      </c>
      <c r="N425" s="71">
        <f>Centrocampisti!A174</f>
        <v>171</v>
      </c>
      <c r="O425" s="71" t="s">
        <v>332</v>
      </c>
      <c r="P425" s="71">
        <v>0.0</v>
      </c>
      <c r="R425" s="71" t="s">
        <v>71</v>
      </c>
      <c r="S425" s="71" t="s">
        <v>106</v>
      </c>
      <c r="T425" s="71" t="str">
        <f>Centrocampisti!K174</f>
        <v>4a fascia</v>
      </c>
      <c r="U425" s="71" t="s">
        <v>338</v>
      </c>
      <c r="V425" s="71">
        <v>0.0</v>
      </c>
      <c r="W425" s="71">
        <f t="shared" si="1"/>
        <v>408</v>
      </c>
    </row>
    <row r="426" ht="15.75" customHeight="1">
      <c r="A426" s="71" t="s">
        <v>1627</v>
      </c>
      <c r="B426" s="71" t="s">
        <v>67</v>
      </c>
      <c r="C426" s="71">
        <v>175.0</v>
      </c>
      <c r="D426" s="71" t="s">
        <v>701</v>
      </c>
      <c r="E426" s="71" t="s">
        <v>1243</v>
      </c>
      <c r="F426" s="71" t="s">
        <v>253</v>
      </c>
      <c r="G426" s="71" t="s">
        <v>669</v>
      </c>
      <c r="H426" s="71">
        <v>2.0</v>
      </c>
      <c r="I426" s="71">
        <v>2.0</v>
      </c>
      <c r="J426" s="71">
        <v>5.0</v>
      </c>
      <c r="K426" s="72">
        <f>Centrocampisti!I175</f>
        <v>5</v>
      </c>
      <c r="L426" s="73">
        <f>Centrocampisti!AE175</f>
        <v>5.52</v>
      </c>
      <c r="M426" s="74">
        <f>Centrocampisti!B175</f>
        <v>3.1</v>
      </c>
      <c r="N426" s="71">
        <f>Centrocampisti!A175</f>
        <v>172</v>
      </c>
      <c r="O426" s="71" t="s">
        <v>332</v>
      </c>
      <c r="P426" s="71">
        <v>2.0</v>
      </c>
      <c r="Q426" s="71">
        <v>5.75</v>
      </c>
      <c r="R426" s="71" t="s">
        <v>71</v>
      </c>
      <c r="S426" s="71" t="s">
        <v>216</v>
      </c>
      <c r="T426" s="71" t="str">
        <f>Centrocampisti!K175</f>
        <v>4a fascia</v>
      </c>
      <c r="U426" s="71" t="s">
        <v>477</v>
      </c>
      <c r="V426" s="71">
        <v>0.0</v>
      </c>
      <c r="W426" s="71">
        <f t="shared" si="1"/>
        <v>427</v>
      </c>
    </row>
    <row r="427" ht="15.75" customHeight="1">
      <c r="A427" s="71" t="s">
        <v>1629</v>
      </c>
      <c r="B427" s="71" t="s">
        <v>67</v>
      </c>
      <c r="C427" s="71">
        <v>176.0</v>
      </c>
      <c r="D427" s="71" t="s">
        <v>707</v>
      </c>
      <c r="E427" s="71" t="s">
        <v>1233</v>
      </c>
      <c r="F427" s="71" t="s">
        <v>185</v>
      </c>
      <c r="G427" s="71" t="s">
        <v>669</v>
      </c>
      <c r="H427" s="71">
        <v>2.0</v>
      </c>
      <c r="I427" s="71">
        <v>2.0</v>
      </c>
      <c r="J427" s="71">
        <v>6.0</v>
      </c>
      <c r="K427" s="72">
        <f>Centrocampisti!I176</f>
        <v>5</v>
      </c>
      <c r="L427" s="73">
        <f>Centrocampisti!AE176</f>
        <v>5.5</v>
      </c>
      <c r="M427" s="74">
        <f>Centrocampisti!B176</f>
        <v>3</v>
      </c>
      <c r="N427" s="71">
        <f>Centrocampisti!A176</f>
        <v>173</v>
      </c>
      <c r="O427" s="71" t="s">
        <v>332</v>
      </c>
      <c r="P427" s="71">
        <v>0.0</v>
      </c>
      <c r="R427" s="71" t="s">
        <v>71</v>
      </c>
      <c r="S427" s="71" t="s">
        <v>106</v>
      </c>
      <c r="T427" s="71" t="str">
        <f>Centrocampisti!K176</f>
        <v>4a fascia</v>
      </c>
      <c r="U427" s="71" t="s">
        <v>1588</v>
      </c>
      <c r="V427" s="71">
        <v>0.0</v>
      </c>
      <c r="W427" s="71">
        <f t="shared" si="1"/>
        <v>420</v>
      </c>
    </row>
    <row r="428" ht="15.75" customHeight="1">
      <c r="A428" s="71" t="s">
        <v>1632</v>
      </c>
      <c r="B428" s="71" t="s">
        <v>67</v>
      </c>
      <c r="C428" s="71">
        <v>177.0</v>
      </c>
      <c r="D428" s="71" t="s">
        <v>713</v>
      </c>
      <c r="E428" s="71" t="s">
        <v>1252</v>
      </c>
      <c r="F428" s="71" t="s">
        <v>272</v>
      </c>
      <c r="G428" s="71" t="s">
        <v>669</v>
      </c>
      <c r="H428" s="71">
        <v>2.0</v>
      </c>
      <c r="I428" s="71">
        <v>2.0</v>
      </c>
      <c r="J428" s="71">
        <v>6.0</v>
      </c>
      <c r="K428" s="72">
        <f>Centrocampisti!I177</f>
        <v>5</v>
      </c>
      <c r="L428" s="73">
        <f>Centrocampisti!AE177</f>
        <v>5.5</v>
      </c>
      <c r="M428" s="74">
        <f>Centrocampisti!B177</f>
        <v>3</v>
      </c>
      <c r="N428" s="71">
        <f>Centrocampisti!A177</f>
        <v>173</v>
      </c>
      <c r="O428" s="71" t="s">
        <v>332</v>
      </c>
      <c r="P428" s="71">
        <v>0.0</v>
      </c>
      <c r="R428" s="71" t="s">
        <v>71</v>
      </c>
      <c r="S428" s="71" t="s">
        <v>644</v>
      </c>
      <c r="T428" s="71" t="str">
        <f>Centrocampisti!K177</f>
        <v>4a fascia</v>
      </c>
      <c r="U428" s="71" t="s">
        <v>348</v>
      </c>
      <c r="V428" s="71">
        <v>0.0</v>
      </c>
      <c r="W428" s="71">
        <f t="shared" si="1"/>
        <v>420</v>
      </c>
    </row>
    <row r="429" ht="15.75" customHeight="1">
      <c r="A429" s="71" t="s">
        <v>1635</v>
      </c>
      <c r="B429" s="71" t="s">
        <v>67</v>
      </c>
      <c r="C429" s="71">
        <v>178.0</v>
      </c>
      <c r="D429" s="71" t="s">
        <v>1595</v>
      </c>
      <c r="E429" s="71" t="s">
        <v>1245</v>
      </c>
      <c r="F429" s="71" t="s">
        <v>261</v>
      </c>
      <c r="G429" s="71" t="s">
        <v>669</v>
      </c>
      <c r="H429" s="71">
        <v>3.0</v>
      </c>
      <c r="I429" s="71">
        <v>3.0</v>
      </c>
      <c r="J429" s="71">
        <v>6.0</v>
      </c>
      <c r="K429" s="72">
        <f>Centrocampisti!I178</f>
        <v>5</v>
      </c>
      <c r="L429" s="73">
        <f>Centrocampisti!AE178</f>
        <v>5.5</v>
      </c>
      <c r="M429" s="74">
        <f>Centrocampisti!B178</f>
        <v>3</v>
      </c>
      <c r="N429" s="71">
        <f>Centrocampisti!A178</f>
        <v>173</v>
      </c>
      <c r="O429" s="71" t="s">
        <v>332</v>
      </c>
      <c r="P429" s="71">
        <v>0.0</v>
      </c>
      <c r="R429" s="71" t="s">
        <v>71</v>
      </c>
      <c r="S429" s="71" t="s">
        <v>563</v>
      </c>
      <c r="T429" s="71" t="str">
        <f>Centrocampisti!K178</f>
        <v>4a fascia</v>
      </c>
      <c r="U429" s="71" t="s">
        <v>338</v>
      </c>
      <c r="V429" s="71">
        <v>0.0</v>
      </c>
      <c r="W429" s="71">
        <f t="shared" si="1"/>
        <v>420</v>
      </c>
    </row>
    <row r="430" ht="15.75" customHeight="1">
      <c r="A430" s="71" t="s">
        <v>1637</v>
      </c>
      <c r="B430" s="71" t="s">
        <v>67</v>
      </c>
      <c r="C430" s="71">
        <v>179.0</v>
      </c>
      <c r="D430" s="71" t="s">
        <v>1598</v>
      </c>
      <c r="E430" s="71" t="s">
        <v>1245</v>
      </c>
      <c r="F430" s="71" t="s">
        <v>261</v>
      </c>
      <c r="G430" s="71" t="s">
        <v>669</v>
      </c>
      <c r="H430" s="71">
        <v>2.0</v>
      </c>
      <c r="I430" s="71">
        <v>2.0</v>
      </c>
      <c r="J430" s="71">
        <v>5.0</v>
      </c>
      <c r="K430" s="72">
        <f>Centrocampisti!I179</f>
        <v>5</v>
      </c>
      <c r="L430" s="73">
        <f>Centrocampisti!AE179</f>
        <v>5.5</v>
      </c>
      <c r="M430" s="74">
        <f>Centrocampisti!B179</f>
        <v>2.8</v>
      </c>
      <c r="N430" s="71">
        <f>Centrocampisti!A179</f>
        <v>176</v>
      </c>
      <c r="O430" s="71" t="s">
        <v>332</v>
      </c>
      <c r="P430" s="71">
        <v>0.0</v>
      </c>
      <c r="R430" s="71" t="s">
        <v>71</v>
      </c>
      <c r="S430" s="71" t="s">
        <v>563</v>
      </c>
      <c r="T430" s="71" t="str">
        <f>Centrocampisti!K179</f>
        <v>4a fascia</v>
      </c>
      <c r="U430" s="71" t="s">
        <v>615</v>
      </c>
      <c r="V430" s="71">
        <v>1.0</v>
      </c>
      <c r="W430" s="71">
        <f t="shared" si="1"/>
        <v>427</v>
      </c>
    </row>
    <row r="431" ht="15.75" customHeight="1">
      <c r="A431" s="71" t="s">
        <v>1640</v>
      </c>
      <c r="B431" s="71" t="s">
        <v>67</v>
      </c>
      <c r="C431" s="71">
        <v>180.0</v>
      </c>
      <c r="D431" s="71" t="s">
        <v>1603</v>
      </c>
      <c r="E431" s="71" t="s">
        <v>1233</v>
      </c>
      <c r="F431" s="71" t="s">
        <v>185</v>
      </c>
      <c r="G431" s="71" t="s">
        <v>669</v>
      </c>
      <c r="H431" s="71">
        <v>2.0</v>
      </c>
      <c r="I431" s="71">
        <v>2.0</v>
      </c>
      <c r="J431" s="71">
        <v>5.0</v>
      </c>
      <c r="K431" s="72">
        <f>Centrocampisti!I180</f>
        <v>5</v>
      </c>
      <c r="L431" s="73">
        <f>Centrocampisti!AE180</f>
        <v>5.5</v>
      </c>
      <c r="M431" s="74">
        <f>Centrocampisti!B180</f>
        <v>2.8</v>
      </c>
      <c r="N431" s="71">
        <f>Centrocampisti!A180</f>
        <v>176</v>
      </c>
      <c r="O431" s="71" t="s">
        <v>332</v>
      </c>
      <c r="P431" s="71">
        <v>0.0</v>
      </c>
      <c r="R431" s="71" t="s">
        <v>71</v>
      </c>
      <c r="S431" s="71" t="s">
        <v>106</v>
      </c>
      <c r="T431" s="71" t="str">
        <f>Centrocampisti!K180</f>
        <v>4a fascia</v>
      </c>
      <c r="U431" s="71" t="s">
        <v>338</v>
      </c>
      <c r="V431" s="71">
        <v>0.0</v>
      </c>
      <c r="W431" s="71">
        <f t="shared" si="1"/>
        <v>427</v>
      </c>
    </row>
    <row r="432" ht="15.75" customHeight="1">
      <c r="A432" s="71" t="s">
        <v>1642</v>
      </c>
      <c r="B432" s="71" t="s">
        <v>67</v>
      </c>
      <c r="C432" s="71">
        <v>181.0</v>
      </c>
      <c r="D432" s="71" t="s">
        <v>1184</v>
      </c>
      <c r="E432" s="71" t="s">
        <v>1219</v>
      </c>
      <c r="F432" s="71" t="s">
        <v>195</v>
      </c>
      <c r="G432" s="71" t="s">
        <v>669</v>
      </c>
      <c r="H432" s="71">
        <v>1.0</v>
      </c>
      <c r="I432" s="71">
        <v>1.0</v>
      </c>
      <c r="J432" s="71">
        <v>5.0</v>
      </c>
      <c r="K432" s="72">
        <f>Centrocampisti!I181</f>
        <v>5</v>
      </c>
      <c r="L432" s="73">
        <f>Centrocampisti!AE181</f>
        <v>5.5</v>
      </c>
      <c r="M432" s="74">
        <f>Centrocampisti!B181</f>
        <v>2.8</v>
      </c>
      <c r="N432" s="71">
        <f>Centrocampisti!A181</f>
        <v>176</v>
      </c>
      <c r="O432" s="71" t="s">
        <v>332</v>
      </c>
      <c r="P432" s="71">
        <v>0.0</v>
      </c>
      <c r="R432" s="71" t="s">
        <v>71</v>
      </c>
      <c r="S432" s="71" t="s">
        <v>320</v>
      </c>
      <c r="T432" s="71" t="str">
        <f>Centrocampisti!K181</f>
        <v>4a fascia</v>
      </c>
      <c r="U432" s="71" t="s">
        <v>333</v>
      </c>
      <c r="V432" s="71">
        <v>0.0</v>
      </c>
      <c r="W432" s="71">
        <f t="shared" si="1"/>
        <v>427</v>
      </c>
    </row>
    <row r="433" ht="15.75" customHeight="1">
      <c r="A433" s="71" t="s">
        <v>1645</v>
      </c>
      <c r="B433" s="71" t="s">
        <v>67</v>
      </c>
      <c r="C433" s="71">
        <v>182.0</v>
      </c>
      <c r="D433" s="71" t="s">
        <v>970</v>
      </c>
      <c r="E433" s="71" t="s">
        <v>1256</v>
      </c>
      <c r="F433" s="71" t="s">
        <v>283</v>
      </c>
      <c r="G433" s="71" t="s">
        <v>669</v>
      </c>
      <c r="H433" s="71">
        <v>1.0</v>
      </c>
      <c r="I433" s="71">
        <v>2.0</v>
      </c>
      <c r="J433" s="71">
        <v>3.0</v>
      </c>
      <c r="K433" s="72">
        <f>Centrocampisti!I182</f>
        <v>4</v>
      </c>
      <c r="L433" s="73">
        <f>Centrocampisti!AE182</f>
        <v>5.52</v>
      </c>
      <c r="M433" s="74">
        <f>Centrocampisti!B182</f>
        <v>2.6</v>
      </c>
      <c r="N433" s="71">
        <f>Centrocampisti!A182</f>
        <v>179</v>
      </c>
      <c r="O433" s="71" t="s">
        <v>332</v>
      </c>
      <c r="P433" s="71">
        <v>1.0</v>
      </c>
      <c r="Q433" s="71">
        <v>6.0</v>
      </c>
      <c r="R433" s="71" t="s">
        <v>71</v>
      </c>
      <c r="S433" s="71" t="s">
        <v>397</v>
      </c>
      <c r="T433" s="71" t="str">
        <f>Centrocampisti!K182</f>
        <v>4a fascia</v>
      </c>
      <c r="U433" s="71" t="s">
        <v>408</v>
      </c>
      <c r="V433" s="71">
        <v>1.0</v>
      </c>
      <c r="W433" s="71">
        <f t="shared" si="1"/>
        <v>462</v>
      </c>
    </row>
    <row r="434" ht="15.75" customHeight="1">
      <c r="A434" s="71" t="s">
        <v>1647</v>
      </c>
      <c r="B434" s="71" t="s">
        <v>67</v>
      </c>
      <c r="C434" s="71">
        <v>183.0</v>
      </c>
      <c r="D434" s="71" t="s">
        <v>1088</v>
      </c>
      <c r="E434" s="71" t="s">
        <v>1247</v>
      </c>
      <c r="F434" s="71" t="s">
        <v>264</v>
      </c>
      <c r="G434" s="71" t="s">
        <v>669</v>
      </c>
      <c r="H434" s="71">
        <v>3.0</v>
      </c>
      <c r="I434" s="71">
        <v>3.0</v>
      </c>
      <c r="J434" s="71">
        <v>3.0</v>
      </c>
      <c r="K434" s="72">
        <f>Centrocampisti!I183</f>
        <v>4</v>
      </c>
      <c r="L434" s="73">
        <f>Centrocampisti!AE183</f>
        <v>5.52</v>
      </c>
      <c r="M434" s="74">
        <f>Centrocampisti!B183</f>
        <v>2.6</v>
      </c>
      <c r="N434" s="71">
        <f>Centrocampisti!A183</f>
        <v>179</v>
      </c>
      <c r="O434" s="71" t="s">
        <v>226</v>
      </c>
      <c r="P434" s="71">
        <v>4.0</v>
      </c>
      <c r="Q434" s="71">
        <v>5.62</v>
      </c>
      <c r="R434" s="71" t="s">
        <v>71</v>
      </c>
      <c r="S434" s="71" t="s">
        <v>678</v>
      </c>
      <c r="T434" s="71" t="str">
        <f>Centrocampisti!K183</f>
        <v>4a fascia</v>
      </c>
      <c r="U434" s="71" t="s">
        <v>227</v>
      </c>
      <c r="V434" s="71">
        <v>0.0</v>
      </c>
      <c r="W434" s="71">
        <f t="shared" si="1"/>
        <v>462</v>
      </c>
    </row>
    <row r="435" ht="15.75" customHeight="1">
      <c r="A435" s="71" t="s">
        <v>1650</v>
      </c>
      <c r="B435" s="71" t="s">
        <v>67</v>
      </c>
      <c r="C435" s="71">
        <v>184.0</v>
      </c>
      <c r="D435" s="71" t="s">
        <v>1616</v>
      </c>
      <c r="E435" s="71" t="s">
        <v>1252</v>
      </c>
      <c r="F435" s="71" t="s">
        <v>272</v>
      </c>
      <c r="G435" s="71" t="s">
        <v>669</v>
      </c>
      <c r="H435" s="71">
        <v>3.0</v>
      </c>
      <c r="I435" s="71">
        <v>3.0</v>
      </c>
      <c r="J435" s="71">
        <v>4.0</v>
      </c>
      <c r="K435" s="72">
        <f>Centrocampisti!I184</f>
        <v>4</v>
      </c>
      <c r="L435" s="73">
        <f>Centrocampisti!AE184</f>
        <v>5.5</v>
      </c>
      <c r="M435" s="74">
        <f>Centrocampisti!B184</f>
        <v>2.5</v>
      </c>
      <c r="N435" s="71">
        <f>Centrocampisti!A184</f>
        <v>181</v>
      </c>
      <c r="O435" s="71" t="s">
        <v>226</v>
      </c>
      <c r="P435" s="71">
        <v>0.0</v>
      </c>
      <c r="R435" s="71" t="s">
        <v>71</v>
      </c>
      <c r="S435" s="71" t="s">
        <v>644</v>
      </c>
      <c r="T435" s="71" t="str">
        <f>Centrocampisti!K184</f>
        <v>4a fascia</v>
      </c>
      <c r="U435" s="71" t="s">
        <v>227</v>
      </c>
      <c r="V435" s="71">
        <v>0.0</v>
      </c>
      <c r="W435" s="71">
        <f t="shared" si="1"/>
        <v>448</v>
      </c>
    </row>
    <row r="436" ht="15.75" customHeight="1">
      <c r="A436" s="71" t="s">
        <v>1652</v>
      </c>
      <c r="B436" s="71" t="s">
        <v>67</v>
      </c>
      <c r="C436" s="71">
        <v>185.0</v>
      </c>
      <c r="D436" s="71" t="s">
        <v>1621</v>
      </c>
      <c r="E436" s="71" t="s">
        <v>1247</v>
      </c>
      <c r="F436" s="71" t="s">
        <v>264</v>
      </c>
      <c r="G436" s="71" t="s">
        <v>669</v>
      </c>
      <c r="H436" s="71">
        <v>2.0</v>
      </c>
      <c r="I436" s="71">
        <v>2.0</v>
      </c>
      <c r="J436" s="71">
        <v>4.0</v>
      </c>
      <c r="K436" s="72">
        <f>Centrocampisti!I185</f>
        <v>4</v>
      </c>
      <c r="L436" s="73">
        <f>Centrocampisti!AE185</f>
        <v>5.5</v>
      </c>
      <c r="M436" s="74">
        <f>Centrocampisti!B185</f>
        <v>2.5</v>
      </c>
      <c r="N436" s="71">
        <f>Centrocampisti!A185</f>
        <v>181</v>
      </c>
      <c r="O436" s="71" t="s">
        <v>332</v>
      </c>
      <c r="P436" s="71">
        <v>0.0</v>
      </c>
      <c r="R436" s="71" t="s">
        <v>71</v>
      </c>
      <c r="S436" s="71" t="s">
        <v>678</v>
      </c>
      <c r="T436" s="71" t="str">
        <f>Centrocampisti!K185</f>
        <v>4a fascia</v>
      </c>
      <c r="U436" s="71" t="s">
        <v>338</v>
      </c>
      <c r="V436" s="71">
        <v>0.0</v>
      </c>
      <c r="W436" s="71">
        <f t="shared" si="1"/>
        <v>448</v>
      </c>
    </row>
    <row r="437" ht="15.75" customHeight="1">
      <c r="A437" s="71" t="s">
        <v>1655</v>
      </c>
      <c r="B437" s="71" t="s">
        <v>67</v>
      </c>
      <c r="C437" s="71">
        <v>186.0</v>
      </c>
      <c r="D437" s="71" t="s">
        <v>1044</v>
      </c>
      <c r="E437" s="71" t="s">
        <v>1237</v>
      </c>
      <c r="F437" s="71" t="s">
        <v>239</v>
      </c>
      <c r="G437" s="71" t="s">
        <v>669</v>
      </c>
      <c r="H437" s="71">
        <v>1.0</v>
      </c>
      <c r="I437" s="71">
        <v>1.0</v>
      </c>
      <c r="J437" s="71">
        <v>1.0</v>
      </c>
      <c r="K437" s="72">
        <f>Centrocampisti!I186</f>
        <v>2</v>
      </c>
      <c r="L437" s="73">
        <f>Centrocampisti!AE186</f>
        <v>5.54</v>
      </c>
      <c r="M437" s="74">
        <f>Centrocampisti!B186</f>
        <v>2.4</v>
      </c>
      <c r="N437" s="71">
        <f>Centrocampisti!A186</f>
        <v>183</v>
      </c>
      <c r="O437" s="71" t="s">
        <v>332</v>
      </c>
      <c r="P437" s="71">
        <v>4.0</v>
      </c>
      <c r="Q437" s="71">
        <v>5.75</v>
      </c>
      <c r="R437" s="71" t="s">
        <v>71</v>
      </c>
      <c r="S437" s="71" t="s">
        <v>254</v>
      </c>
      <c r="T437" s="71" t="str">
        <f>Centrocampisti!K186</f>
        <v>Scommessa</v>
      </c>
      <c r="U437" s="71" t="s">
        <v>333</v>
      </c>
      <c r="V437" s="71">
        <v>0.0</v>
      </c>
      <c r="W437" s="71">
        <f t="shared" si="1"/>
        <v>478</v>
      </c>
    </row>
    <row r="438" ht="15.75" customHeight="1">
      <c r="A438" s="71" t="s">
        <v>1657</v>
      </c>
      <c r="B438" s="71" t="s">
        <v>67</v>
      </c>
      <c r="C438" s="71">
        <v>187.0</v>
      </c>
      <c r="D438" s="71" t="s">
        <v>1630</v>
      </c>
      <c r="E438" s="71" t="s">
        <v>1245</v>
      </c>
      <c r="F438" s="71" t="s">
        <v>261</v>
      </c>
      <c r="G438" s="71" t="s">
        <v>669</v>
      </c>
      <c r="H438" s="71">
        <v>1.0</v>
      </c>
      <c r="I438" s="71">
        <v>1.0</v>
      </c>
      <c r="J438" s="71">
        <v>3.0</v>
      </c>
      <c r="K438" s="72">
        <f>Centrocampisti!I187</f>
        <v>4</v>
      </c>
      <c r="L438" s="73">
        <f>Centrocampisti!AE187</f>
        <v>5.5</v>
      </c>
      <c r="M438" s="74">
        <f>Centrocampisti!B187</f>
        <v>2.3</v>
      </c>
      <c r="N438" s="71">
        <f>Centrocampisti!A187</f>
        <v>184</v>
      </c>
      <c r="O438" s="71" t="s">
        <v>332</v>
      </c>
      <c r="P438" s="71">
        <v>0.0</v>
      </c>
      <c r="R438" s="71" t="s">
        <v>71</v>
      </c>
      <c r="S438" s="71" t="s">
        <v>563</v>
      </c>
      <c r="T438" s="71" t="str">
        <f>Centrocampisti!K187</f>
        <v>4a fascia</v>
      </c>
      <c r="U438" s="71" t="s">
        <v>338</v>
      </c>
      <c r="V438" s="71">
        <v>0.0</v>
      </c>
      <c r="W438" s="71">
        <f t="shared" si="1"/>
        <v>462</v>
      </c>
    </row>
    <row r="439" ht="15.75" customHeight="1">
      <c r="A439" s="71" t="s">
        <v>1659</v>
      </c>
      <c r="B439" s="71" t="s">
        <v>67</v>
      </c>
      <c r="C439" s="71">
        <v>188.0</v>
      </c>
      <c r="D439" s="71" t="s">
        <v>1633</v>
      </c>
      <c r="E439" s="71" t="s">
        <v>1252</v>
      </c>
      <c r="F439" s="71" t="s">
        <v>272</v>
      </c>
      <c r="G439" s="71" t="s">
        <v>669</v>
      </c>
      <c r="H439" s="71">
        <v>1.0</v>
      </c>
      <c r="I439" s="71">
        <v>2.0</v>
      </c>
      <c r="J439" s="71">
        <v>2.0</v>
      </c>
      <c r="K439" s="72">
        <f>Centrocampisti!I188</f>
        <v>3</v>
      </c>
      <c r="L439" s="73">
        <f>Centrocampisti!AE188</f>
        <v>5.5</v>
      </c>
      <c r="M439" s="74">
        <f>Centrocampisti!B188</f>
        <v>2.1</v>
      </c>
      <c r="N439" s="71">
        <f>Centrocampisti!A188</f>
        <v>185</v>
      </c>
      <c r="O439" s="71" t="s">
        <v>332</v>
      </c>
      <c r="P439" s="71">
        <v>0.0</v>
      </c>
      <c r="R439" s="71" t="s">
        <v>71</v>
      </c>
      <c r="S439" s="71" t="s">
        <v>644</v>
      </c>
      <c r="T439" s="71" t="str">
        <f>Centrocampisti!K188</f>
        <v>4a fascia</v>
      </c>
      <c r="U439" s="71" t="s">
        <v>615</v>
      </c>
      <c r="V439" s="71">
        <v>1.0</v>
      </c>
      <c r="W439" s="71">
        <f t="shared" si="1"/>
        <v>473</v>
      </c>
    </row>
    <row r="440" ht="15.75" customHeight="1">
      <c r="A440" s="71" t="s">
        <v>1662</v>
      </c>
      <c r="B440" s="71" t="s">
        <v>67</v>
      </c>
      <c r="C440" s="71">
        <v>189.0</v>
      </c>
      <c r="D440" s="71" t="s">
        <v>1638</v>
      </c>
      <c r="E440" s="71" t="s">
        <v>1237</v>
      </c>
      <c r="F440" s="71" t="s">
        <v>239</v>
      </c>
      <c r="G440" s="71" t="s">
        <v>669</v>
      </c>
      <c r="H440" s="71">
        <v>1.0</v>
      </c>
      <c r="I440" s="71">
        <v>1.0</v>
      </c>
      <c r="J440" s="71">
        <v>1.0</v>
      </c>
      <c r="K440" s="72">
        <f>Centrocampisti!I189</f>
        <v>2</v>
      </c>
      <c r="L440" s="73">
        <f>Centrocampisti!AE189</f>
        <v>5.5</v>
      </c>
      <c r="M440" s="74">
        <f>Centrocampisti!B189</f>
        <v>1.8</v>
      </c>
      <c r="N440" s="71">
        <f>Centrocampisti!A189</f>
        <v>186</v>
      </c>
      <c r="O440" s="71" t="s">
        <v>332</v>
      </c>
      <c r="P440" s="71">
        <v>0.0</v>
      </c>
      <c r="R440" s="71" t="s">
        <v>71</v>
      </c>
      <c r="S440" s="71" t="s">
        <v>254</v>
      </c>
      <c r="T440" s="71" t="str">
        <f>Centrocampisti!K189</f>
        <v>Scommessa</v>
      </c>
      <c r="U440" s="71" t="s">
        <v>338</v>
      </c>
      <c r="V440" s="71">
        <v>0.0</v>
      </c>
      <c r="W440" s="71">
        <f t="shared" si="1"/>
        <v>478</v>
      </c>
    </row>
    <row r="441" ht="15.75" customHeight="1">
      <c r="A441" s="71" t="s">
        <v>1664</v>
      </c>
      <c r="B441" s="71" t="s">
        <v>67</v>
      </c>
      <c r="C441" s="71">
        <v>190.0</v>
      </c>
      <c r="D441" s="71" t="s">
        <v>1643</v>
      </c>
      <c r="E441" s="71" t="s">
        <v>1213</v>
      </c>
      <c r="F441" s="71" t="s">
        <v>175</v>
      </c>
      <c r="G441" s="71" t="s">
        <v>669</v>
      </c>
      <c r="H441" s="71">
        <v>1.0</v>
      </c>
      <c r="I441" s="71">
        <v>1.0</v>
      </c>
      <c r="J441" s="71">
        <v>1.0</v>
      </c>
      <c r="K441" s="72">
        <f>Centrocampisti!I190</f>
        <v>2</v>
      </c>
      <c r="L441" s="73">
        <f>Centrocampisti!AE190</f>
        <v>5.5</v>
      </c>
      <c r="M441" s="74">
        <f>Centrocampisti!B190</f>
        <v>1.8</v>
      </c>
      <c r="N441" s="71">
        <f>Centrocampisti!A190</f>
        <v>186</v>
      </c>
      <c r="O441" s="71" t="s">
        <v>332</v>
      </c>
      <c r="P441" s="71">
        <v>0.0</v>
      </c>
      <c r="R441" s="71" t="s">
        <v>71</v>
      </c>
      <c r="S441" s="71" t="s">
        <v>216</v>
      </c>
      <c r="T441" s="71" t="str">
        <f>Centrocampisti!K190</f>
        <v>Scommessa</v>
      </c>
      <c r="U441" s="71" t="s">
        <v>338</v>
      </c>
      <c r="V441" s="71">
        <v>0.0</v>
      </c>
      <c r="W441" s="71">
        <f t="shared" si="1"/>
        <v>478</v>
      </c>
    </row>
    <row r="442" ht="15.75" customHeight="1">
      <c r="A442" s="71" t="s">
        <v>1667</v>
      </c>
      <c r="B442" s="71" t="s">
        <v>67</v>
      </c>
      <c r="C442" s="71">
        <v>191.0</v>
      </c>
      <c r="D442" s="71" t="s">
        <v>1648</v>
      </c>
      <c r="E442" s="71" t="s">
        <v>1247</v>
      </c>
      <c r="F442" s="71" t="s">
        <v>264</v>
      </c>
      <c r="G442" s="71" t="s">
        <v>669</v>
      </c>
      <c r="H442" s="71">
        <v>1.0</v>
      </c>
      <c r="I442" s="71">
        <v>1.0</v>
      </c>
      <c r="J442" s="71">
        <v>1.0</v>
      </c>
      <c r="K442" s="72">
        <f>Centrocampisti!I191</f>
        <v>2</v>
      </c>
      <c r="L442" s="73">
        <f>Centrocampisti!AE191</f>
        <v>5.5</v>
      </c>
      <c r="M442" s="74">
        <f>Centrocampisti!B191</f>
        <v>1.8</v>
      </c>
      <c r="N442" s="71">
        <f>Centrocampisti!A191</f>
        <v>186</v>
      </c>
      <c r="O442" s="71" t="s">
        <v>332</v>
      </c>
      <c r="P442" s="71">
        <v>0.0</v>
      </c>
      <c r="R442" s="71" t="s">
        <v>71</v>
      </c>
      <c r="S442" s="71" t="s">
        <v>678</v>
      </c>
      <c r="T442" s="71" t="str">
        <f>Centrocampisti!K191</f>
        <v>Scommessa</v>
      </c>
      <c r="U442" s="71" t="s">
        <v>615</v>
      </c>
      <c r="V442" s="71">
        <v>1.0</v>
      </c>
      <c r="W442" s="71">
        <f t="shared" si="1"/>
        <v>478</v>
      </c>
    </row>
    <row r="443" ht="15.75" customHeight="1">
      <c r="A443" s="71" t="s">
        <v>1669</v>
      </c>
      <c r="B443" s="71" t="s">
        <v>67</v>
      </c>
      <c r="C443" s="71">
        <v>192.0</v>
      </c>
      <c r="D443" s="71" t="s">
        <v>1653</v>
      </c>
      <c r="E443" s="71" t="s">
        <v>1245</v>
      </c>
      <c r="F443" s="71" t="s">
        <v>261</v>
      </c>
      <c r="G443" s="71" t="s">
        <v>669</v>
      </c>
      <c r="H443" s="71">
        <v>1.0</v>
      </c>
      <c r="I443" s="71">
        <v>1.0</v>
      </c>
      <c r="J443" s="71">
        <v>1.0</v>
      </c>
      <c r="K443" s="72">
        <f>Centrocampisti!I192</f>
        <v>2</v>
      </c>
      <c r="L443" s="73">
        <f>Centrocampisti!AE192</f>
        <v>5.5</v>
      </c>
      <c r="M443" s="74">
        <f>Centrocampisti!B192</f>
        <v>1.8</v>
      </c>
      <c r="N443" s="71">
        <f>Centrocampisti!A192</f>
        <v>186</v>
      </c>
      <c r="O443" s="71" t="s">
        <v>332</v>
      </c>
      <c r="P443" s="71">
        <v>0.0</v>
      </c>
      <c r="R443" s="71" t="s">
        <v>71</v>
      </c>
      <c r="S443" s="71" t="s">
        <v>563</v>
      </c>
      <c r="T443" s="71" t="str">
        <f>Centrocampisti!K192</f>
        <v>Scommessa</v>
      </c>
      <c r="U443" s="71" t="s">
        <v>338</v>
      </c>
      <c r="V443" s="71">
        <v>0.0</v>
      </c>
      <c r="W443" s="71">
        <f t="shared" si="1"/>
        <v>478</v>
      </c>
    </row>
    <row r="444" ht="15.75" customHeight="1">
      <c r="A444" s="71" t="s">
        <v>1670</v>
      </c>
      <c r="B444" s="71" t="s">
        <v>67</v>
      </c>
      <c r="C444" s="71">
        <v>193.0</v>
      </c>
      <c r="D444" s="71" t="s">
        <v>1124</v>
      </c>
      <c r="E444" s="71" t="s">
        <v>1236</v>
      </c>
      <c r="F444" s="71" t="s">
        <v>232</v>
      </c>
      <c r="G444" s="71" t="s">
        <v>669</v>
      </c>
      <c r="H444" s="71">
        <v>1.0</v>
      </c>
      <c r="I444" s="71">
        <v>1.0</v>
      </c>
      <c r="J444" s="71">
        <v>1.0</v>
      </c>
      <c r="K444" s="72">
        <f>Centrocampisti!I193</f>
        <v>2</v>
      </c>
      <c r="L444" s="73">
        <f>Centrocampisti!AE193</f>
        <v>5.5</v>
      </c>
      <c r="M444" s="74">
        <f>Centrocampisti!B193</f>
        <v>1.8</v>
      </c>
      <c r="N444" s="71">
        <f>Centrocampisti!A193</f>
        <v>186</v>
      </c>
      <c r="O444" s="71" t="s">
        <v>332</v>
      </c>
      <c r="P444" s="71">
        <v>2.0</v>
      </c>
      <c r="Q444" s="71">
        <v>5.5</v>
      </c>
      <c r="R444" s="71" t="s">
        <v>71</v>
      </c>
      <c r="S444" s="71" t="s">
        <v>609</v>
      </c>
      <c r="T444" s="71" t="str">
        <f>Centrocampisti!K193</f>
        <v>Scommessa</v>
      </c>
      <c r="U444" s="71" t="s">
        <v>333</v>
      </c>
      <c r="V444" s="71">
        <v>0.0</v>
      </c>
      <c r="W444" s="71">
        <f t="shared" si="1"/>
        <v>478</v>
      </c>
    </row>
    <row r="445" ht="15.75" customHeight="1">
      <c r="A445" s="71" t="s">
        <v>1671</v>
      </c>
      <c r="B445" s="71" t="s">
        <v>67</v>
      </c>
      <c r="C445" s="71">
        <v>194.0</v>
      </c>
      <c r="D445" s="71" t="s">
        <v>1660</v>
      </c>
      <c r="E445" s="71" t="s">
        <v>1252</v>
      </c>
      <c r="F445" s="71" t="s">
        <v>272</v>
      </c>
      <c r="G445" s="71" t="s">
        <v>669</v>
      </c>
      <c r="H445" s="71">
        <v>1.0</v>
      </c>
      <c r="I445" s="71">
        <v>2.0</v>
      </c>
      <c r="J445" s="71">
        <v>1.0</v>
      </c>
      <c r="K445" s="72">
        <f>Centrocampisti!I194</f>
        <v>2</v>
      </c>
      <c r="L445" s="73">
        <f>Centrocampisti!AE194</f>
        <v>5.5</v>
      </c>
      <c r="M445" s="74">
        <f>Centrocampisti!B194</f>
        <v>1.8</v>
      </c>
      <c r="N445" s="71">
        <f>Centrocampisti!A194</f>
        <v>186</v>
      </c>
      <c r="O445" s="71" t="s">
        <v>332</v>
      </c>
      <c r="P445" s="71">
        <v>0.0</v>
      </c>
      <c r="R445" s="71" t="s">
        <v>71</v>
      </c>
      <c r="S445" s="71" t="s">
        <v>644</v>
      </c>
      <c r="T445" s="71" t="str">
        <f>Centrocampisti!K194</f>
        <v>Scommessa</v>
      </c>
      <c r="U445" s="71" t="s">
        <v>615</v>
      </c>
      <c r="V445" s="71">
        <v>1.0</v>
      </c>
      <c r="W445" s="71">
        <f t="shared" si="1"/>
        <v>478</v>
      </c>
    </row>
    <row r="446" ht="15.75" customHeight="1">
      <c r="A446" s="71" t="s">
        <v>1672</v>
      </c>
      <c r="B446" s="71" t="s">
        <v>67</v>
      </c>
      <c r="C446" s="71">
        <v>195.0</v>
      </c>
      <c r="D446" s="71" t="s">
        <v>1665</v>
      </c>
      <c r="E446" s="71" t="s">
        <v>1236</v>
      </c>
      <c r="F446" s="71" t="s">
        <v>232</v>
      </c>
      <c r="G446" s="71" t="s">
        <v>669</v>
      </c>
      <c r="H446" s="71">
        <v>1.0</v>
      </c>
      <c r="I446" s="71">
        <v>1.0</v>
      </c>
      <c r="J446" s="71">
        <v>1.0</v>
      </c>
      <c r="K446" s="72">
        <f>Centrocampisti!I195</f>
        <v>2</v>
      </c>
      <c r="L446" s="73">
        <f>Centrocampisti!AE195</f>
        <v>5.5</v>
      </c>
      <c r="M446" s="74">
        <f>Centrocampisti!B195</f>
        <v>1.8</v>
      </c>
      <c r="N446" s="71">
        <f>Centrocampisti!A195</f>
        <v>186</v>
      </c>
      <c r="O446" s="71" t="s">
        <v>332</v>
      </c>
      <c r="P446" s="71">
        <v>0.0</v>
      </c>
      <c r="R446" s="71" t="s">
        <v>71</v>
      </c>
      <c r="S446" s="71" t="s">
        <v>609</v>
      </c>
      <c r="T446" s="71" t="str">
        <f>Centrocampisti!K195</f>
        <v>Scommessa</v>
      </c>
      <c r="U446" s="71" t="s">
        <v>338</v>
      </c>
      <c r="V446" s="71">
        <v>0.0</v>
      </c>
      <c r="W446" s="71">
        <f t="shared" si="1"/>
        <v>478</v>
      </c>
    </row>
    <row r="447" ht="15.75" customHeight="1">
      <c r="A447" s="71" t="s">
        <v>1673</v>
      </c>
      <c r="B447" s="71" t="s">
        <v>67</v>
      </c>
      <c r="C447" s="71">
        <v>196.0</v>
      </c>
      <c r="D447" s="71" t="s">
        <v>1187</v>
      </c>
      <c r="E447" s="71" t="s">
        <v>1215</v>
      </c>
      <c r="F447" s="71" t="s">
        <v>133</v>
      </c>
      <c r="G447" s="71" t="s">
        <v>669</v>
      </c>
      <c r="H447" s="71">
        <v>1.0</v>
      </c>
      <c r="I447" s="71">
        <v>1.0</v>
      </c>
      <c r="J447" s="71">
        <v>1.0</v>
      </c>
      <c r="K447" s="72">
        <f>Centrocampisti!I196</f>
        <v>2</v>
      </c>
      <c r="L447" s="73">
        <f>Centrocampisti!AE196</f>
        <v>5.5</v>
      </c>
      <c r="M447" s="74">
        <f>Centrocampisti!B196</f>
        <v>1.8</v>
      </c>
      <c r="N447" s="71">
        <f>Centrocampisti!A196</f>
        <v>186</v>
      </c>
      <c r="O447" s="71" t="s">
        <v>332</v>
      </c>
      <c r="P447" s="71">
        <v>0.0</v>
      </c>
      <c r="R447" s="71" t="s">
        <v>71</v>
      </c>
      <c r="S447" s="71" t="s">
        <v>254</v>
      </c>
      <c r="T447" s="71" t="str">
        <f>Centrocampisti!K196</f>
        <v>Scommessa</v>
      </c>
      <c r="U447" s="71" t="s">
        <v>333</v>
      </c>
      <c r="V447" s="71">
        <v>0.0</v>
      </c>
      <c r="W447" s="71">
        <f t="shared" si="1"/>
        <v>478</v>
      </c>
    </row>
    <row r="448" ht="15.75" customHeight="1">
      <c r="A448" s="71" t="s">
        <v>266</v>
      </c>
      <c r="B448" s="71" t="s">
        <v>74</v>
      </c>
      <c r="C448" s="71">
        <v>4.0</v>
      </c>
      <c r="D448" s="71" t="s">
        <v>234</v>
      </c>
      <c r="E448" s="71" t="s">
        <v>1205</v>
      </c>
      <c r="F448" s="71" t="s">
        <v>60</v>
      </c>
      <c r="G448" s="71" t="s">
        <v>287</v>
      </c>
      <c r="H448" s="71">
        <v>34.0</v>
      </c>
      <c r="I448" s="71">
        <v>38.0</v>
      </c>
      <c r="J448" s="71">
        <v>450.0</v>
      </c>
      <c r="K448" s="72">
        <f>Attaccanti!I4</f>
        <v>133</v>
      </c>
      <c r="L448" s="73">
        <f>Attaccanti!AE4</f>
        <v>8</v>
      </c>
      <c r="M448" s="74">
        <f>Attaccanti!B4</f>
        <v>98</v>
      </c>
      <c r="N448" s="71">
        <f>Attaccanti!A4</f>
        <v>1</v>
      </c>
      <c r="O448" s="71" t="s">
        <v>68</v>
      </c>
      <c r="P448" s="71">
        <v>18.0</v>
      </c>
      <c r="Q448" s="71">
        <v>8.97</v>
      </c>
      <c r="R448" s="71" t="s">
        <v>84</v>
      </c>
      <c r="S448" s="71" t="s">
        <v>244</v>
      </c>
      <c r="T448" s="71" t="str">
        <f>Attaccanti!K4</f>
        <v>Top</v>
      </c>
      <c r="U448" s="71" t="s">
        <v>70</v>
      </c>
      <c r="V448" s="71">
        <v>2.0</v>
      </c>
      <c r="W448" s="71">
        <f t="shared" si="1"/>
        <v>1</v>
      </c>
    </row>
    <row r="449" ht="15.75" customHeight="1">
      <c r="A449" s="71" t="s">
        <v>291</v>
      </c>
      <c r="B449" s="71" t="s">
        <v>74</v>
      </c>
      <c r="C449" s="71">
        <v>5.0</v>
      </c>
      <c r="D449" s="71" t="s">
        <v>251</v>
      </c>
      <c r="E449" s="71" t="s">
        <v>1209</v>
      </c>
      <c r="F449" s="71" t="s">
        <v>64</v>
      </c>
      <c r="G449" s="71" t="s">
        <v>287</v>
      </c>
      <c r="H449" s="71">
        <v>35.0</v>
      </c>
      <c r="I449" s="71">
        <v>33.0</v>
      </c>
      <c r="J449" s="71">
        <v>361.0</v>
      </c>
      <c r="K449" s="72">
        <f>Attaccanti!I5</f>
        <v>117</v>
      </c>
      <c r="L449" s="73">
        <f>Attaccanti!AE5</f>
        <v>8.25</v>
      </c>
      <c r="M449" s="74">
        <f>Attaccanti!B5</f>
        <v>76.6</v>
      </c>
      <c r="N449" s="71">
        <f>Attaccanti!A5</f>
        <v>2</v>
      </c>
      <c r="O449" s="71" t="s">
        <v>68</v>
      </c>
      <c r="P449" s="71">
        <v>30.0</v>
      </c>
      <c r="Q449" s="71">
        <v>8.25</v>
      </c>
      <c r="R449" s="71" t="s">
        <v>160</v>
      </c>
      <c r="S449" s="71" t="s">
        <v>256</v>
      </c>
      <c r="T449" s="71" t="str">
        <f>Attaccanti!K5</f>
        <v>Top</v>
      </c>
      <c r="U449" s="71" t="s">
        <v>70</v>
      </c>
      <c r="V449" s="71">
        <v>2.0</v>
      </c>
      <c r="W449" s="71">
        <f t="shared" si="1"/>
        <v>2</v>
      </c>
    </row>
    <row r="450" ht="15.75" customHeight="1">
      <c r="A450" s="71" t="s">
        <v>244</v>
      </c>
      <c r="B450" s="71" t="s">
        <v>74</v>
      </c>
      <c r="C450" s="71">
        <v>6.0</v>
      </c>
      <c r="D450" s="71" t="s">
        <v>262</v>
      </c>
      <c r="E450" s="71" t="s">
        <v>1217</v>
      </c>
      <c r="F450" s="71" t="s">
        <v>191</v>
      </c>
      <c r="G450" s="71" t="s">
        <v>287</v>
      </c>
      <c r="H450" s="71">
        <v>28.0</v>
      </c>
      <c r="I450" s="71">
        <v>28.0</v>
      </c>
      <c r="J450" s="71">
        <v>260.0</v>
      </c>
      <c r="K450" s="72">
        <f>Attaccanti!I6</f>
        <v>96</v>
      </c>
      <c r="L450" s="73">
        <f>Attaccanti!AE6</f>
        <v>7.44</v>
      </c>
      <c r="M450" s="74">
        <f>Attaccanti!B6</f>
        <v>65.7</v>
      </c>
      <c r="N450" s="71">
        <f>Attaccanti!A6</f>
        <v>3</v>
      </c>
      <c r="O450" s="71" t="s">
        <v>68</v>
      </c>
      <c r="P450" s="71">
        <v>33.0</v>
      </c>
      <c r="Q450" s="71">
        <v>7.44</v>
      </c>
      <c r="R450" s="71" t="s">
        <v>77</v>
      </c>
      <c r="S450" s="71" t="s">
        <v>266</v>
      </c>
      <c r="T450" s="71" t="str">
        <f>Attaccanti!K6</f>
        <v>Top</v>
      </c>
      <c r="U450" s="71" t="s">
        <v>70</v>
      </c>
      <c r="V450" s="71">
        <v>2.0</v>
      </c>
      <c r="W450" s="71">
        <f t="shared" si="1"/>
        <v>3</v>
      </c>
    </row>
    <row r="451" ht="15.75" customHeight="1">
      <c r="A451" s="71" t="s">
        <v>1212</v>
      </c>
      <c r="B451" s="71" t="s">
        <v>74</v>
      </c>
      <c r="C451" s="71">
        <v>7.0</v>
      </c>
      <c r="D451" s="71" t="s">
        <v>269</v>
      </c>
      <c r="E451" s="71" t="s">
        <v>1209</v>
      </c>
      <c r="F451" s="71" t="s">
        <v>64</v>
      </c>
      <c r="G451" s="71" t="s">
        <v>287</v>
      </c>
      <c r="H451" s="71">
        <v>29.0</v>
      </c>
      <c r="I451" s="71">
        <v>28.0</v>
      </c>
      <c r="J451" s="71">
        <v>249.0</v>
      </c>
      <c r="K451" s="72">
        <f>Attaccanti!I7</f>
        <v>93</v>
      </c>
      <c r="L451" s="73">
        <f>Attaccanti!AE7</f>
        <v>7.95</v>
      </c>
      <c r="M451" s="74">
        <f>Attaccanti!B7</f>
        <v>58.2</v>
      </c>
      <c r="N451" s="71">
        <f>Attaccanti!A7</f>
        <v>4</v>
      </c>
      <c r="O451" s="71" t="s">
        <v>68</v>
      </c>
      <c r="P451" s="71">
        <v>29.0</v>
      </c>
      <c r="Q451" s="71">
        <v>7.95</v>
      </c>
      <c r="R451" s="71" t="s">
        <v>71</v>
      </c>
      <c r="S451" s="71" t="s">
        <v>256</v>
      </c>
      <c r="T451" s="71" t="str">
        <f>Attaccanti!K7</f>
        <v>Top</v>
      </c>
      <c r="U451" s="71" t="s">
        <v>148</v>
      </c>
      <c r="V451" s="71">
        <v>1.0</v>
      </c>
      <c r="W451" s="71">
        <f t="shared" si="1"/>
        <v>4</v>
      </c>
    </row>
    <row r="452" ht="15.75" customHeight="1">
      <c r="A452" s="71" t="s">
        <v>404</v>
      </c>
      <c r="B452" s="71" t="s">
        <v>74</v>
      </c>
      <c r="C452" s="71">
        <v>8.0</v>
      </c>
      <c r="D452" s="71" t="s">
        <v>278</v>
      </c>
      <c r="E452" s="71" t="s">
        <v>1215</v>
      </c>
      <c r="F452" s="71" t="s">
        <v>133</v>
      </c>
      <c r="G452" s="71" t="s">
        <v>287</v>
      </c>
      <c r="H452" s="71">
        <v>20.0</v>
      </c>
      <c r="I452" s="71">
        <v>22.0</v>
      </c>
      <c r="J452" s="71">
        <v>185.0</v>
      </c>
      <c r="K452" s="72">
        <f>Attaccanti!I8</f>
        <v>78</v>
      </c>
      <c r="L452" s="73">
        <f>Attaccanti!AE8</f>
        <v>7.38</v>
      </c>
      <c r="M452" s="74">
        <f>Attaccanti!B8</f>
        <v>55.7</v>
      </c>
      <c r="N452" s="71">
        <f>Attaccanti!A8</f>
        <v>5</v>
      </c>
      <c r="O452" s="71" t="s">
        <v>68</v>
      </c>
      <c r="P452" s="71">
        <v>36.0</v>
      </c>
      <c r="Q452" s="71">
        <v>7.38</v>
      </c>
      <c r="R452" s="71" t="s">
        <v>77</v>
      </c>
      <c r="S452" s="71" t="s">
        <v>244</v>
      </c>
      <c r="T452" s="71" t="str">
        <f>Attaccanti!K8</f>
        <v>Top</v>
      </c>
      <c r="U452" s="71" t="s">
        <v>70</v>
      </c>
      <c r="V452" s="71">
        <v>2.0</v>
      </c>
      <c r="W452" s="71">
        <f t="shared" si="1"/>
        <v>10</v>
      </c>
    </row>
    <row r="453" ht="15.75" customHeight="1">
      <c r="A453" s="71" t="s">
        <v>306</v>
      </c>
      <c r="B453" s="71" t="s">
        <v>74</v>
      </c>
      <c r="C453" s="71">
        <v>9.0</v>
      </c>
      <c r="D453" s="71" t="s">
        <v>285</v>
      </c>
      <c r="E453" s="71" t="s">
        <v>1243</v>
      </c>
      <c r="F453" s="71" t="s">
        <v>253</v>
      </c>
      <c r="G453" s="71" t="s">
        <v>287</v>
      </c>
      <c r="H453" s="71">
        <v>18.0</v>
      </c>
      <c r="I453" s="71">
        <v>19.0</v>
      </c>
      <c r="J453" s="71">
        <v>106.0</v>
      </c>
      <c r="K453" s="72">
        <f>Attaccanti!I9</f>
        <v>56</v>
      </c>
      <c r="L453" s="73">
        <f>Attaccanti!AE9</f>
        <v>7.19</v>
      </c>
      <c r="M453" s="74">
        <f>Attaccanti!B9</f>
        <v>54.1</v>
      </c>
      <c r="N453" s="71">
        <f>Attaccanti!A9</f>
        <v>6</v>
      </c>
      <c r="O453" s="71" t="s">
        <v>68</v>
      </c>
      <c r="P453" s="71">
        <v>26.0</v>
      </c>
      <c r="Q453" s="71">
        <v>7.19</v>
      </c>
      <c r="R453" s="71" t="s">
        <v>84</v>
      </c>
      <c r="S453" s="71" t="s">
        <v>291</v>
      </c>
      <c r="T453" s="71" t="str">
        <f>Attaccanti!K9</f>
        <v>1a fascia</v>
      </c>
      <c r="U453" s="71" t="s">
        <v>148</v>
      </c>
      <c r="V453" s="71">
        <v>1.0</v>
      </c>
      <c r="W453" s="71">
        <f t="shared" si="1"/>
        <v>20</v>
      </c>
    </row>
    <row r="454" ht="15.75" customHeight="1">
      <c r="A454" s="71" t="s">
        <v>439</v>
      </c>
      <c r="B454" s="71" t="s">
        <v>74</v>
      </c>
      <c r="C454" s="71">
        <v>10.0</v>
      </c>
      <c r="D454" s="71" t="s">
        <v>295</v>
      </c>
      <c r="E454" s="71" t="s">
        <v>1210</v>
      </c>
      <c r="F454" s="71" t="s">
        <v>143</v>
      </c>
      <c r="G454" s="71" t="s">
        <v>287</v>
      </c>
      <c r="H454" s="71">
        <v>19.0</v>
      </c>
      <c r="I454" s="71">
        <v>19.0</v>
      </c>
      <c r="J454" s="71">
        <v>110.0</v>
      </c>
      <c r="K454" s="72">
        <f>Attaccanti!I10</f>
        <v>57</v>
      </c>
      <c r="L454" s="73">
        <f>Attaccanti!AE10</f>
        <v>7.3</v>
      </c>
      <c r="M454" s="74">
        <f>Attaccanti!B10</f>
        <v>49.7</v>
      </c>
      <c r="N454" s="71">
        <f>Attaccanti!A10</f>
        <v>7</v>
      </c>
      <c r="O454" s="71" t="s">
        <v>68</v>
      </c>
      <c r="P454" s="71">
        <v>22.0</v>
      </c>
      <c r="Q454" s="71">
        <v>7.55</v>
      </c>
      <c r="R454" s="71" t="s">
        <v>84</v>
      </c>
      <c r="S454" s="71" t="s">
        <v>266</v>
      </c>
      <c r="T454" s="71" t="str">
        <f>Attaccanti!K10</f>
        <v>1a fascia</v>
      </c>
      <c r="U454" s="71" t="s">
        <v>70</v>
      </c>
      <c r="V454" s="71">
        <v>2.0</v>
      </c>
      <c r="W454" s="71">
        <f t="shared" si="1"/>
        <v>17</v>
      </c>
    </row>
    <row r="455" ht="15.75" customHeight="1">
      <c r="A455" s="71" t="s">
        <v>1221</v>
      </c>
      <c r="B455" s="71" t="s">
        <v>74</v>
      </c>
      <c r="C455" s="71">
        <v>11.0</v>
      </c>
      <c r="D455" s="71" t="s">
        <v>302</v>
      </c>
      <c r="E455" s="71" t="s">
        <v>1233</v>
      </c>
      <c r="F455" s="71" t="s">
        <v>185</v>
      </c>
      <c r="G455" s="71" t="s">
        <v>287</v>
      </c>
      <c r="H455" s="71">
        <v>19.0</v>
      </c>
      <c r="I455" s="71">
        <v>19.0</v>
      </c>
      <c r="J455" s="71">
        <v>108.0</v>
      </c>
      <c r="K455" s="72">
        <f>Attaccanti!I11</f>
        <v>57</v>
      </c>
      <c r="L455" s="73">
        <f>Attaccanti!AE11</f>
        <v>7.37</v>
      </c>
      <c r="M455" s="74">
        <f>Attaccanti!B11</f>
        <v>49.4</v>
      </c>
      <c r="N455" s="71">
        <f>Attaccanti!A11</f>
        <v>8</v>
      </c>
      <c r="O455" s="71" t="s">
        <v>68</v>
      </c>
      <c r="P455" s="71">
        <v>30.0</v>
      </c>
      <c r="Q455" s="71">
        <v>7.37</v>
      </c>
      <c r="R455" s="71" t="s">
        <v>84</v>
      </c>
      <c r="S455" s="71" t="s">
        <v>306</v>
      </c>
      <c r="T455" s="71" t="str">
        <f>Attaccanti!K11</f>
        <v>1a fascia</v>
      </c>
      <c r="U455" s="71" t="s">
        <v>148</v>
      </c>
      <c r="V455" s="71">
        <v>1.0</v>
      </c>
      <c r="W455" s="71">
        <f t="shared" si="1"/>
        <v>18</v>
      </c>
    </row>
    <row r="456" ht="15.75" customHeight="1">
      <c r="A456" s="71" t="s">
        <v>354</v>
      </c>
      <c r="B456" s="71" t="s">
        <v>74</v>
      </c>
      <c r="C456" s="71">
        <v>12.0</v>
      </c>
      <c r="D456" s="71" t="s">
        <v>310</v>
      </c>
      <c r="E456" s="71" t="s">
        <v>1207</v>
      </c>
      <c r="F456" s="71" t="s">
        <v>93</v>
      </c>
      <c r="G456" s="71" t="s">
        <v>287</v>
      </c>
      <c r="H456" s="71">
        <v>23.0</v>
      </c>
      <c r="I456" s="71">
        <v>22.0</v>
      </c>
      <c r="J456" s="71">
        <v>100.0</v>
      </c>
      <c r="K456" s="72">
        <f>Attaccanti!I12</f>
        <v>54</v>
      </c>
      <c r="L456" s="73">
        <f>Attaccanti!AE12</f>
        <v>7.3</v>
      </c>
      <c r="M456" s="74">
        <f>Attaccanti!B12</f>
        <v>49.3</v>
      </c>
      <c r="N456" s="71">
        <f>Attaccanti!A12</f>
        <v>9</v>
      </c>
      <c r="O456" s="71" t="s">
        <v>226</v>
      </c>
      <c r="P456" s="71">
        <v>35.0</v>
      </c>
      <c r="Q456" s="71">
        <v>7.3</v>
      </c>
      <c r="R456" s="71" t="s">
        <v>77</v>
      </c>
      <c r="S456" s="71" t="s">
        <v>316</v>
      </c>
      <c r="T456" s="71" t="str">
        <f>Attaccanti!K12</f>
        <v>1a fascia</v>
      </c>
      <c r="U456" s="71" t="s">
        <v>314</v>
      </c>
      <c r="V456" s="71">
        <v>1.0</v>
      </c>
      <c r="W456" s="71">
        <f t="shared" si="1"/>
        <v>23</v>
      </c>
    </row>
    <row r="457" ht="15.75" customHeight="1">
      <c r="A457" s="71" t="s">
        <v>1227</v>
      </c>
      <c r="B457" s="71" t="s">
        <v>74</v>
      </c>
      <c r="C457" s="71">
        <v>13.0</v>
      </c>
      <c r="D457" s="71" t="s">
        <v>321</v>
      </c>
      <c r="E457" s="71" t="s">
        <v>1215</v>
      </c>
      <c r="F457" s="71" t="s">
        <v>133</v>
      </c>
      <c r="G457" s="71" t="s">
        <v>287</v>
      </c>
      <c r="H457" s="71">
        <v>25.0</v>
      </c>
      <c r="I457" s="71">
        <v>24.0</v>
      </c>
      <c r="J457" s="71">
        <v>183.0</v>
      </c>
      <c r="K457" s="72">
        <f>Attaccanti!I13</f>
        <v>78</v>
      </c>
      <c r="L457" s="73">
        <f>Attaccanti!AE13</f>
        <v>6.77</v>
      </c>
      <c r="M457" s="74">
        <f>Attaccanti!B13</f>
        <v>45.8</v>
      </c>
      <c r="N457" s="71">
        <f>Attaccanti!A13</f>
        <v>10</v>
      </c>
      <c r="O457" s="71" t="s">
        <v>68</v>
      </c>
      <c r="P457" s="71">
        <v>26.0</v>
      </c>
      <c r="Q457" s="71">
        <v>6.77</v>
      </c>
      <c r="R457" s="71" t="s">
        <v>71</v>
      </c>
      <c r="S457" s="71" t="s">
        <v>244</v>
      </c>
      <c r="T457" s="71" t="str">
        <f>Attaccanti!K13</f>
        <v>Top</v>
      </c>
      <c r="U457" s="71" t="s">
        <v>294</v>
      </c>
      <c r="V457" s="71">
        <v>1.0</v>
      </c>
      <c r="W457" s="71">
        <f t="shared" si="1"/>
        <v>11</v>
      </c>
    </row>
    <row r="458" ht="15.75" customHeight="1">
      <c r="A458" s="71" t="s">
        <v>1231</v>
      </c>
      <c r="B458" s="71" t="s">
        <v>74</v>
      </c>
      <c r="C458" s="71">
        <v>14.0</v>
      </c>
      <c r="D458" s="71" t="s">
        <v>328</v>
      </c>
      <c r="E458" s="71" t="s">
        <v>1210</v>
      </c>
      <c r="F458" s="71" t="s">
        <v>143</v>
      </c>
      <c r="G458" s="71" t="s">
        <v>287</v>
      </c>
      <c r="H458" s="71">
        <v>18.0</v>
      </c>
      <c r="I458" s="71">
        <v>18.0</v>
      </c>
      <c r="J458" s="71">
        <v>98.0</v>
      </c>
      <c r="K458" s="72">
        <f>Attaccanti!I14</f>
        <v>53</v>
      </c>
      <c r="L458" s="73">
        <f>Attaccanti!AE14</f>
        <v>7.19</v>
      </c>
      <c r="M458" s="74">
        <f>Attaccanti!B14</f>
        <v>44.1</v>
      </c>
      <c r="N458" s="71">
        <f>Attaccanti!A14</f>
        <v>11</v>
      </c>
      <c r="O458" s="71" t="s">
        <v>68</v>
      </c>
      <c r="P458" s="71">
        <v>32.0</v>
      </c>
      <c r="Q458" s="71">
        <v>7.19</v>
      </c>
      <c r="R458" s="71" t="s">
        <v>77</v>
      </c>
      <c r="S458" s="71" t="s">
        <v>266</v>
      </c>
      <c r="T458" s="71" t="str">
        <f>Attaccanti!K14</f>
        <v>1a fascia</v>
      </c>
      <c r="U458" s="71" t="s">
        <v>70</v>
      </c>
      <c r="V458" s="71">
        <v>2.0</v>
      </c>
      <c r="W458" s="71">
        <f t="shared" si="1"/>
        <v>26</v>
      </c>
    </row>
    <row r="459" ht="15.75" customHeight="1">
      <c r="A459" s="71" t="s">
        <v>256</v>
      </c>
      <c r="B459" s="71" t="s">
        <v>74</v>
      </c>
      <c r="C459" s="71">
        <v>15.0</v>
      </c>
      <c r="D459" s="71" t="s">
        <v>330</v>
      </c>
      <c r="E459" s="71" t="s">
        <v>1213</v>
      </c>
      <c r="F459" s="71" t="s">
        <v>175</v>
      </c>
      <c r="G459" s="71" t="s">
        <v>287</v>
      </c>
      <c r="H459" s="71">
        <v>27.0</v>
      </c>
      <c r="I459" s="71">
        <v>27.0</v>
      </c>
      <c r="J459" s="71">
        <v>237.0</v>
      </c>
      <c r="K459" s="72">
        <f>Attaccanti!I15</f>
        <v>91</v>
      </c>
      <c r="L459" s="73">
        <f>Attaccanti!AE15</f>
        <v>5.5</v>
      </c>
      <c r="M459" s="74">
        <f>Attaccanti!B15</f>
        <v>43.2</v>
      </c>
      <c r="N459" s="71">
        <f>Attaccanti!A15</f>
        <v>12</v>
      </c>
      <c r="O459" s="71" t="s">
        <v>68</v>
      </c>
      <c r="P459" s="71">
        <v>0.0</v>
      </c>
      <c r="R459" s="71" t="s">
        <v>84</v>
      </c>
      <c r="S459" s="71" t="s">
        <v>291</v>
      </c>
      <c r="T459" s="71" t="str">
        <f>Attaccanti!K15</f>
        <v>Top</v>
      </c>
      <c r="U459" s="71" t="s">
        <v>100</v>
      </c>
      <c r="V459" s="71">
        <v>2.0</v>
      </c>
      <c r="W459" s="71">
        <f t="shared" si="1"/>
        <v>8</v>
      </c>
    </row>
    <row r="460" ht="15.75" customHeight="1">
      <c r="A460" s="71" t="s">
        <v>533</v>
      </c>
      <c r="B460" s="71" t="s">
        <v>74</v>
      </c>
      <c r="C460" s="71">
        <v>16.0</v>
      </c>
      <c r="D460" s="71" t="s">
        <v>337</v>
      </c>
      <c r="E460" s="71" t="s">
        <v>1205</v>
      </c>
      <c r="F460" s="71" t="s">
        <v>60</v>
      </c>
      <c r="G460" s="71" t="s">
        <v>287</v>
      </c>
      <c r="H460" s="71">
        <v>14.0</v>
      </c>
      <c r="I460" s="71">
        <v>16.0</v>
      </c>
      <c r="J460" s="71">
        <v>100.0</v>
      </c>
      <c r="K460" s="72">
        <f>Attaccanti!I16</f>
        <v>54</v>
      </c>
      <c r="L460" s="73">
        <f>Attaccanti!AE16</f>
        <v>6.54</v>
      </c>
      <c r="M460" s="74">
        <f>Attaccanti!B16</f>
        <v>42.1</v>
      </c>
      <c r="N460" s="71">
        <f>Attaccanti!A16</f>
        <v>13</v>
      </c>
      <c r="O460" s="71" t="s">
        <v>68</v>
      </c>
      <c r="P460" s="71">
        <v>21.0</v>
      </c>
      <c r="Q460" s="71">
        <v>6.74</v>
      </c>
      <c r="R460" s="71" t="s">
        <v>77</v>
      </c>
      <c r="S460" s="71" t="s">
        <v>340</v>
      </c>
      <c r="T460" s="71" t="str">
        <f>Attaccanti!K16</f>
        <v>1a fascia</v>
      </c>
      <c r="U460" s="71" t="s">
        <v>70</v>
      </c>
      <c r="V460" s="71">
        <v>2.0</v>
      </c>
      <c r="W460" s="71">
        <f t="shared" si="1"/>
        <v>23</v>
      </c>
    </row>
    <row r="461" ht="15.75" customHeight="1">
      <c r="A461" s="71" t="s">
        <v>516</v>
      </c>
      <c r="B461" s="71" t="s">
        <v>74</v>
      </c>
      <c r="C461" s="71">
        <v>17.0</v>
      </c>
      <c r="D461" s="71" t="s">
        <v>342</v>
      </c>
      <c r="E461" s="71" t="s">
        <v>1243</v>
      </c>
      <c r="F461" s="71" t="s">
        <v>253</v>
      </c>
      <c r="G461" s="71" t="s">
        <v>287</v>
      </c>
      <c r="H461" s="71">
        <v>15.0</v>
      </c>
      <c r="I461" s="71">
        <v>15.0</v>
      </c>
      <c r="J461" s="71">
        <v>83.0</v>
      </c>
      <c r="K461" s="72">
        <f>Attaccanti!I17</f>
        <v>48</v>
      </c>
      <c r="L461" s="73">
        <f>Attaccanti!AE17</f>
        <v>6.99</v>
      </c>
      <c r="M461" s="74">
        <f>Attaccanti!B17</f>
        <v>40.9</v>
      </c>
      <c r="N461" s="71">
        <f>Attaccanti!A17</f>
        <v>14</v>
      </c>
      <c r="O461" s="71" t="s">
        <v>68</v>
      </c>
      <c r="P461" s="71">
        <v>37.0</v>
      </c>
      <c r="Q461" s="71">
        <v>6.99</v>
      </c>
      <c r="R461" s="71" t="s">
        <v>345</v>
      </c>
      <c r="S461" s="71" t="s">
        <v>291</v>
      </c>
      <c r="T461" s="71" t="str">
        <f>Attaccanti!K17</f>
        <v>1a fascia</v>
      </c>
      <c r="U461" s="71" t="s">
        <v>70</v>
      </c>
      <c r="V461" s="71">
        <v>2.0</v>
      </c>
      <c r="W461" s="71">
        <f t="shared" si="1"/>
        <v>32</v>
      </c>
    </row>
    <row r="462" ht="15.75" customHeight="1">
      <c r="A462" s="71" t="s">
        <v>316</v>
      </c>
      <c r="B462" s="71" t="s">
        <v>74</v>
      </c>
      <c r="C462" s="71">
        <v>18.0</v>
      </c>
      <c r="D462" s="71" t="s">
        <v>350</v>
      </c>
      <c r="E462" s="71" t="s">
        <v>1228</v>
      </c>
      <c r="F462" s="71" t="s">
        <v>212</v>
      </c>
      <c r="G462" s="71" t="s">
        <v>287</v>
      </c>
      <c r="H462" s="71">
        <v>15.0</v>
      </c>
      <c r="I462" s="71">
        <v>14.0</v>
      </c>
      <c r="J462" s="71">
        <v>80.0</v>
      </c>
      <c r="K462" s="72">
        <f>Attaccanti!I18</f>
        <v>47</v>
      </c>
      <c r="L462" s="73">
        <f>Attaccanti!AE18</f>
        <v>7.09</v>
      </c>
      <c r="M462" s="74">
        <f>Attaccanti!B18</f>
        <v>39.2</v>
      </c>
      <c r="N462" s="71">
        <f>Attaccanti!A18</f>
        <v>15</v>
      </c>
      <c r="O462" s="71" t="s">
        <v>68</v>
      </c>
      <c r="P462" s="71">
        <v>32.0</v>
      </c>
      <c r="Q462" s="71">
        <v>7.09</v>
      </c>
      <c r="R462" s="71" t="s">
        <v>160</v>
      </c>
      <c r="S462" s="71" t="s">
        <v>354</v>
      </c>
      <c r="T462" s="71" t="str">
        <f>Attaccanti!K18</f>
        <v>1a fascia</v>
      </c>
      <c r="U462" s="71" t="s">
        <v>70</v>
      </c>
      <c r="V462" s="71">
        <v>2.0</v>
      </c>
      <c r="W462" s="71">
        <f t="shared" si="1"/>
        <v>34</v>
      </c>
    </row>
    <row r="463" ht="15.75" customHeight="1">
      <c r="A463" s="71" t="s">
        <v>1242</v>
      </c>
      <c r="B463" s="71" t="s">
        <v>74</v>
      </c>
      <c r="C463" s="71">
        <v>19.0</v>
      </c>
      <c r="D463" s="71" t="s">
        <v>355</v>
      </c>
      <c r="E463" s="71" t="s">
        <v>1209</v>
      </c>
      <c r="F463" s="71" t="s">
        <v>64</v>
      </c>
      <c r="G463" s="71" t="s">
        <v>287</v>
      </c>
      <c r="H463" s="71">
        <v>16.0</v>
      </c>
      <c r="I463" s="71">
        <v>17.0</v>
      </c>
      <c r="J463" s="71">
        <v>105.0</v>
      </c>
      <c r="K463" s="72">
        <f>Attaccanti!I19</f>
        <v>56</v>
      </c>
      <c r="L463" s="73">
        <f>Attaccanti!AE19</f>
        <v>7.02</v>
      </c>
      <c r="M463" s="74">
        <f>Attaccanti!B19</f>
        <v>39</v>
      </c>
      <c r="N463" s="71">
        <f>Attaccanti!A19</f>
        <v>16</v>
      </c>
      <c r="O463" s="71" t="s">
        <v>226</v>
      </c>
      <c r="P463" s="71">
        <v>31.0</v>
      </c>
      <c r="Q463" s="71">
        <v>7.02</v>
      </c>
      <c r="R463" s="71" t="s">
        <v>71</v>
      </c>
      <c r="S463" s="71" t="s">
        <v>256</v>
      </c>
      <c r="T463" s="71" t="str">
        <f>Attaccanti!K19</f>
        <v>1a fascia</v>
      </c>
      <c r="U463" s="71" t="s">
        <v>277</v>
      </c>
      <c r="V463" s="71">
        <v>2.0</v>
      </c>
      <c r="W463" s="71">
        <f t="shared" si="1"/>
        <v>21</v>
      </c>
    </row>
    <row r="464" ht="15.75" customHeight="1">
      <c r="A464" s="71" t="s">
        <v>553</v>
      </c>
      <c r="B464" s="71" t="s">
        <v>74</v>
      </c>
      <c r="C464" s="71">
        <v>20.0</v>
      </c>
      <c r="D464" s="71" t="s">
        <v>362</v>
      </c>
      <c r="E464" s="71" t="s">
        <v>1210</v>
      </c>
      <c r="F464" s="71" t="s">
        <v>143</v>
      </c>
      <c r="G464" s="71" t="s">
        <v>287</v>
      </c>
      <c r="H464" s="71">
        <v>17.0</v>
      </c>
      <c r="I464" s="71">
        <v>17.0</v>
      </c>
      <c r="J464" s="71">
        <v>95.0</v>
      </c>
      <c r="K464" s="72">
        <f>Attaccanti!I20</f>
        <v>52</v>
      </c>
      <c r="L464" s="73">
        <f>Attaccanti!AE20</f>
        <v>6.6</v>
      </c>
      <c r="M464" s="74">
        <f>Attaccanti!B20</f>
        <v>36.4</v>
      </c>
      <c r="N464" s="71">
        <f>Attaccanti!A20</f>
        <v>17</v>
      </c>
      <c r="O464" s="71" t="s">
        <v>226</v>
      </c>
      <c r="P464" s="71">
        <v>31.0</v>
      </c>
      <c r="Q464" s="71">
        <v>6.6</v>
      </c>
      <c r="R464" s="71" t="s">
        <v>71</v>
      </c>
      <c r="S464" s="71" t="s">
        <v>368</v>
      </c>
      <c r="T464" s="71" t="str">
        <f>Attaccanti!K20</f>
        <v>1a fascia</v>
      </c>
      <c r="U464" s="71" t="s">
        <v>277</v>
      </c>
      <c r="V464" s="71">
        <v>2.0</v>
      </c>
      <c r="W464" s="71">
        <f t="shared" si="1"/>
        <v>27</v>
      </c>
    </row>
    <row r="465" ht="15.75" customHeight="1">
      <c r="A465" s="71" t="s">
        <v>529</v>
      </c>
      <c r="B465" s="71" t="s">
        <v>74</v>
      </c>
      <c r="C465" s="71">
        <v>21.0</v>
      </c>
      <c r="D465" s="71" t="s">
        <v>371</v>
      </c>
      <c r="E465" s="71" t="s">
        <v>1207</v>
      </c>
      <c r="F465" s="71" t="s">
        <v>93</v>
      </c>
      <c r="G465" s="71" t="s">
        <v>287</v>
      </c>
      <c r="H465" s="71">
        <v>26.0</v>
      </c>
      <c r="I465" s="71">
        <v>25.0</v>
      </c>
      <c r="J465" s="71">
        <v>165.0</v>
      </c>
      <c r="K465" s="72">
        <f>Attaccanti!I21</f>
        <v>73</v>
      </c>
      <c r="L465" s="73">
        <f>Attaccanti!AE21</f>
        <v>5.5</v>
      </c>
      <c r="M465" s="74">
        <f>Attaccanti!B21</f>
        <v>33.6</v>
      </c>
      <c r="N465" s="71">
        <f>Attaccanti!A21</f>
        <v>18</v>
      </c>
      <c r="O465" s="71" t="s">
        <v>68</v>
      </c>
      <c r="P465" s="71">
        <v>0.0</v>
      </c>
      <c r="R465" s="71" t="s">
        <v>84</v>
      </c>
      <c r="S465" s="71" t="s">
        <v>316</v>
      </c>
      <c r="T465" s="71" t="str">
        <f>Attaccanti!K21</f>
        <v>Top</v>
      </c>
      <c r="U465" s="71" t="s">
        <v>100</v>
      </c>
      <c r="V465" s="71">
        <v>2.0</v>
      </c>
      <c r="W465" s="71">
        <f t="shared" si="1"/>
        <v>13</v>
      </c>
    </row>
    <row r="466" ht="15.75" customHeight="1">
      <c r="A466" s="71" t="s">
        <v>1250</v>
      </c>
      <c r="B466" s="71" t="s">
        <v>74</v>
      </c>
      <c r="C466" s="71">
        <v>22.0</v>
      </c>
      <c r="D466" s="71" t="s">
        <v>374</v>
      </c>
      <c r="E466" s="71" t="s">
        <v>1241</v>
      </c>
      <c r="F466" s="71" t="s">
        <v>177</v>
      </c>
      <c r="G466" s="71" t="s">
        <v>287</v>
      </c>
      <c r="H466" s="71">
        <v>11.0</v>
      </c>
      <c r="I466" s="71">
        <v>11.0</v>
      </c>
      <c r="J466" s="71">
        <v>52.0</v>
      </c>
      <c r="K466" s="72">
        <f>Attaccanti!I22</f>
        <v>36</v>
      </c>
      <c r="L466" s="73">
        <f>Attaccanti!AE22</f>
        <v>6.41</v>
      </c>
      <c r="M466" s="74">
        <f>Attaccanti!B22</f>
        <v>32.7</v>
      </c>
      <c r="N466" s="71">
        <f>Attaccanti!A22</f>
        <v>19</v>
      </c>
      <c r="O466" s="71" t="s">
        <v>68</v>
      </c>
      <c r="P466" s="71">
        <v>37.0</v>
      </c>
      <c r="Q466" s="71">
        <v>6.41</v>
      </c>
      <c r="R466" s="71" t="s">
        <v>84</v>
      </c>
      <c r="S466" s="71" t="s">
        <v>354</v>
      </c>
      <c r="T466" s="71" t="str">
        <f>Attaccanti!K22</f>
        <v>1a fascia</v>
      </c>
      <c r="U466" s="71" t="s">
        <v>70</v>
      </c>
      <c r="V466" s="71">
        <v>2.0</v>
      </c>
      <c r="W466" s="71">
        <f t="shared" si="1"/>
        <v>52</v>
      </c>
    </row>
    <row r="467" ht="15.75" customHeight="1">
      <c r="A467" s="71" t="s">
        <v>1254</v>
      </c>
      <c r="B467" s="71" t="s">
        <v>74</v>
      </c>
      <c r="C467" s="71">
        <v>23.0</v>
      </c>
      <c r="D467" s="71" t="s">
        <v>379</v>
      </c>
      <c r="E467" s="71" t="s">
        <v>1243</v>
      </c>
      <c r="F467" s="71" t="s">
        <v>253</v>
      </c>
      <c r="G467" s="71" t="s">
        <v>287</v>
      </c>
      <c r="H467" s="71">
        <v>13.0</v>
      </c>
      <c r="I467" s="71">
        <v>12.0</v>
      </c>
      <c r="J467" s="71">
        <v>40.0</v>
      </c>
      <c r="K467" s="72">
        <f>Attaccanti!I23</f>
        <v>31</v>
      </c>
      <c r="L467" s="73">
        <f>Attaccanti!AE23</f>
        <v>6.88</v>
      </c>
      <c r="M467" s="74">
        <f>Attaccanti!B23</f>
        <v>32</v>
      </c>
      <c r="N467" s="71">
        <f>Attaccanti!A23</f>
        <v>20</v>
      </c>
      <c r="O467" s="71" t="s">
        <v>226</v>
      </c>
      <c r="P467" s="71">
        <v>36.0</v>
      </c>
      <c r="Q467" s="71">
        <v>6.88</v>
      </c>
      <c r="R467" s="71" t="s">
        <v>160</v>
      </c>
      <c r="S467" s="71" t="s">
        <v>291</v>
      </c>
      <c r="T467" s="71" t="str">
        <f>Attaccanti!K23</f>
        <v>1a fascia</v>
      </c>
      <c r="U467" s="71" t="s">
        <v>227</v>
      </c>
      <c r="V467" s="71">
        <v>0.0</v>
      </c>
      <c r="W467" s="71">
        <f t="shared" si="1"/>
        <v>83</v>
      </c>
    </row>
    <row r="468" ht="15.75" customHeight="1">
      <c r="A468" s="71" t="s">
        <v>1255</v>
      </c>
      <c r="B468" s="71" t="s">
        <v>74</v>
      </c>
      <c r="C468" s="71">
        <v>24.0</v>
      </c>
      <c r="D468" s="71" t="s">
        <v>383</v>
      </c>
      <c r="E468" s="71" t="s">
        <v>1205</v>
      </c>
      <c r="F468" s="71" t="s">
        <v>60</v>
      </c>
      <c r="G468" s="71" t="s">
        <v>287</v>
      </c>
      <c r="H468" s="71">
        <v>14.0</v>
      </c>
      <c r="I468" s="71">
        <v>14.0</v>
      </c>
      <c r="J468" s="71">
        <v>70.0</v>
      </c>
      <c r="K468" s="72">
        <f>Attaccanti!I24</f>
        <v>44</v>
      </c>
      <c r="L468" s="73">
        <f>Attaccanti!AE24</f>
        <v>6.51</v>
      </c>
      <c r="M468" s="74">
        <f>Attaccanti!B24</f>
        <v>30.2</v>
      </c>
      <c r="N468" s="71">
        <f>Attaccanti!A24</f>
        <v>21</v>
      </c>
      <c r="O468" s="71" t="s">
        <v>226</v>
      </c>
      <c r="P468" s="71">
        <v>35.0</v>
      </c>
      <c r="Q468" s="71">
        <v>6.51</v>
      </c>
      <c r="R468" s="71" t="s">
        <v>160</v>
      </c>
      <c r="S468" s="71" t="s">
        <v>340</v>
      </c>
      <c r="T468" s="71" t="str">
        <f>Attaccanti!K24</f>
        <v>1a fascia</v>
      </c>
      <c r="U468" s="71" t="s">
        <v>300</v>
      </c>
      <c r="V468" s="71">
        <v>2.0</v>
      </c>
      <c r="W468" s="71">
        <f t="shared" si="1"/>
        <v>41</v>
      </c>
    </row>
    <row r="469" ht="15.75" customHeight="1">
      <c r="A469" s="71" t="s">
        <v>1258</v>
      </c>
      <c r="B469" s="71" t="s">
        <v>74</v>
      </c>
      <c r="C469" s="71">
        <v>25.0</v>
      </c>
      <c r="D469" s="71" t="s">
        <v>390</v>
      </c>
      <c r="E469" s="71" t="s">
        <v>1205</v>
      </c>
      <c r="F469" s="71" t="s">
        <v>60</v>
      </c>
      <c r="G469" s="71" t="s">
        <v>287</v>
      </c>
      <c r="H469" s="71">
        <v>12.0</v>
      </c>
      <c r="I469" s="71">
        <v>13.0</v>
      </c>
      <c r="J469" s="71">
        <v>48.0</v>
      </c>
      <c r="K469" s="72">
        <f>Attaccanti!I25</f>
        <v>35</v>
      </c>
      <c r="L469" s="73">
        <f>Attaccanti!AE25</f>
        <v>6.83</v>
      </c>
      <c r="M469" s="74">
        <f>Attaccanti!B25</f>
        <v>28.7</v>
      </c>
      <c r="N469" s="71">
        <f>Attaccanti!A25</f>
        <v>22</v>
      </c>
      <c r="O469" s="71" t="s">
        <v>332</v>
      </c>
      <c r="P469" s="71">
        <v>32.0</v>
      </c>
      <c r="Q469" s="71">
        <v>6.83</v>
      </c>
      <c r="R469" s="71" t="s">
        <v>71</v>
      </c>
      <c r="S469" s="71" t="s">
        <v>340</v>
      </c>
      <c r="T469" s="71" t="str">
        <f>Attaccanti!K25</f>
        <v>1a fascia</v>
      </c>
      <c r="U469" s="71" t="s">
        <v>392</v>
      </c>
      <c r="V469" s="71">
        <v>2.0</v>
      </c>
      <c r="W469" s="71">
        <f t="shared" si="1"/>
        <v>63</v>
      </c>
    </row>
    <row r="470" ht="15.75" customHeight="1">
      <c r="A470" s="71" t="s">
        <v>340</v>
      </c>
      <c r="B470" s="71" t="s">
        <v>74</v>
      </c>
      <c r="C470" s="71">
        <v>26.0</v>
      </c>
      <c r="D470" s="71" t="s">
        <v>395</v>
      </c>
      <c r="E470" s="71" t="s">
        <v>1219</v>
      </c>
      <c r="F470" s="71" t="s">
        <v>195</v>
      </c>
      <c r="G470" s="71" t="s">
        <v>287</v>
      </c>
      <c r="H470" s="71">
        <v>13.0</v>
      </c>
      <c r="I470" s="71">
        <v>12.0</v>
      </c>
      <c r="J470" s="71">
        <v>53.0</v>
      </c>
      <c r="K470" s="72">
        <f>Attaccanti!I26</f>
        <v>37</v>
      </c>
      <c r="L470" s="73">
        <f>Attaccanti!AE26</f>
        <v>6.62</v>
      </c>
      <c r="M470" s="74">
        <f>Attaccanti!B26</f>
        <v>26.1</v>
      </c>
      <c r="N470" s="71">
        <f>Attaccanti!A26</f>
        <v>23</v>
      </c>
      <c r="O470" s="71" t="s">
        <v>68</v>
      </c>
      <c r="P470" s="71">
        <v>34.0</v>
      </c>
      <c r="Q470" s="71">
        <v>6.62</v>
      </c>
      <c r="R470" s="71" t="s">
        <v>71</v>
      </c>
      <c r="S470" s="71" t="s">
        <v>266</v>
      </c>
      <c r="T470" s="71" t="str">
        <f>Attaccanti!K26</f>
        <v>1a fascia</v>
      </c>
      <c r="U470" s="71" t="s">
        <v>214</v>
      </c>
      <c r="V470" s="71">
        <v>0.0</v>
      </c>
      <c r="W470" s="71">
        <f t="shared" si="1"/>
        <v>50</v>
      </c>
    </row>
    <row r="471" ht="15.75" customHeight="1">
      <c r="A471" s="71" t="s">
        <v>480</v>
      </c>
      <c r="B471" s="71" t="s">
        <v>74</v>
      </c>
      <c r="C471" s="71">
        <v>27.0</v>
      </c>
      <c r="D471" s="71" t="s">
        <v>400</v>
      </c>
      <c r="E471" s="71" t="s">
        <v>1225</v>
      </c>
      <c r="F471" s="71" t="s">
        <v>208</v>
      </c>
      <c r="G471" s="71" t="s">
        <v>287</v>
      </c>
      <c r="H471" s="71">
        <v>15.0</v>
      </c>
      <c r="I471" s="71">
        <v>14.0</v>
      </c>
      <c r="J471" s="71">
        <v>40.0</v>
      </c>
      <c r="K471" s="72">
        <f>Attaccanti!I27</f>
        <v>31</v>
      </c>
      <c r="L471" s="73">
        <f>Attaccanti!AE27</f>
        <v>6.65</v>
      </c>
      <c r="M471" s="74">
        <f>Attaccanti!B27</f>
        <v>24.9</v>
      </c>
      <c r="N471" s="71">
        <f>Attaccanti!A27</f>
        <v>24</v>
      </c>
      <c r="O471" s="71" t="s">
        <v>68</v>
      </c>
      <c r="P471" s="71">
        <v>37.0</v>
      </c>
      <c r="Q471" s="71">
        <v>6.65</v>
      </c>
      <c r="R471" s="71" t="s">
        <v>71</v>
      </c>
      <c r="S471" s="71" t="s">
        <v>404</v>
      </c>
      <c r="T471" s="71" t="str">
        <f>Attaccanti!K27</f>
        <v>1a fascia</v>
      </c>
      <c r="U471" s="71" t="s">
        <v>100</v>
      </c>
      <c r="V471" s="71">
        <v>2.0</v>
      </c>
      <c r="W471" s="71">
        <f t="shared" si="1"/>
        <v>83</v>
      </c>
    </row>
    <row r="472" ht="15.75" customHeight="1">
      <c r="A472" s="71" t="s">
        <v>1262</v>
      </c>
      <c r="B472" s="71" t="s">
        <v>74</v>
      </c>
      <c r="C472" s="71">
        <v>28.0</v>
      </c>
      <c r="D472" s="71" t="s">
        <v>407</v>
      </c>
      <c r="E472" s="71" t="s">
        <v>1209</v>
      </c>
      <c r="F472" s="71" t="s">
        <v>64</v>
      </c>
      <c r="G472" s="71" t="s">
        <v>287</v>
      </c>
      <c r="H472" s="71">
        <v>7.0</v>
      </c>
      <c r="I472" s="71">
        <v>7.0</v>
      </c>
      <c r="J472" s="71">
        <v>15.0</v>
      </c>
      <c r="K472" s="72">
        <f>Attaccanti!I28</f>
        <v>17</v>
      </c>
      <c r="L472" s="73">
        <f>Attaccanti!AE28</f>
        <v>6.83</v>
      </c>
      <c r="M472" s="74">
        <f>Attaccanti!B28</f>
        <v>24.3</v>
      </c>
      <c r="N472" s="71">
        <f>Attaccanti!A28</f>
        <v>25</v>
      </c>
      <c r="O472" s="71" t="s">
        <v>332</v>
      </c>
      <c r="P472" s="71">
        <v>27.0</v>
      </c>
      <c r="Q472" s="71">
        <v>6.83</v>
      </c>
      <c r="R472" s="71" t="s">
        <v>71</v>
      </c>
      <c r="S472" s="71" t="s">
        <v>256</v>
      </c>
      <c r="T472" s="71" t="str">
        <f>Attaccanti!K28</f>
        <v>2a fascia</v>
      </c>
      <c r="U472" s="71" t="s">
        <v>408</v>
      </c>
      <c r="V472" s="71">
        <v>1.0</v>
      </c>
      <c r="W472" s="71">
        <f t="shared" si="1"/>
        <v>224</v>
      </c>
    </row>
    <row r="473" ht="15.75" customHeight="1">
      <c r="A473" s="71" t="s">
        <v>1266</v>
      </c>
      <c r="B473" s="71" t="s">
        <v>74</v>
      </c>
      <c r="C473" s="71">
        <v>29.0</v>
      </c>
      <c r="D473" s="71" t="s">
        <v>411</v>
      </c>
      <c r="E473" s="71" t="s">
        <v>1217</v>
      </c>
      <c r="F473" s="71" t="s">
        <v>191</v>
      </c>
      <c r="G473" s="71" t="s">
        <v>287</v>
      </c>
      <c r="H473" s="71">
        <v>14.0</v>
      </c>
      <c r="I473" s="71">
        <v>14.0</v>
      </c>
      <c r="J473" s="71">
        <v>61.0</v>
      </c>
      <c r="K473" s="72">
        <f>Attaccanti!I29</f>
        <v>40</v>
      </c>
      <c r="L473" s="73">
        <f>Attaccanti!AE29</f>
        <v>6.4</v>
      </c>
      <c r="M473" s="74">
        <f>Attaccanti!B29</f>
        <v>23.8</v>
      </c>
      <c r="N473" s="71">
        <f>Attaccanti!A29</f>
        <v>26</v>
      </c>
      <c r="O473" s="71" t="s">
        <v>68</v>
      </c>
      <c r="P473" s="71">
        <v>13.0</v>
      </c>
      <c r="Q473" s="71">
        <v>7.23</v>
      </c>
      <c r="R473" s="71" t="s">
        <v>71</v>
      </c>
      <c r="S473" s="71" t="s">
        <v>266</v>
      </c>
      <c r="T473" s="71" t="str">
        <f>Attaccanti!K29</f>
        <v>1a fascia</v>
      </c>
      <c r="U473" s="71" t="s">
        <v>70</v>
      </c>
      <c r="V473" s="71">
        <v>2.0</v>
      </c>
      <c r="W473" s="71">
        <f t="shared" si="1"/>
        <v>46</v>
      </c>
    </row>
    <row r="474" ht="15.75" customHeight="1">
      <c r="A474" s="71" t="s">
        <v>1269</v>
      </c>
      <c r="B474" s="71" t="s">
        <v>74</v>
      </c>
      <c r="C474" s="71">
        <v>30.0</v>
      </c>
      <c r="D474" s="71" t="s">
        <v>416</v>
      </c>
      <c r="E474" s="71" t="s">
        <v>1228</v>
      </c>
      <c r="F474" s="71" t="s">
        <v>212</v>
      </c>
      <c r="G474" s="71" t="s">
        <v>287</v>
      </c>
      <c r="H474" s="71">
        <v>9.0</v>
      </c>
      <c r="I474" s="71">
        <v>10.0</v>
      </c>
      <c r="J474" s="71">
        <v>33.0</v>
      </c>
      <c r="K474" s="72">
        <f>Attaccanti!I30</f>
        <v>28</v>
      </c>
      <c r="L474" s="73">
        <f>Attaccanti!AE30</f>
        <v>6.64</v>
      </c>
      <c r="M474" s="74">
        <f>Attaccanti!B30</f>
        <v>23.8</v>
      </c>
      <c r="N474" s="71">
        <f>Attaccanti!A30</f>
        <v>26</v>
      </c>
      <c r="O474" s="71" t="s">
        <v>68</v>
      </c>
      <c r="P474" s="71">
        <v>32.0</v>
      </c>
      <c r="Q474" s="71">
        <v>6.64</v>
      </c>
      <c r="R474" s="71" t="s">
        <v>71</v>
      </c>
      <c r="S474" s="71" t="s">
        <v>354</v>
      </c>
      <c r="T474" s="71" t="str">
        <f>Attaccanti!K30</f>
        <v>2a fascia</v>
      </c>
      <c r="U474" s="71" t="s">
        <v>70</v>
      </c>
      <c r="V474" s="71">
        <v>2.0</v>
      </c>
      <c r="W474" s="71">
        <f t="shared" si="1"/>
        <v>102</v>
      </c>
    </row>
    <row r="475" ht="15.75" customHeight="1">
      <c r="A475" s="71" t="s">
        <v>626</v>
      </c>
      <c r="B475" s="71" t="s">
        <v>74</v>
      </c>
      <c r="C475" s="71">
        <v>31.0</v>
      </c>
      <c r="D475" s="71" t="s">
        <v>421</v>
      </c>
      <c r="E475" s="71" t="s">
        <v>1207</v>
      </c>
      <c r="F475" s="71" t="s">
        <v>93</v>
      </c>
      <c r="G475" s="71" t="s">
        <v>287</v>
      </c>
      <c r="H475" s="71">
        <v>23.0</v>
      </c>
      <c r="I475" s="71">
        <v>23.0</v>
      </c>
      <c r="J475" s="71">
        <v>160.0</v>
      </c>
      <c r="K475" s="72">
        <f>Attaccanti!I31</f>
        <v>72</v>
      </c>
      <c r="L475" s="73">
        <f>Attaccanti!AE31</f>
        <v>5.5</v>
      </c>
      <c r="M475" s="74">
        <f>Attaccanti!B31</f>
        <v>22.9</v>
      </c>
      <c r="N475" s="71">
        <f>Attaccanti!A31</f>
        <v>28</v>
      </c>
      <c r="O475" s="71" t="s">
        <v>68</v>
      </c>
      <c r="P475" s="71">
        <v>0.0</v>
      </c>
      <c r="R475" s="71" t="s">
        <v>71</v>
      </c>
      <c r="S475" s="71" t="s">
        <v>316</v>
      </c>
      <c r="T475" s="71" t="str">
        <f>Attaccanti!K31</f>
        <v>Top</v>
      </c>
      <c r="U475" s="71" t="s">
        <v>214</v>
      </c>
      <c r="V475" s="71">
        <v>0.0</v>
      </c>
      <c r="W475" s="71">
        <f t="shared" si="1"/>
        <v>14</v>
      </c>
    </row>
    <row r="476" ht="15.75" customHeight="1">
      <c r="A476" s="71" t="s">
        <v>585</v>
      </c>
      <c r="B476" s="71" t="s">
        <v>74</v>
      </c>
      <c r="C476" s="71">
        <v>32.0</v>
      </c>
      <c r="D476" s="71" t="s">
        <v>425</v>
      </c>
      <c r="E476" s="71" t="s">
        <v>1210</v>
      </c>
      <c r="F476" s="71" t="s">
        <v>143</v>
      </c>
      <c r="G476" s="71" t="s">
        <v>287</v>
      </c>
      <c r="H476" s="71">
        <v>13.0</v>
      </c>
      <c r="I476" s="71">
        <v>14.0</v>
      </c>
      <c r="J476" s="71">
        <v>73.0</v>
      </c>
      <c r="K476" s="72">
        <f>Attaccanti!I32</f>
        <v>45</v>
      </c>
      <c r="L476" s="73">
        <f>Attaccanti!AE32</f>
        <v>6.22</v>
      </c>
      <c r="M476" s="74">
        <f>Attaccanti!B32</f>
        <v>22.5</v>
      </c>
      <c r="N476" s="71">
        <f>Attaccanti!A32</f>
        <v>29</v>
      </c>
      <c r="O476" s="71" t="s">
        <v>332</v>
      </c>
      <c r="P476" s="71">
        <v>13.0</v>
      </c>
      <c r="Q476" s="71">
        <v>6.88</v>
      </c>
      <c r="R476" s="71" t="s">
        <v>71</v>
      </c>
      <c r="S476" s="71" t="s">
        <v>368</v>
      </c>
      <c r="T476" s="71" t="str">
        <f>Attaccanti!K32</f>
        <v>1a fascia</v>
      </c>
      <c r="U476" s="71" t="s">
        <v>392</v>
      </c>
      <c r="V476" s="71">
        <v>2.0</v>
      </c>
      <c r="W476" s="71">
        <f t="shared" si="1"/>
        <v>39</v>
      </c>
    </row>
    <row r="477" ht="15.75" customHeight="1">
      <c r="A477" s="71" t="s">
        <v>612</v>
      </c>
      <c r="B477" s="71" t="s">
        <v>74</v>
      </c>
      <c r="C477" s="71">
        <v>33.0</v>
      </c>
      <c r="D477" s="71" t="s">
        <v>431</v>
      </c>
      <c r="E477" s="71" t="s">
        <v>1241</v>
      </c>
      <c r="F477" s="71" t="s">
        <v>177</v>
      </c>
      <c r="G477" s="71" t="s">
        <v>287</v>
      </c>
      <c r="H477" s="71">
        <v>8.0</v>
      </c>
      <c r="I477" s="71">
        <v>8.0</v>
      </c>
      <c r="J477" s="71">
        <v>13.0</v>
      </c>
      <c r="K477" s="72">
        <f>Attaccanti!I33</f>
        <v>16</v>
      </c>
      <c r="L477" s="73">
        <f>Attaccanti!AE33</f>
        <v>6.39</v>
      </c>
      <c r="M477" s="74">
        <f>Attaccanti!B33</f>
        <v>22.5</v>
      </c>
      <c r="N477" s="71">
        <f>Attaccanti!A33</f>
        <v>29</v>
      </c>
      <c r="O477" s="71" t="s">
        <v>226</v>
      </c>
      <c r="P477" s="71">
        <v>31.0</v>
      </c>
      <c r="Q477" s="71">
        <v>6.39</v>
      </c>
      <c r="R477" s="71" t="s">
        <v>160</v>
      </c>
      <c r="S477" s="71" t="s">
        <v>354</v>
      </c>
      <c r="T477" s="71" t="str">
        <f>Attaccanti!K33</f>
        <v>2a fascia</v>
      </c>
      <c r="U477" s="71" t="s">
        <v>277</v>
      </c>
      <c r="V477" s="71">
        <v>2.0</v>
      </c>
      <c r="W477" s="71">
        <f t="shared" si="1"/>
        <v>262</v>
      </c>
    </row>
    <row r="478" ht="15.75" customHeight="1">
      <c r="A478" s="71" t="s">
        <v>368</v>
      </c>
      <c r="B478" s="71" t="s">
        <v>74</v>
      </c>
      <c r="C478" s="71">
        <v>34.0</v>
      </c>
      <c r="D478" s="71" t="s">
        <v>437</v>
      </c>
      <c r="E478" s="71" t="s">
        <v>1237</v>
      </c>
      <c r="F478" s="71" t="s">
        <v>239</v>
      </c>
      <c r="G478" s="71" t="s">
        <v>287</v>
      </c>
      <c r="H478" s="71">
        <v>5.0</v>
      </c>
      <c r="I478" s="71">
        <v>5.0</v>
      </c>
      <c r="J478" s="71">
        <v>21.0</v>
      </c>
      <c r="K478" s="72">
        <f>Attaccanti!I34</f>
        <v>21</v>
      </c>
      <c r="L478" s="73">
        <f>Attaccanti!AE34</f>
        <v>6.08</v>
      </c>
      <c r="M478" s="74">
        <f>Attaccanti!B34</f>
        <v>22.4</v>
      </c>
      <c r="N478" s="71">
        <f>Attaccanti!A34</f>
        <v>31</v>
      </c>
      <c r="O478" s="71" t="s">
        <v>226</v>
      </c>
      <c r="P478" s="71">
        <v>18.0</v>
      </c>
      <c r="Q478" s="71">
        <v>6.31</v>
      </c>
      <c r="R478" s="71" t="s">
        <v>77</v>
      </c>
      <c r="S478" s="71" t="s">
        <v>439</v>
      </c>
      <c r="T478" s="71" t="str">
        <f>Attaccanti!K34</f>
        <v>2a fascia</v>
      </c>
      <c r="U478" s="71" t="s">
        <v>300</v>
      </c>
      <c r="V478" s="71">
        <v>2.0</v>
      </c>
      <c r="W478" s="71">
        <f t="shared" si="1"/>
        <v>167</v>
      </c>
    </row>
    <row r="479" ht="15.75" customHeight="1">
      <c r="A479" s="71" t="s">
        <v>607</v>
      </c>
      <c r="B479" s="71" t="s">
        <v>74</v>
      </c>
      <c r="C479" s="71">
        <v>35.0</v>
      </c>
      <c r="D479" s="71" t="s">
        <v>443</v>
      </c>
      <c r="E479" s="71" t="s">
        <v>1222</v>
      </c>
      <c r="F479" s="71" t="s">
        <v>182</v>
      </c>
      <c r="G479" s="71" t="s">
        <v>287</v>
      </c>
      <c r="H479" s="71">
        <v>16.0</v>
      </c>
      <c r="I479" s="71">
        <v>15.0</v>
      </c>
      <c r="J479" s="71">
        <v>51.0</v>
      </c>
      <c r="K479" s="72">
        <f>Attaccanti!I35</f>
        <v>36</v>
      </c>
      <c r="L479" s="73">
        <f>Attaccanti!AE35</f>
        <v>6.16</v>
      </c>
      <c r="M479" s="74">
        <f>Attaccanti!B35</f>
        <v>22.2</v>
      </c>
      <c r="N479" s="71">
        <f>Attaccanti!A35</f>
        <v>32</v>
      </c>
      <c r="O479" s="71" t="s">
        <v>68</v>
      </c>
      <c r="P479" s="71">
        <v>13.0</v>
      </c>
      <c r="Q479" s="71">
        <v>6.77</v>
      </c>
      <c r="R479" s="71" t="s">
        <v>160</v>
      </c>
      <c r="S479" s="71" t="s">
        <v>244</v>
      </c>
      <c r="T479" s="71" t="str">
        <f>Attaccanti!K35</f>
        <v>1a fascia</v>
      </c>
      <c r="U479" s="71" t="s">
        <v>100</v>
      </c>
      <c r="V479" s="71">
        <v>2.0</v>
      </c>
      <c r="W479" s="71">
        <f t="shared" si="1"/>
        <v>54</v>
      </c>
    </row>
    <row r="480" ht="15.75" customHeight="1">
      <c r="A480" s="71" t="s">
        <v>1280</v>
      </c>
      <c r="B480" s="71" t="s">
        <v>74</v>
      </c>
      <c r="C480" s="71">
        <v>36.0</v>
      </c>
      <c r="D480" s="71" t="s">
        <v>446</v>
      </c>
      <c r="E480" s="71" t="s">
        <v>1217</v>
      </c>
      <c r="F480" s="71" t="s">
        <v>191</v>
      </c>
      <c r="G480" s="71" t="s">
        <v>287</v>
      </c>
      <c r="H480" s="71">
        <v>6.0</v>
      </c>
      <c r="I480" s="71">
        <v>6.0</v>
      </c>
      <c r="J480" s="71">
        <v>20.0</v>
      </c>
      <c r="K480" s="72">
        <f>Attaccanti!I36</f>
        <v>21</v>
      </c>
      <c r="L480" s="73">
        <f>Attaccanti!AE36</f>
        <v>6.36</v>
      </c>
      <c r="M480" s="74">
        <f>Attaccanti!B36</f>
        <v>19.4</v>
      </c>
      <c r="N480" s="71">
        <f>Attaccanti!A36</f>
        <v>33</v>
      </c>
      <c r="O480" s="71" t="s">
        <v>226</v>
      </c>
      <c r="P480" s="71">
        <v>16.0</v>
      </c>
      <c r="Q480" s="71">
        <v>6.84</v>
      </c>
      <c r="R480" s="71" t="s">
        <v>71</v>
      </c>
      <c r="S480" s="71" t="s">
        <v>266</v>
      </c>
      <c r="T480" s="71" t="str">
        <f>Attaccanti!K36</f>
        <v>2a fascia</v>
      </c>
      <c r="U480" s="71" t="s">
        <v>281</v>
      </c>
      <c r="V480" s="71">
        <v>0.0</v>
      </c>
      <c r="W480" s="71">
        <f t="shared" si="1"/>
        <v>173</v>
      </c>
    </row>
    <row r="481" ht="15.75" customHeight="1">
      <c r="A481" s="71" t="s">
        <v>512</v>
      </c>
      <c r="B481" s="71" t="s">
        <v>74</v>
      </c>
      <c r="C481" s="71">
        <v>37.0</v>
      </c>
      <c r="D481" s="71" t="s">
        <v>450</v>
      </c>
      <c r="E481" s="71" t="s">
        <v>1236</v>
      </c>
      <c r="F481" s="71" t="s">
        <v>232</v>
      </c>
      <c r="G481" s="71" t="s">
        <v>287</v>
      </c>
      <c r="H481" s="71">
        <v>7.0</v>
      </c>
      <c r="I481" s="71">
        <v>6.0</v>
      </c>
      <c r="J481" s="71">
        <v>11.0</v>
      </c>
      <c r="K481" s="72">
        <f>Attaccanti!I37</f>
        <v>14</v>
      </c>
      <c r="L481" s="73">
        <f>Attaccanti!AE37</f>
        <v>6.12</v>
      </c>
      <c r="M481" s="74">
        <f>Attaccanti!B37</f>
        <v>18.7</v>
      </c>
      <c r="N481" s="71">
        <f>Attaccanti!A37</f>
        <v>34</v>
      </c>
      <c r="O481" s="71" t="s">
        <v>68</v>
      </c>
      <c r="P481" s="71">
        <v>30.0</v>
      </c>
      <c r="Q481" s="71">
        <v>6.12</v>
      </c>
      <c r="R481" s="71" t="s">
        <v>77</v>
      </c>
      <c r="S481" s="71" t="s">
        <v>452</v>
      </c>
      <c r="T481" s="71" t="str">
        <f>Attaccanti!K37</f>
        <v>3a fascia</v>
      </c>
      <c r="U481" s="71" t="s">
        <v>70</v>
      </c>
      <c r="V481" s="71">
        <v>2.0</v>
      </c>
      <c r="W481" s="71">
        <f t="shared" si="1"/>
        <v>323</v>
      </c>
    </row>
    <row r="482" ht="15.75" customHeight="1">
      <c r="A482" s="71" t="s">
        <v>1286</v>
      </c>
      <c r="B482" s="71" t="s">
        <v>74</v>
      </c>
      <c r="C482" s="71">
        <v>38.0</v>
      </c>
      <c r="D482" s="71" t="s">
        <v>453</v>
      </c>
      <c r="E482" s="71" t="s">
        <v>1207</v>
      </c>
      <c r="F482" s="71" t="s">
        <v>93</v>
      </c>
      <c r="G482" s="71" t="s">
        <v>287</v>
      </c>
      <c r="H482" s="71">
        <v>6.0</v>
      </c>
      <c r="I482" s="71">
        <v>7.0</v>
      </c>
      <c r="J482" s="71">
        <v>27.0</v>
      </c>
      <c r="K482" s="72">
        <f>Attaccanti!I38</f>
        <v>25</v>
      </c>
      <c r="L482" s="73">
        <f>Attaccanti!AE38</f>
        <v>6.36</v>
      </c>
      <c r="M482" s="74">
        <f>Attaccanti!B38</f>
        <v>18.6</v>
      </c>
      <c r="N482" s="71">
        <f>Attaccanti!A38</f>
        <v>35</v>
      </c>
      <c r="O482" s="71" t="s">
        <v>332</v>
      </c>
      <c r="P482" s="71">
        <v>13.0</v>
      </c>
      <c r="Q482" s="71">
        <v>7.15</v>
      </c>
      <c r="R482" s="71" t="s">
        <v>71</v>
      </c>
      <c r="S482" s="71" t="s">
        <v>316</v>
      </c>
      <c r="T482" s="71" t="str">
        <f>Attaccanti!K38</f>
        <v>2a fascia</v>
      </c>
      <c r="U482" s="71" t="s">
        <v>392</v>
      </c>
      <c r="V482" s="71">
        <v>2.0</v>
      </c>
      <c r="W482" s="71">
        <f t="shared" si="1"/>
        <v>123</v>
      </c>
    </row>
    <row r="483" ht="15.75" customHeight="1">
      <c r="A483" s="71" t="s">
        <v>1290</v>
      </c>
      <c r="B483" s="71" t="s">
        <v>74</v>
      </c>
      <c r="C483" s="71">
        <v>39.0</v>
      </c>
      <c r="D483" s="71" t="s">
        <v>460</v>
      </c>
      <c r="E483" s="71" t="s">
        <v>1237</v>
      </c>
      <c r="F483" s="71" t="s">
        <v>239</v>
      </c>
      <c r="G483" s="71" t="s">
        <v>287</v>
      </c>
      <c r="H483" s="71">
        <v>4.0</v>
      </c>
      <c r="I483" s="71">
        <v>4.0</v>
      </c>
      <c r="J483" s="71">
        <v>9.0</v>
      </c>
      <c r="K483" s="72">
        <f>Attaccanti!I39</f>
        <v>13</v>
      </c>
      <c r="L483" s="73">
        <f>Attaccanti!AE39</f>
        <v>6.46</v>
      </c>
      <c r="M483" s="74">
        <f>Attaccanti!B39</f>
        <v>17.8</v>
      </c>
      <c r="N483" s="71">
        <f>Attaccanti!A39</f>
        <v>36</v>
      </c>
      <c r="O483" s="71" t="s">
        <v>332</v>
      </c>
      <c r="P483" s="71">
        <v>26.0</v>
      </c>
      <c r="Q483" s="71">
        <v>6.46</v>
      </c>
      <c r="R483" s="71" t="s">
        <v>71</v>
      </c>
      <c r="S483" s="71" t="s">
        <v>439</v>
      </c>
      <c r="T483" s="71" t="str">
        <f>Attaccanti!K39</f>
        <v>3a fascia</v>
      </c>
      <c r="U483" s="71" t="s">
        <v>408</v>
      </c>
      <c r="V483" s="71">
        <v>1.0</v>
      </c>
      <c r="W483" s="71">
        <f t="shared" si="1"/>
        <v>380</v>
      </c>
    </row>
    <row r="484" ht="15.75" customHeight="1">
      <c r="A484" s="71" t="s">
        <v>1294</v>
      </c>
      <c r="B484" s="71" t="s">
        <v>74</v>
      </c>
      <c r="C484" s="71">
        <v>40.0</v>
      </c>
      <c r="D484" s="71" t="s">
        <v>465</v>
      </c>
      <c r="E484" s="71" t="s">
        <v>1217</v>
      </c>
      <c r="F484" s="71" t="s">
        <v>191</v>
      </c>
      <c r="G484" s="71" t="s">
        <v>287</v>
      </c>
      <c r="H484" s="71">
        <v>4.0</v>
      </c>
      <c r="I484" s="71">
        <v>4.0</v>
      </c>
      <c r="J484" s="71">
        <v>7.0</v>
      </c>
      <c r="K484" s="72">
        <f>Attaccanti!I40</f>
        <v>11</v>
      </c>
      <c r="L484" s="73">
        <f>Attaccanti!AE40</f>
        <v>6.45</v>
      </c>
      <c r="M484" s="74">
        <f>Attaccanti!B40</f>
        <v>17.3</v>
      </c>
      <c r="N484" s="71">
        <f>Attaccanti!A40</f>
        <v>37</v>
      </c>
      <c r="O484" s="71" t="s">
        <v>332</v>
      </c>
      <c r="P484" s="71">
        <v>31.0</v>
      </c>
      <c r="Q484" s="71">
        <v>6.45</v>
      </c>
      <c r="R484" s="71" t="s">
        <v>71</v>
      </c>
      <c r="S484" s="71" t="s">
        <v>266</v>
      </c>
      <c r="T484" s="71" t="str">
        <f>Attaccanti!K40</f>
        <v>3a fascia</v>
      </c>
      <c r="U484" s="71" t="s">
        <v>333</v>
      </c>
      <c r="V484" s="71">
        <v>0.0</v>
      </c>
      <c r="W484" s="71">
        <f t="shared" si="1"/>
        <v>408</v>
      </c>
    </row>
    <row r="485" ht="15.75" customHeight="1">
      <c r="A485" s="71" t="s">
        <v>1298</v>
      </c>
      <c r="B485" s="71" t="s">
        <v>74</v>
      </c>
      <c r="C485" s="71">
        <v>41.0</v>
      </c>
      <c r="D485" s="71" t="s">
        <v>470</v>
      </c>
      <c r="E485" s="71" t="s">
        <v>1243</v>
      </c>
      <c r="F485" s="71" t="s">
        <v>253</v>
      </c>
      <c r="G485" s="71" t="s">
        <v>287</v>
      </c>
      <c r="H485" s="71">
        <v>10.0</v>
      </c>
      <c r="I485" s="71">
        <v>9.0</v>
      </c>
      <c r="J485" s="71">
        <v>32.0</v>
      </c>
      <c r="K485" s="72">
        <f>Attaccanti!I41</f>
        <v>27</v>
      </c>
      <c r="L485" s="73">
        <f>Attaccanti!AE41</f>
        <v>6.22</v>
      </c>
      <c r="M485" s="74">
        <f>Attaccanti!B41</f>
        <v>17.1</v>
      </c>
      <c r="N485" s="71">
        <f>Attaccanti!A41</f>
        <v>38</v>
      </c>
      <c r="O485" s="71" t="s">
        <v>332</v>
      </c>
      <c r="P485" s="71">
        <v>14.0</v>
      </c>
      <c r="Q485" s="71">
        <v>6.79</v>
      </c>
      <c r="R485" s="71" t="s">
        <v>71</v>
      </c>
      <c r="S485" s="71" t="s">
        <v>291</v>
      </c>
      <c r="T485" s="71" t="str">
        <f>Attaccanti!K41</f>
        <v>2a fascia</v>
      </c>
      <c r="U485" s="71" t="s">
        <v>473</v>
      </c>
      <c r="V485" s="71">
        <v>2.0</v>
      </c>
      <c r="W485" s="71">
        <f t="shared" si="1"/>
        <v>104</v>
      </c>
    </row>
    <row r="486" ht="15.75" customHeight="1">
      <c r="A486" s="71" t="s">
        <v>1300</v>
      </c>
      <c r="B486" s="71" t="s">
        <v>74</v>
      </c>
      <c r="C486" s="71">
        <v>42.0</v>
      </c>
      <c r="D486" s="71" t="s">
        <v>476</v>
      </c>
      <c r="E486" s="71" t="s">
        <v>1215</v>
      </c>
      <c r="F486" s="71" t="s">
        <v>133</v>
      </c>
      <c r="G486" s="71" t="s">
        <v>287</v>
      </c>
      <c r="H486" s="71">
        <v>11.0</v>
      </c>
      <c r="I486" s="71">
        <v>12.0</v>
      </c>
      <c r="J486" s="71">
        <v>50.0</v>
      </c>
      <c r="K486" s="72">
        <f>Attaccanti!I42</f>
        <v>36</v>
      </c>
      <c r="L486" s="73">
        <f>Attaccanti!AE42</f>
        <v>6.06</v>
      </c>
      <c r="M486" s="74">
        <f>Attaccanti!B42</f>
        <v>17</v>
      </c>
      <c r="N486" s="71">
        <f>Attaccanti!A42</f>
        <v>39</v>
      </c>
      <c r="O486" s="71" t="s">
        <v>226</v>
      </c>
      <c r="P486" s="71">
        <v>16.0</v>
      </c>
      <c r="Q486" s="71">
        <v>6.38</v>
      </c>
      <c r="R486" s="71" t="s">
        <v>71</v>
      </c>
      <c r="S486" s="71" t="s">
        <v>480</v>
      </c>
      <c r="T486" s="71" t="str">
        <f>Attaccanti!K42</f>
        <v>1a fascia</v>
      </c>
      <c r="U486" s="71" t="s">
        <v>277</v>
      </c>
      <c r="V486" s="71">
        <v>2.0</v>
      </c>
      <c r="W486" s="71">
        <f t="shared" si="1"/>
        <v>56</v>
      </c>
    </row>
    <row r="487" ht="15.75" customHeight="1">
      <c r="A487" s="71" t="s">
        <v>1302</v>
      </c>
      <c r="B487" s="71" t="s">
        <v>74</v>
      </c>
      <c r="C487" s="71">
        <v>43.0</v>
      </c>
      <c r="D487" s="71" t="s">
        <v>483</v>
      </c>
      <c r="E487" s="71" t="s">
        <v>1222</v>
      </c>
      <c r="F487" s="71" t="s">
        <v>182</v>
      </c>
      <c r="G487" s="71" t="s">
        <v>287</v>
      </c>
      <c r="H487" s="71">
        <v>8.0</v>
      </c>
      <c r="I487" s="71">
        <v>8.0</v>
      </c>
      <c r="J487" s="71">
        <v>29.0</v>
      </c>
      <c r="K487" s="72">
        <f>Attaccanti!I43</f>
        <v>26</v>
      </c>
      <c r="L487" s="73">
        <f>Attaccanti!AE43</f>
        <v>6.24</v>
      </c>
      <c r="M487" s="74">
        <f>Attaccanti!B43</f>
        <v>17</v>
      </c>
      <c r="N487" s="71">
        <f>Attaccanti!A43</f>
        <v>39</v>
      </c>
      <c r="O487" s="71" t="s">
        <v>68</v>
      </c>
      <c r="P487" s="71">
        <v>27.0</v>
      </c>
      <c r="Q487" s="71">
        <v>6.24</v>
      </c>
      <c r="R487" s="71" t="s">
        <v>71</v>
      </c>
      <c r="S487" s="71" t="s">
        <v>244</v>
      </c>
      <c r="T487" s="71" t="str">
        <f>Attaccanti!K43</f>
        <v>2a fascia</v>
      </c>
      <c r="U487" s="71" t="s">
        <v>100</v>
      </c>
      <c r="V487" s="71">
        <v>2.0</v>
      </c>
      <c r="W487" s="71">
        <f t="shared" si="1"/>
        <v>115</v>
      </c>
    </row>
    <row r="488" ht="15.75" customHeight="1">
      <c r="A488" s="71" t="s">
        <v>622</v>
      </c>
      <c r="B488" s="71" t="s">
        <v>74</v>
      </c>
      <c r="C488" s="71">
        <v>44.0</v>
      </c>
      <c r="D488" s="71" t="s">
        <v>487</v>
      </c>
      <c r="E488" s="71" t="s">
        <v>1219</v>
      </c>
      <c r="F488" s="71" t="s">
        <v>195</v>
      </c>
      <c r="G488" s="71" t="s">
        <v>287</v>
      </c>
      <c r="H488" s="71">
        <v>6.0</v>
      </c>
      <c r="I488" s="71">
        <v>6.0</v>
      </c>
      <c r="J488" s="71">
        <v>8.0</v>
      </c>
      <c r="K488" s="72">
        <f>Attaccanti!I44</f>
        <v>12</v>
      </c>
      <c r="L488" s="73">
        <f>Attaccanti!AE44</f>
        <v>6.42</v>
      </c>
      <c r="M488" s="74">
        <f>Attaccanti!B44</f>
        <v>17</v>
      </c>
      <c r="N488" s="71">
        <f>Attaccanti!A44</f>
        <v>39</v>
      </c>
      <c r="O488" s="71" t="s">
        <v>226</v>
      </c>
      <c r="P488" s="71">
        <v>23.0</v>
      </c>
      <c r="Q488" s="71">
        <v>6.5</v>
      </c>
      <c r="R488" s="71" t="s">
        <v>71</v>
      </c>
      <c r="S488" s="71" t="s">
        <v>266</v>
      </c>
      <c r="T488" s="71" t="str">
        <f>Attaccanti!K44</f>
        <v>3a fascia</v>
      </c>
      <c r="U488" s="71" t="s">
        <v>281</v>
      </c>
      <c r="V488" s="71">
        <v>0.0</v>
      </c>
      <c r="W488" s="71">
        <f t="shared" si="1"/>
        <v>384</v>
      </c>
    </row>
    <row r="489" ht="15.75" customHeight="1">
      <c r="A489" s="71" t="s">
        <v>703</v>
      </c>
      <c r="B489" s="71" t="s">
        <v>74</v>
      </c>
      <c r="C489" s="71">
        <v>45.0</v>
      </c>
      <c r="D489" s="71" t="s">
        <v>492</v>
      </c>
      <c r="E489" s="71" t="s">
        <v>1237</v>
      </c>
      <c r="F489" s="71" t="s">
        <v>239</v>
      </c>
      <c r="G489" s="71" t="s">
        <v>287</v>
      </c>
      <c r="H489" s="71">
        <v>13.0</v>
      </c>
      <c r="I489" s="71">
        <v>12.0</v>
      </c>
      <c r="J489" s="71">
        <v>36.0</v>
      </c>
      <c r="K489" s="72">
        <f>Attaccanti!I45</f>
        <v>29</v>
      </c>
      <c r="L489" s="73">
        <f>Attaccanti!AE45</f>
        <v>5.5</v>
      </c>
      <c r="M489" s="74">
        <f>Attaccanti!B45</f>
        <v>16.4</v>
      </c>
      <c r="N489" s="71">
        <f>Attaccanti!A45</f>
        <v>42</v>
      </c>
      <c r="O489" s="71" t="s">
        <v>68</v>
      </c>
      <c r="P489" s="71">
        <v>0.0</v>
      </c>
      <c r="R489" s="71" t="s">
        <v>84</v>
      </c>
      <c r="S489" s="71" t="s">
        <v>439</v>
      </c>
      <c r="T489" s="71" t="str">
        <f>Attaccanti!K45</f>
        <v>2a fascia</v>
      </c>
      <c r="U489" s="71" t="s">
        <v>294</v>
      </c>
      <c r="V489" s="71">
        <v>1.0</v>
      </c>
      <c r="W489" s="71">
        <f t="shared" si="1"/>
        <v>94</v>
      </c>
    </row>
    <row r="490" ht="15.75" customHeight="1">
      <c r="A490" s="71" t="s">
        <v>733</v>
      </c>
      <c r="B490" s="71" t="s">
        <v>74</v>
      </c>
      <c r="C490" s="71">
        <v>46.0</v>
      </c>
      <c r="D490" s="71" t="s">
        <v>496</v>
      </c>
      <c r="E490" s="71" t="s">
        <v>1207</v>
      </c>
      <c r="F490" s="71" t="s">
        <v>93</v>
      </c>
      <c r="G490" s="71" t="s">
        <v>287</v>
      </c>
      <c r="H490" s="71">
        <v>3.0</v>
      </c>
      <c r="I490" s="71">
        <v>3.0</v>
      </c>
      <c r="J490" s="71">
        <v>10.0</v>
      </c>
      <c r="K490" s="72">
        <f>Attaccanti!I46</f>
        <v>14</v>
      </c>
      <c r="L490" s="73">
        <f>Attaccanti!AE46</f>
        <v>6.28</v>
      </c>
      <c r="M490" s="74">
        <f>Attaccanti!B46</f>
        <v>15.1</v>
      </c>
      <c r="N490" s="71">
        <f>Attaccanti!A46</f>
        <v>43</v>
      </c>
      <c r="O490" s="71" t="s">
        <v>332</v>
      </c>
      <c r="P490" s="71">
        <v>25.0</v>
      </c>
      <c r="Q490" s="71">
        <v>6.28</v>
      </c>
      <c r="R490" s="71" t="s">
        <v>71</v>
      </c>
      <c r="S490" s="71" t="s">
        <v>316</v>
      </c>
      <c r="T490" s="71" t="str">
        <f>Attaccanti!K46</f>
        <v>3a fascia</v>
      </c>
      <c r="U490" s="71" t="s">
        <v>498</v>
      </c>
      <c r="V490" s="71">
        <v>0.0</v>
      </c>
      <c r="W490" s="71">
        <f t="shared" si="1"/>
        <v>342</v>
      </c>
    </row>
    <row r="491" ht="15.75" customHeight="1">
      <c r="A491" s="71" t="s">
        <v>1312</v>
      </c>
      <c r="B491" s="71" t="s">
        <v>74</v>
      </c>
      <c r="C491" s="71">
        <v>47.0</v>
      </c>
      <c r="D491" s="71" t="s">
        <v>502</v>
      </c>
      <c r="E491" s="71" t="s">
        <v>1237</v>
      </c>
      <c r="F491" s="71" t="s">
        <v>239</v>
      </c>
      <c r="G491" s="71" t="s">
        <v>287</v>
      </c>
      <c r="H491" s="71">
        <v>4.0</v>
      </c>
      <c r="I491" s="71">
        <v>4.0</v>
      </c>
      <c r="J491" s="71">
        <v>10.0</v>
      </c>
      <c r="K491" s="72">
        <f>Attaccanti!I47</f>
        <v>14</v>
      </c>
      <c r="L491" s="73">
        <f>Attaccanti!AE47</f>
        <v>6.26</v>
      </c>
      <c r="M491" s="74">
        <f>Attaccanti!B47</f>
        <v>14.8</v>
      </c>
      <c r="N491" s="71">
        <f>Attaccanti!A47</f>
        <v>44</v>
      </c>
      <c r="O491" s="71" t="s">
        <v>332</v>
      </c>
      <c r="P491" s="71">
        <v>27.0</v>
      </c>
      <c r="Q491" s="71">
        <v>6.26</v>
      </c>
      <c r="R491" s="71" t="s">
        <v>71</v>
      </c>
      <c r="S491" s="71" t="s">
        <v>439</v>
      </c>
      <c r="T491" s="71" t="str">
        <f>Attaccanti!K47</f>
        <v>3a fascia</v>
      </c>
      <c r="U491" s="71" t="s">
        <v>338</v>
      </c>
      <c r="V491" s="71">
        <v>0.0</v>
      </c>
      <c r="W491" s="71">
        <f t="shared" si="1"/>
        <v>342</v>
      </c>
    </row>
    <row r="492" ht="15.75" customHeight="1">
      <c r="A492" s="71" t="s">
        <v>658</v>
      </c>
      <c r="B492" s="71" t="s">
        <v>74</v>
      </c>
      <c r="C492" s="71">
        <v>48.0</v>
      </c>
      <c r="D492" s="71" t="s">
        <v>505</v>
      </c>
      <c r="E492" s="71" t="s">
        <v>1236</v>
      </c>
      <c r="F492" s="71" t="s">
        <v>232</v>
      </c>
      <c r="G492" s="71" t="s">
        <v>287</v>
      </c>
      <c r="H492" s="71">
        <v>9.0</v>
      </c>
      <c r="I492" s="71">
        <v>8.0</v>
      </c>
      <c r="J492" s="71">
        <v>23.0</v>
      </c>
      <c r="K492" s="72">
        <f>Attaccanti!I48</f>
        <v>22</v>
      </c>
      <c r="L492" s="73">
        <f>Attaccanti!AE48</f>
        <v>5.5</v>
      </c>
      <c r="M492" s="74">
        <f>Attaccanti!B48</f>
        <v>14.6</v>
      </c>
      <c r="N492" s="71">
        <f>Attaccanti!A48</f>
        <v>45</v>
      </c>
      <c r="O492" s="71" t="s">
        <v>68</v>
      </c>
      <c r="P492" s="71">
        <v>0.0</v>
      </c>
      <c r="R492" s="71" t="s">
        <v>84</v>
      </c>
      <c r="S492" s="71" t="s">
        <v>452</v>
      </c>
      <c r="T492" s="71" t="str">
        <f>Attaccanti!K48</f>
        <v>2a fascia</v>
      </c>
      <c r="U492" s="71" t="s">
        <v>507</v>
      </c>
      <c r="V492" s="71">
        <v>2.0</v>
      </c>
      <c r="W492" s="71">
        <f t="shared" si="1"/>
        <v>150</v>
      </c>
    </row>
    <row r="493" ht="15.75" customHeight="1">
      <c r="A493" s="71" t="s">
        <v>754</v>
      </c>
      <c r="B493" s="71" t="s">
        <v>74</v>
      </c>
      <c r="C493" s="71">
        <v>49.0</v>
      </c>
      <c r="D493" s="71" t="s">
        <v>510</v>
      </c>
      <c r="E493" s="71" t="s">
        <v>1252</v>
      </c>
      <c r="F493" s="71" t="s">
        <v>272</v>
      </c>
      <c r="G493" s="71" t="s">
        <v>287</v>
      </c>
      <c r="H493" s="71">
        <v>9.0</v>
      </c>
      <c r="I493" s="71">
        <v>9.0</v>
      </c>
      <c r="J493" s="71">
        <v>23.0</v>
      </c>
      <c r="K493" s="72">
        <f>Attaccanti!I49</f>
        <v>22</v>
      </c>
      <c r="L493" s="73">
        <f>Attaccanti!AE49</f>
        <v>5.74</v>
      </c>
      <c r="M493" s="74">
        <f>Attaccanti!B49</f>
        <v>14.4</v>
      </c>
      <c r="N493" s="71">
        <f>Attaccanti!A49</f>
        <v>46</v>
      </c>
      <c r="O493" s="71" t="s">
        <v>68</v>
      </c>
      <c r="P493" s="71">
        <v>14.0</v>
      </c>
      <c r="Q493" s="71">
        <v>5.93</v>
      </c>
      <c r="R493" s="71" t="s">
        <v>77</v>
      </c>
      <c r="S493" s="71" t="s">
        <v>512</v>
      </c>
      <c r="T493" s="71" t="str">
        <f>Attaccanti!K49</f>
        <v>2a fascia</v>
      </c>
      <c r="U493" s="71" t="s">
        <v>100</v>
      </c>
      <c r="V493" s="71">
        <v>2.0</v>
      </c>
      <c r="W493" s="71">
        <f t="shared" si="1"/>
        <v>150</v>
      </c>
    </row>
    <row r="494" ht="15.75" customHeight="1">
      <c r="A494" s="71" t="s">
        <v>452</v>
      </c>
      <c r="B494" s="71" t="s">
        <v>74</v>
      </c>
      <c r="C494" s="71">
        <v>50.0</v>
      </c>
      <c r="D494" s="71" t="s">
        <v>514</v>
      </c>
      <c r="E494" s="71" t="s">
        <v>1256</v>
      </c>
      <c r="F494" s="71" t="s">
        <v>283</v>
      </c>
      <c r="G494" s="71" t="s">
        <v>287</v>
      </c>
      <c r="H494" s="71">
        <v>11.0</v>
      </c>
      <c r="I494" s="71">
        <v>10.0</v>
      </c>
      <c r="J494" s="71">
        <v>37.0</v>
      </c>
      <c r="K494" s="72">
        <f>Attaccanti!I50</f>
        <v>30</v>
      </c>
      <c r="L494" s="73">
        <f>Attaccanti!AE50</f>
        <v>5.5</v>
      </c>
      <c r="M494" s="74">
        <f>Attaccanti!B50</f>
        <v>12.5</v>
      </c>
      <c r="N494" s="71">
        <f>Attaccanti!A50</f>
        <v>47</v>
      </c>
      <c r="O494" s="71" t="s">
        <v>68</v>
      </c>
      <c r="P494" s="71">
        <v>0.0</v>
      </c>
      <c r="R494" s="71" t="s">
        <v>77</v>
      </c>
      <c r="S494" s="71" t="s">
        <v>516</v>
      </c>
      <c r="T494" s="71" t="str">
        <f>Attaccanti!K50</f>
        <v>1a fascia</v>
      </c>
      <c r="U494" s="71" t="s">
        <v>100</v>
      </c>
      <c r="V494" s="71">
        <v>2.0</v>
      </c>
      <c r="W494" s="71">
        <f t="shared" si="1"/>
        <v>90</v>
      </c>
    </row>
    <row r="495" ht="15.75" customHeight="1">
      <c r="A495" s="71" t="s">
        <v>643</v>
      </c>
      <c r="B495" s="71" t="s">
        <v>74</v>
      </c>
      <c r="C495" s="71">
        <v>51.0</v>
      </c>
      <c r="D495" s="71" t="s">
        <v>519</v>
      </c>
      <c r="E495" s="71" t="s">
        <v>1210</v>
      </c>
      <c r="F495" s="71" t="s">
        <v>143</v>
      </c>
      <c r="G495" s="71" t="s">
        <v>287</v>
      </c>
      <c r="H495" s="71">
        <v>6.0</v>
      </c>
      <c r="I495" s="71">
        <v>6.0</v>
      </c>
      <c r="J495" s="71">
        <v>8.0</v>
      </c>
      <c r="K495" s="72">
        <f>Attaccanti!I51</f>
        <v>12</v>
      </c>
      <c r="L495" s="73">
        <f>Attaccanti!AE51</f>
        <v>6.12</v>
      </c>
      <c r="M495" s="74">
        <f>Attaccanti!B51</f>
        <v>12.3</v>
      </c>
      <c r="N495" s="71">
        <f>Attaccanti!A51</f>
        <v>48</v>
      </c>
      <c r="O495" s="71" t="s">
        <v>332</v>
      </c>
      <c r="P495" s="71">
        <v>21.0</v>
      </c>
      <c r="Q495" s="71">
        <v>6.24</v>
      </c>
      <c r="R495" s="71" t="s">
        <v>71</v>
      </c>
      <c r="S495" s="71" t="s">
        <v>521</v>
      </c>
      <c r="T495" s="71" t="str">
        <f>Attaccanti!K51</f>
        <v>3a fascia</v>
      </c>
      <c r="U495" s="71" t="s">
        <v>457</v>
      </c>
      <c r="V495" s="71">
        <v>0.0</v>
      </c>
      <c r="W495" s="71">
        <f t="shared" si="1"/>
        <v>384</v>
      </c>
    </row>
    <row r="496" ht="15.75" customHeight="1">
      <c r="A496" s="71" t="s">
        <v>1322</v>
      </c>
      <c r="B496" s="71" t="s">
        <v>74</v>
      </c>
      <c r="C496" s="71">
        <v>52.0</v>
      </c>
      <c r="D496" s="71" t="s">
        <v>524</v>
      </c>
      <c r="E496" s="71" t="s">
        <v>1247</v>
      </c>
      <c r="F496" s="71" t="s">
        <v>264</v>
      </c>
      <c r="G496" s="71" t="s">
        <v>287</v>
      </c>
      <c r="H496" s="71">
        <v>12.0</v>
      </c>
      <c r="I496" s="71">
        <v>11.0</v>
      </c>
      <c r="J496" s="71">
        <v>35.0</v>
      </c>
      <c r="K496" s="72">
        <f>Attaccanti!I52</f>
        <v>29</v>
      </c>
      <c r="L496" s="73">
        <f>Attaccanti!AE52</f>
        <v>5.5</v>
      </c>
      <c r="M496" s="74">
        <f>Attaccanti!B52</f>
        <v>12.2</v>
      </c>
      <c r="N496" s="71">
        <f>Attaccanti!A52</f>
        <v>49</v>
      </c>
      <c r="O496" s="71" t="s">
        <v>68</v>
      </c>
      <c r="P496" s="71">
        <v>0.0</v>
      </c>
      <c r="R496" s="71" t="s">
        <v>77</v>
      </c>
      <c r="S496" s="71" t="s">
        <v>368</v>
      </c>
      <c r="T496" s="71" t="str">
        <f>Attaccanti!K52</f>
        <v>2a fascia</v>
      </c>
      <c r="U496" s="71" t="s">
        <v>100</v>
      </c>
      <c r="V496" s="71">
        <v>2.0</v>
      </c>
      <c r="W496" s="71">
        <f t="shared" si="1"/>
        <v>97</v>
      </c>
    </row>
    <row r="497" ht="15.75" customHeight="1">
      <c r="A497" s="71" t="s">
        <v>635</v>
      </c>
      <c r="B497" s="71" t="s">
        <v>74</v>
      </c>
      <c r="C497" s="71">
        <v>53.0</v>
      </c>
      <c r="D497" s="71" t="s">
        <v>527</v>
      </c>
      <c r="E497" s="71" t="s">
        <v>1228</v>
      </c>
      <c r="F497" s="71" t="s">
        <v>212</v>
      </c>
      <c r="G497" s="71" t="s">
        <v>287</v>
      </c>
      <c r="H497" s="71">
        <v>7.0</v>
      </c>
      <c r="I497" s="71">
        <v>6.0</v>
      </c>
      <c r="J497" s="71">
        <v>12.0</v>
      </c>
      <c r="K497" s="72">
        <f>Attaccanti!I53</f>
        <v>15</v>
      </c>
      <c r="L497" s="73">
        <f>Attaccanti!AE53</f>
        <v>6.08</v>
      </c>
      <c r="M497" s="74">
        <f>Attaccanti!B53</f>
        <v>12.2</v>
      </c>
      <c r="N497" s="71">
        <f>Attaccanti!A53</f>
        <v>49</v>
      </c>
      <c r="O497" s="71" t="s">
        <v>226</v>
      </c>
      <c r="P497" s="71">
        <v>23.0</v>
      </c>
      <c r="Q497" s="71">
        <v>6.13</v>
      </c>
      <c r="R497" s="71" t="s">
        <v>71</v>
      </c>
      <c r="S497" s="71" t="s">
        <v>529</v>
      </c>
      <c r="T497" s="71" t="str">
        <f>Attaccanti!K53</f>
        <v>2a fascia</v>
      </c>
      <c r="U497" s="71" t="s">
        <v>281</v>
      </c>
      <c r="V497" s="71">
        <v>0.0</v>
      </c>
      <c r="W497" s="71">
        <f t="shared" si="1"/>
        <v>282</v>
      </c>
    </row>
    <row r="498" ht="15.75" customHeight="1">
      <c r="A498" s="71" t="s">
        <v>1325</v>
      </c>
      <c r="B498" s="71" t="s">
        <v>74</v>
      </c>
      <c r="C498" s="71">
        <v>54.0</v>
      </c>
      <c r="D498" s="71" t="s">
        <v>531</v>
      </c>
      <c r="E498" s="71" t="s">
        <v>1217</v>
      </c>
      <c r="F498" s="71" t="s">
        <v>191</v>
      </c>
      <c r="G498" s="71" t="s">
        <v>287</v>
      </c>
      <c r="H498" s="71">
        <v>3.0</v>
      </c>
      <c r="I498" s="71">
        <v>4.0</v>
      </c>
      <c r="J498" s="71">
        <v>14.0</v>
      </c>
      <c r="K498" s="72">
        <f>Attaccanti!I54</f>
        <v>17</v>
      </c>
      <c r="L498" s="73">
        <f>Attaccanti!AE54</f>
        <v>5.96</v>
      </c>
      <c r="M498" s="74">
        <f>Attaccanti!B54</f>
        <v>10.6</v>
      </c>
      <c r="N498" s="71">
        <f>Attaccanti!A54</f>
        <v>51</v>
      </c>
      <c r="O498" s="71" t="s">
        <v>332</v>
      </c>
      <c r="P498" s="71">
        <v>14.0</v>
      </c>
      <c r="Q498" s="71">
        <v>6.32</v>
      </c>
      <c r="R498" s="71" t="s">
        <v>71</v>
      </c>
      <c r="S498" s="71" t="s">
        <v>533</v>
      </c>
      <c r="T498" s="71" t="str">
        <f>Attaccanti!K54</f>
        <v>2a fascia</v>
      </c>
      <c r="U498" s="71" t="s">
        <v>392</v>
      </c>
      <c r="V498" s="71">
        <v>2.0</v>
      </c>
      <c r="W498" s="71">
        <f t="shared" si="1"/>
        <v>248</v>
      </c>
    </row>
    <row r="499" ht="15.75" customHeight="1">
      <c r="A499" s="71" t="s">
        <v>771</v>
      </c>
      <c r="B499" s="71" t="s">
        <v>74</v>
      </c>
      <c r="C499" s="71">
        <v>55.0</v>
      </c>
      <c r="D499" s="71" t="s">
        <v>535</v>
      </c>
      <c r="E499" s="71" t="s">
        <v>1252</v>
      </c>
      <c r="F499" s="71" t="s">
        <v>272</v>
      </c>
      <c r="G499" s="71" t="s">
        <v>287</v>
      </c>
      <c r="H499" s="71">
        <v>3.0</v>
      </c>
      <c r="I499" s="71">
        <v>7.0</v>
      </c>
      <c r="J499" s="71">
        <v>40.0</v>
      </c>
      <c r="K499" s="72">
        <f>Attaccanti!I55</f>
        <v>31</v>
      </c>
      <c r="L499" s="73">
        <f>Attaccanti!AE55</f>
        <v>5.5</v>
      </c>
      <c r="M499" s="74">
        <f>Attaccanti!B55</f>
        <v>10.4</v>
      </c>
      <c r="N499" s="71">
        <f>Attaccanti!A55</f>
        <v>52</v>
      </c>
      <c r="O499" s="71" t="s">
        <v>68</v>
      </c>
      <c r="P499" s="71">
        <v>0.0</v>
      </c>
      <c r="R499" s="71" t="s">
        <v>160</v>
      </c>
      <c r="S499" s="71" t="s">
        <v>512</v>
      </c>
      <c r="T499" s="71" t="str">
        <f>Attaccanti!K55</f>
        <v>1a fascia</v>
      </c>
      <c r="U499" s="71" t="s">
        <v>507</v>
      </c>
      <c r="V499" s="71">
        <v>2.0</v>
      </c>
      <c r="W499" s="71">
        <f t="shared" si="1"/>
        <v>83</v>
      </c>
    </row>
    <row r="500" ht="15.75" customHeight="1">
      <c r="A500" s="71" t="s">
        <v>1329</v>
      </c>
      <c r="B500" s="71" t="s">
        <v>74</v>
      </c>
      <c r="C500" s="71">
        <v>56.0</v>
      </c>
      <c r="D500" s="71" t="s">
        <v>539</v>
      </c>
      <c r="E500" s="71" t="s">
        <v>1228</v>
      </c>
      <c r="F500" s="71" t="s">
        <v>212</v>
      </c>
      <c r="G500" s="71" t="s">
        <v>287</v>
      </c>
      <c r="H500" s="71">
        <v>4.0</v>
      </c>
      <c r="I500" s="71">
        <v>4.0</v>
      </c>
      <c r="J500" s="71">
        <v>9.0</v>
      </c>
      <c r="K500" s="72">
        <f>Attaccanti!I56</f>
        <v>13</v>
      </c>
      <c r="L500" s="73">
        <f>Attaccanti!AE56</f>
        <v>5.58</v>
      </c>
      <c r="M500" s="74">
        <f>Attaccanti!B56</f>
        <v>10</v>
      </c>
      <c r="N500" s="71">
        <f>Attaccanti!A56</f>
        <v>53</v>
      </c>
      <c r="O500" s="71" t="s">
        <v>332</v>
      </c>
      <c r="P500" s="71">
        <v>7.0</v>
      </c>
      <c r="Q500" s="71">
        <v>5.79</v>
      </c>
      <c r="R500" s="71" t="s">
        <v>77</v>
      </c>
      <c r="S500" s="71" t="s">
        <v>529</v>
      </c>
      <c r="T500" s="71" t="str">
        <f>Attaccanti!K56</f>
        <v>3a fascia</v>
      </c>
      <c r="U500" s="71" t="s">
        <v>408</v>
      </c>
      <c r="V500" s="71">
        <v>1.0</v>
      </c>
      <c r="W500" s="71">
        <f t="shared" si="1"/>
        <v>380</v>
      </c>
    </row>
    <row r="501" ht="15.75" customHeight="1">
      <c r="A501" s="71" t="s">
        <v>1333</v>
      </c>
      <c r="B501" s="71" t="s">
        <v>74</v>
      </c>
      <c r="C501" s="71">
        <v>57.0</v>
      </c>
      <c r="D501" s="71" t="s">
        <v>543</v>
      </c>
      <c r="E501" s="71" t="s">
        <v>1256</v>
      </c>
      <c r="F501" s="71" t="s">
        <v>283</v>
      </c>
      <c r="G501" s="71" t="s">
        <v>287</v>
      </c>
      <c r="H501" s="71">
        <v>3.0</v>
      </c>
      <c r="I501" s="71">
        <v>3.0</v>
      </c>
      <c r="J501" s="71">
        <v>11.0</v>
      </c>
      <c r="K501" s="72">
        <f>Attaccanti!I57</f>
        <v>14</v>
      </c>
      <c r="L501" s="73">
        <f>Attaccanti!AE57</f>
        <v>5.94</v>
      </c>
      <c r="M501" s="74">
        <f>Attaccanti!B57</f>
        <v>9.9</v>
      </c>
      <c r="N501" s="71">
        <f>Attaccanti!A57</f>
        <v>54</v>
      </c>
      <c r="O501" s="71" t="s">
        <v>332</v>
      </c>
      <c r="P501" s="71">
        <v>8.0</v>
      </c>
      <c r="Q501" s="71">
        <v>6.88</v>
      </c>
      <c r="R501" s="71" t="s">
        <v>71</v>
      </c>
      <c r="S501" s="71" t="s">
        <v>516</v>
      </c>
      <c r="T501" s="71" t="str">
        <f>Attaccanti!K57</f>
        <v>3a fascia</v>
      </c>
      <c r="U501" s="71" t="s">
        <v>408</v>
      </c>
      <c r="V501" s="71">
        <v>1.0</v>
      </c>
      <c r="W501" s="71">
        <f t="shared" si="1"/>
        <v>323</v>
      </c>
    </row>
    <row r="502" ht="15.75" customHeight="1">
      <c r="A502" s="71" t="s">
        <v>761</v>
      </c>
      <c r="B502" s="71" t="s">
        <v>74</v>
      </c>
      <c r="C502" s="71">
        <v>58.0</v>
      </c>
      <c r="D502" s="71" t="s">
        <v>547</v>
      </c>
      <c r="E502" s="71" t="s">
        <v>1236</v>
      </c>
      <c r="F502" s="71" t="s">
        <v>232</v>
      </c>
      <c r="G502" s="71" t="s">
        <v>287</v>
      </c>
      <c r="H502" s="71">
        <v>3.0</v>
      </c>
      <c r="I502" s="71">
        <v>4.0</v>
      </c>
      <c r="J502" s="71">
        <v>12.0</v>
      </c>
      <c r="K502" s="72">
        <f>Attaccanti!I58</f>
        <v>15</v>
      </c>
      <c r="L502" s="73">
        <f>Attaccanti!AE58</f>
        <v>5.9</v>
      </c>
      <c r="M502" s="74">
        <f>Attaccanti!B58</f>
        <v>9.4</v>
      </c>
      <c r="N502" s="71">
        <f>Attaccanti!A58</f>
        <v>55</v>
      </c>
      <c r="O502" s="71" t="s">
        <v>332</v>
      </c>
      <c r="P502" s="71">
        <v>17.0</v>
      </c>
      <c r="Q502" s="71">
        <v>6.09</v>
      </c>
      <c r="R502" s="71" t="s">
        <v>71</v>
      </c>
      <c r="S502" s="71" t="s">
        <v>452</v>
      </c>
      <c r="T502" s="71" t="str">
        <f>Attaccanti!K58</f>
        <v>2a fascia</v>
      </c>
      <c r="U502" s="71" t="s">
        <v>392</v>
      </c>
      <c r="V502" s="71">
        <v>2.0</v>
      </c>
      <c r="W502" s="71">
        <f t="shared" si="1"/>
        <v>282</v>
      </c>
    </row>
    <row r="503" ht="15.75" customHeight="1">
      <c r="A503" s="71" t="s">
        <v>521</v>
      </c>
      <c r="B503" s="71" t="s">
        <v>74</v>
      </c>
      <c r="C503" s="71">
        <v>59.0</v>
      </c>
      <c r="D503" s="71" t="s">
        <v>550</v>
      </c>
      <c r="E503" s="71" t="s">
        <v>1245</v>
      </c>
      <c r="F503" s="71" t="s">
        <v>261</v>
      </c>
      <c r="G503" s="71" t="s">
        <v>287</v>
      </c>
      <c r="H503" s="71">
        <v>9.0</v>
      </c>
      <c r="I503" s="71">
        <v>9.0</v>
      </c>
      <c r="J503" s="71">
        <v>31.0</v>
      </c>
      <c r="K503" s="72">
        <f>Attaccanti!I59</f>
        <v>27</v>
      </c>
      <c r="L503" s="73">
        <f>Attaccanti!AE59</f>
        <v>5.5</v>
      </c>
      <c r="M503" s="74">
        <f>Attaccanti!B59</f>
        <v>9.2</v>
      </c>
      <c r="N503" s="71">
        <f>Attaccanti!A59</f>
        <v>56</v>
      </c>
      <c r="O503" s="71" t="s">
        <v>68</v>
      </c>
      <c r="P503" s="71">
        <v>0.0</v>
      </c>
      <c r="R503" s="71" t="s">
        <v>160</v>
      </c>
      <c r="S503" s="71" t="s">
        <v>553</v>
      </c>
      <c r="T503" s="71" t="str">
        <f>Attaccanti!K59</f>
        <v>2a fascia</v>
      </c>
      <c r="U503" s="71" t="s">
        <v>214</v>
      </c>
      <c r="V503" s="71">
        <v>0.0</v>
      </c>
      <c r="W503" s="71">
        <f t="shared" si="1"/>
        <v>107</v>
      </c>
    </row>
    <row r="504" ht="15.75" customHeight="1">
      <c r="A504" s="71" t="s">
        <v>1338</v>
      </c>
      <c r="B504" s="71" t="s">
        <v>74</v>
      </c>
      <c r="C504" s="71">
        <v>60.0</v>
      </c>
      <c r="D504" s="71" t="s">
        <v>558</v>
      </c>
      <c r="E504" s="71" t="s">
        <v>1237</v>
      </c>
      <c r="F504" s="71" t="s">
        <v>239</v>
      </c>
      <c r="G504" s="71" t="s">
        <v>287</v>
      </c>
      <c r="H504" s="71">
        <v>4.0</v>
      </c>
      <c r="I504" s="71">
        <v>4.0</v>
      </c>
      <c r="J504" s="71">
        <v>12.0</v>
      </c>
      <c r="K504" s="72">
        <f>Attaccanti!I60</f>
        <v>15</v>
      </c>
      <c r="L504" s="73">
        <f>Attaccanti!AE60</f>
        <v>5.86</v>
      </c>
      <c r="M504" s="74">
        <f>Attaccanti!B60</f>
        <v>8.8</v>
      </c>
      <c r="N504" s="71">
        <f>Attaccanti!A60</f>
        <v>57</v>
      </c>
      <c r="O504" s="71" t="s">
        <v>332</v>
      </c>
      <c r="P504" s="71">
        <v>8.0</v>
      </c>
      <c r="Q504" s="71">
        <v>6.62</v>
      </c>
      <c r="R504" s="71" t="s">
        <v>71</v>
      </c>
      <c r="S504" s="71" t="s">
        <v>553</v>
      </c>
      <c r="T504" s="71" t="str">
        <f>Attaccanti!K60</f>
        <v>2a fascia</v>
      </c>
      <c r="U504" s="71" t="s">
        <v>392</v>
      </c>
      <c r="V504" s="71">
        <v>2.0</v>
      </c>
      <c r="W504" s="71">
        <f t="shared" si="1"/>
        <v>282</v>
      </c>
    </row>
    <row r="505" ht="15.75" customHeight="1">
      <c r="A505" s="71" t="s">
        <v>1343</v>
      </c>
      <c r="B505" s="71" t="s">
        <v>74</v>
      </c>
      <c r="C505" s="71">
        <v>61.0</v>
      </c>
      <c r="D505" s="71" t="s">
        <v>561</v>
      </c>
      <c r="E505" s="71" t="s">
        <v>1252</v>
      </c>
      <c r="F505" s="71" t="s">
        <v>272</v>
      </c>
      <c r="G505" s="71" t="s">
        <v>287</v>
      </c>
      <c r="H505" s="71">
        <v>5.0</v>
      </c>
      <c r="I505" s="71">
        <v>5.0</v>
      </c>
      <c r="J505" s="71">
        <v>13.0</v>
      </c>
      <c r="K505" s="72">
        <f>Attaccanti!I61</f>
        <v>16</v>
      </c>
      <c r="L505" s="73">
        <f>Attaccanti!AE61</f>
        <v>5.84</v>
      </c>
      <c r="M505" s="74">
        <f>Attaccanti!B61</f>
        <v>8.6</v>
      </c>
      <c r="N505" s="71">
        <f>Attaccanti!A61</f>
        <v>58</v>
      </c>
      <c r="O505" s="71" t="s">
        <v>332</v>
      </c>
      <c r="P505" s="71">
        <v>17.0</v>
      </c>
      <c r="Q505" s="71">
        <v>6.0</v>
      </c>
      <c r="R505" s="71" t="s">
        <v>71</v>
      </c>
      <c r="S505" s="71" t="s">
        <v>512</v>
      </c>
      <c r="T505" s="71" t="str">
        <f>Attaccanti!K61</f>
        <v>2a fascia</v>
      </c>
      <c r="U505" s="71" t="s">
        <v>338</v>
      </c>
      <c r="V505" s="71">
        <v>0.0</v>
      </c>
      <c r="W505" s="71">
        <f t="shared" si="1"/>
        <v>262</v>
      </c>
    </row>
    <row r="506" ht="15.75" customHeight="1">
      <c r="A506" s="71" t="s">
        <v>1345</v>
      </c>
      <c r="B506" s="71" t="s">
        <v>74</v>
      </c>
      <c r="C506" s="71">
        <v>62.0</v>
      </c>
      <c r="D506" s="71" t="s">
        <v>564</v>
      </c>
      <c r="E506" s="71" t="s">
        <v>1225</v>
      </c>
      <c r="F506" s="71" t="s">
        <v>208</v>
      </c>
      <c r="G506" s="71" t="s">
        <v>287</v>
      </c>
      <c r="H506" s="71">
        <v>14.0</v>
      </c>
      <c r="I506" s="71">
        <v>14.0</v>
      </c>
      <c r="J506" s="71">
        <v>50.0</v>
      </c>
      <c r="K506" s="72">
        <f>Attaccanti!I62</f>
        <v>36</v>
      </c>
      <c r="L506" s="73">
        <f>Attaccanti!AE62</f>
        <v>5.5</v>
      </c>
      <c r="M506" s="74">
        <f>Attaccanti!B62</f>
        <v>8.2</v>
      </c>
      <c r="N506" s="71">
        <f>Attaccanti!A62</f>
        <v>59</v>
      </c>
      <c r="O506" s="71" t="s">
        <v>68</v>
      </c>
      <c r="P506" s="71">
        <v>0.0</v>
      </c>
      <c r="R506" s="71" t="s">
        <v>71</v>
      </c>
      <c r="S506" s="71" t="s">
        <v>340</v>
      </c>
      <c r="T506" s="71" t="str">
        <f>Attaccanti!K62</f>
        <v>1a fascia</v>
      </c>
      <c r="U506" s="71" t="s">
        <v>214</v>
      </c>
      <c r="V506" s="71">
        <v>0.0</v>
      </c>
      <c r="W506" s="71">
        <f t="shared" si="1"/>
        <v>56</v>
      </c>
    </row>
    <row r="507" ht="15.75" customHeight="1">
      <c r="A507" s="71" t="s">
        <v>1347</v>
      </c>
      <c r="B507" s="71" t="s">
        <v>74</v>
      </c>
      <c r="C507" s="71">
        <v>63.0</v>
      </c>
      <c r="D507" s="71" t="s">
        <v>569</v>
      </c>
      <c r="E507" s="71" t="s">
        <v>1247</v>
      </c>
      <c r="F507" s="71" t="s">
        <v>264</v>
      </c>
      <c r="G507" s="71" t="s">
        <v>287</v>
      </c>
      <c r="H507" s="71">
        <v>8.0</v>
      </c>
      <c r="I507" s="71">
        <v>9.0</v>
      </c>
      <c r="J507" s="71">
        <v>27.0</v>
      </c>
      <c r="K507" s="72">
        <f>Attaccanti!I63</f>
        <v>25</v>
      </c>
      <c r="L507" s="73">
        <f>Attaccanti!AE63</f>
        <v>5.5</v>
      </c>
      <c r="M507" s="74">
        <f>Attaccanti!B63</f>
        <v>8.2</v>
      </c>
      <c r="N507" s="71">
        <f>Attaccanti!A63</f>
        <v>59</v>
      </c>
      <c r="O507" s="71" t="s">
        <v>68</v>
      </c>
      <c r="P507" s="71">
        <v>0.0</v>
      </c>
      <c r="R507" s="71" t="s">
        <v>71</v>
      </c>
      <c r="S507" s="71" t="s">
        <v>368</v>
      </c>
      <c r="T507" s="71" t="str">
        <f>Attaccanti!K63</f>
        <v>2a fascia</v>
      </c>
      <c r="U507" s="71" t="s">
        <v>100</v>
      </c>
      <c r="V507" s="71">
        <v>2.0</v>
      </c>
      <c r="W507" s="71">
        <f t="shared" si="1"/>
        <v>123</v>
      </c>
    </row>
    <row r="508" ht="15.75" customHeight="1">
      <c r="A508" s="71" t="s">
        <v>1351</v>
      </c>
      <c r="B508" s="71" t="s">
        <v>74</v>
      </c>
      <c r="C508" s="71">
        <v>64.0</v>
      </c>
      <c r="D508" s="71" t="s">
        <v>572</v>
      </c>
      <c r="E508" s="71" t="s">
        <v>1256</v>
      </c>
      <c r="F508" s="71" t="s">
        <v>283</v>
      </c>
      <c r="G508" s="71" t="s">
        <v>287</v>
      </c>
      <c r="H508" s="71">
        <v>10.0</v>
      </c>
      <c r="I508" s="71">
        <v>10.0</v>
      </c>
      <c r="J508" s="71">
        <v>37.0</v>
      </c>
      <c r="K508" s="72">
        <f>Attaccanti!I64</f>
        <v>30</v>
      </c>
      <c r="L508" s="73">
        <f>Attaccanti!AE64</f>
        <v>5.5</v>
      </c>
      <c r="M508" s="74">
        <f>Attaccanti!B64</f>
        <v>6.5</v>
      </c>
      <c r="N508" s="71">
        <f>Attaccanti!A64</f>
        <v>61</v>
      </c>
      <c r="O508" s="71" t="s">
        <v>68</v>
      </c>
      <c r="P508" s="71">
        <v>0.0</v>
      </c>
      <c r="R508" s="71" t="s">
        <v>71</v>
      </c>
      <c r="S508" s="71" t="s">
        <v>512</v>
      </c>
      <c r="T508" s="71" t="str">
        <f>Attaccanti!K64</f>
        <v>1a fascia</v>
      </c>
      <c r="U508" s="71" t="s">
        <v>294</v>
      </c>
      <c r="V508" s="71">
        <v>1.0</v>
      </c>
      <c r="W508" s="71">
        <f t="shared" si="1"/>
        <v>90</v>
      </c>
    </row>
    <row r="509" ht="15.75" customHeight="1">
      <c r="A509" s="71" t="s">
        <v>1355</v>
      </c>
      <c r="B509" s="71" t="s">
        <v>74</v>
      </c>
      <c r="C509" s="71">
        <v>65.0</v>
      </c>
      <c r="D509" s="71" t="s">
        <v>582</v>
      </c>
      <c r="E509" s="71" t="s">
        <v>1245</v>
      </c>
      <c r="F509" s="71" t="s">
        <v>261</v>
      </c>
      <c r="G509" s="71" t="s">
        <v>287</v>
      </c>
      <c r="H509" s="71">
        <v>9.0</v>
      </c>
      <c r="I509" s="71">
        <v>8.0</v>
      </c>
      <c r="J509" s="71">
        <v>23.0</v>
      </c>
      <c r="K509" s="72">
        <f>Attaccanti!I65</f>
        <v>22</v>
      </c>
      <c r="L509" s="73">
        <f>Attaccanti!AE65</f>
        <v>5.5</v>
      </c>
      <c r="M509" s="74">
        <f>Attaccanti!B65</f>
        <v>6.4</v>
      </c>
      <c r="N509" s="71">
        <f>Attaccanti!A65</f>
        <v>62</v>
      </c>
      <c r="O509" s="71" t="s">
        <v>226</v>
      </c>
      <c r="P509" s="71">
        <v>0.0</v>
      </c>
      <c r="R509" s="71" t="s">
        <v>71</v>
      </c>
      <c r="S509" s="71" t="s">
        <v>585</v>
      </c>
      <c r="T509" s="71" t="str">
        <f>Attaccanti!K65</f>
        <v>2a fascia</v>
      </c>
      <c r="U509" s="71" t="s">
        <v>227</v>
      </c>
      <c r="V509" s="71">
        <v>0.0</v>
      </c>
      <c r="W509" s="71">
        <f t="shared" si="1"/>
        <v>150</v>
      </c>
    </row>
    <row r="510" ht="15.75" customHeight="1">
      <c r="A510" s="71" t="s">
        <v>1359</v>
      </c>
      <c r="B510" s="71" t="s">
        <v>74</v>
      </c>
      <c r="C510" s="71">
        <v>66.0</v>
      </c>
      <c r="D510" s="71" t="s">
        <v>588</v>
      </c>
      <c r="E510" s="71" t="s">
        <v>1247</v>
      </c>
      <c r="F510" s="71" t="s">
        <v>264</v>
      </c>
      <c r="G510" s="71" t="s">
        <v>287</v>
      </c>
      <c r="H510" s="71">
        <v>5.0</v>
      </c>
      <c r="I510" s="71">
        <v>4.0</v>
      </c>
      <c r="J510" s="71">
        <v>8.0</v>
      </c>
      <c r="K510" s="72">
        <f>Attaccanti!I66</f>
        <v>12</v>
      </c>
      <c r="L510" s="73">
        <f>Attaccanti!AE66</f>
        <v>5.5</v>
      </c>
      <c r="M510" s="74">
        <f>Attaccanti!B66</f>
        <v>6.1</v>
      </c>
      <c r="N510" s="71">
        <f>Attaccanti!A66</f>
        <v>63</v>
      </c>
      <c r="O510" s="71" t="s">
        <v>332</v>
      </c>
      <c r="P510" s="71">
        <v>0.0</v>
      </c>
      <c r="R510" s="71" t="s">
        <v>160</v>
      </c>
      <c r="S510" s="71" t="s">
        <v>368</v>
      </c>
      <c r="T510" s="71" t="str">
        <f>Attaccanti!K66</f>
        <v>3a fascia</v>
      </c>
      <c r="U510" s="71" t="s">
        <v>498</v>
      </c>
      <c r="V510" s="71">
        <v>0.0</v>
      </c>
      <c r="W510" s="71">
        <f t="shared" si="1"/>
        <v>384</v>
      </c>
    </row>
    <row r="511" ht="15.75" customHeight="1">
      <c r="A511" s="71" t="s">
        <v>1363</v>
      </c>
      <c r="B511" s="71" t="s">
        <v>74</v>
      </c>
      <c r="C511" s="71">
        <v>67.0</v>
      </c>
      <c r="D511" s="71" t="s">
        <v>594</v>
      </c>
      <c r="E511" s="71" t="s">
        <v>1217</v>
      </c>
      <c r="F511" s="71" t="s">
        <v>191</v>
      </c>
      <c r="G511" s="71" t="s">
        <v>287</v>
      </c>
      <c r="H511" s="71">
        <v>3.0</v>
      </c>
      <c r="I511" s="71">
        <v>4.0</v>
      </c>
      <c r="J511" s="71">
        <v>12.0</v>
      </c>
      <c r="K511" s="72">
        <f>Attaccanti!I67</f>
        <v>15</v>
      </c>
      <c r="L511" s="73">
        <f>Attaccanti!AE67</f>
        <v>5.68</v>
      </c>
      <c r="M511" s="74">
        <f>Attaccanti!B67</f>
        <v>6</v>
      </c>
      <c r="N511" s="71">
        <f>Attaccanti!A67</f>
        <v>64</v>
      </c>
      <c r="O511" s="71" t="s">
        <v>332</v>
      </c>
      <c r="P511" s="71">
        <v>9.0</v>
      </c>
      <c r="Q511" s="71">
        <v>6.0</v>
      </c>
      <c r="R511" s="71" t="s">
        <v>71</v>
      </c>
      <c r="S511" s="71" t="s">
        <v>607</v>
      </c>
      <c r="T511" s="71" t="str">
        <f>Attaccanti!K67</f>
        <v>2a fascia</v>
      </c>
      <c r="U511" s="71" t="s">
        <v>408</v>
      </c>
      <c r="V511" s="71">
        <v>1.0</v>
      </c>
      <c r="W511" s="71">
        <f t="shared" si="1"/>
        <v>282</v>
      </c>
    </row>
    <row r="512" ht="15.75" customHeight="1">
      <c r="A512" s="71" t="s">
        <v>1366</v>
      </c>
      <c r="B512" s="71" t="s">
        <v>74</v>
      </c>
      <c r="C512" s="71">
        <v>68.0</v>
      </c>
      <c r="D512" s="71" t="s">
        <v>610</v>
      </c>
      <c r="E512" s="71" t="s">
        <v>1233</v>
      </c>
      <c r="F512" s="71" t="s">
        <v>185</v>
      </c>
      <c r="G512" s="71" t="s">
        <v>287</v>
      </c>
      <c r="H512" s="71">
        <v>4.0</v>
      </c>
      <c r="I512" s="71">
        <v>4.0</v>
      </c>
      <c r="J512" s="71">
        <v>7.0</v>
      </c>
      <c r="K512" s="72">
        <f>Attaccanti!I68</f>
        <v>11</v>
      </c>
      <c r="L512" s="73">
        <f>Attaccanti!AE68</f>
        <v>5.72</v>
      </c>
      <c r="M512" s="74">
        <f>Attaccanti!B68</f>
        <v>5.9</v>
      </c>
      <c r="N512" s="71">
        <f>Attaccanti!A68</f>
        <v>65</v>
      </c>
      <c r="O512" s="71" t="s">
        <v>68</v>
      </c>
      <c r="P512" s="71">
        <v>13.0</v>
      </c>
      <c r="Q512" s="71">
        <v>5.92</v>
      </c>
      <c r="R512" s="71" t="s">
        <v>71</v>
      </c>
      <c r="S512" s="71" t="s">
        <v>612</v>
      </c>
      <c r="T512" s="71" t="str">
        <f>Attaccanti!K68</f>
        <v>3a fascia</v>
      </c>
      <c r="U512" s="71" t="s">
        <v>70</v>
      </c>
      <c r="V512" s="71">
        <v>2.0</v>
      </c>
      <c r="W512" s="71">
        <f t="shared" si="1"/>
        <v>408</v>
      </c>
    </row>
    <row r="513" ht="15.75" customHeight="1">
      <c r="A513" s="71" t="s">
        <v>1369</v>
      </c>
      <c r="B513" s="71" t="s">
        <v>74</v>
      </c>
      <c r="C513" s="71">
        <v>69.0</v>
      </c>
      <c r="D513" s="71" t="s">
        <v>614</v>
      </c>
      <c r="E513" s="71" t="s">
        <v>1213</v>
      </c>
      <c r="F513" s="71" t="s">
        <v>175</v>
      </c>
      <c r="G513" s="71" t="s">
        <v>287</v>
      </c>
      <c r="H513" s="71">
        <v>5.0</v>
      </c>
      <c r="I513" s="71">
        <v>4.0</v>
      </c>
      <c r="J513" s="71">
        <v>20.0</v>
      </c>
      <c r="K513" s="72">
        <f>Attaccanti!I69</f>
        <v>21</v>
      </c>
      <c r="L513" s="73">
        <f>Attaccanti!AE69</f>
        <v>5.6</v>
      </c>
      <c r="M513" s="74">
        <f>Attaccanti!B69</f>
        <v>5.8</v>
      </c>
      <c r="N513" s="71">
        <f>Attaccanti!A69</f>
        <v>66</v>
      </c>
      <c r="O513" s="71" t="s">
        <v>68</v>
      </c>
      <c r="P513" s="71">
        <v>18.0</v>
      </c>
      <c r="Q513" s="71">
        <v>5.64</v>
      </c>
      <c r="R513" s="71" t="s">
        <v>71</v>
      </c>
      <c r="S513" s="71" t="s">
        <v>452</v>
      </c>
      <c r="T513" s="71" t="str">
        <f>Attaccanti!K69</f>
        <v>2a fascia</v>
      </c>
      <c r="U513" s="71" t="s">
        <v>214</v>
      </c>
      <c r="V513" s="71">
        <v>0.0</v>
      </c>
      <c r="W513" s="71">
        <f t="shared" si="1"/>
        <v>173</v>
      </c>
    </row>
    <row r="514" ht="15.75" customHeight="1">
      <c r="A514" s="71" t="s">
        <v>1373</v>
      </c>
      <c r="B514" s="71" t="s">
        <v>74</v>
      </c>
      <c r="C514" s="71">
        <v>70.0</v>
      </c>
      <c r="D514" s="71" t="s">
        <v>620</v>
      </c>
      <c r="E514" s="71" t="s">
        <v>1205</v>
      </c>
      <c r="F514" s="71" t="s">
        <v>60</v>
      </c>
      <c r="G514" s="71" t="s">
        <v>287</v>
      </c>
      <c r="H514" s="71">
        <v>1.0</v>
      </c>
      <c r="I514" s="71">
        <v>1.0</v>
      </c>
      <c r="J514" s="71">
        <v>4.0</v>
      </c>
      <c r="K514" s="72">
        <f>Attaccanti!I70</f>
        <v>8</v>
      </c>
      <c r="L514" s="73">
        <f>Attaccanti!AE70</f>
        <v>5.74</v>
      </c>
      <c r="M514" s="74">
        <f>Attaccanti!B70</f>
        <v>5.8</v>
      </c>
      <c r="N514" s="71">
        <f>Attaccanti!A70</f>
        <v>66</v>
      </c>
      <c r="O514" s="71" t="s">
        <v>332</v>
      </c>
      <c r="P514" s="71">
        <v>7.0</v>
      </c>
      <c r="Q514" s="71">
        <v>6.36</v>
      </c>
      <c r="R514" s="71" t="s">
        <v>71</v>
      </c>
      <c r="S514" s="71" t="s">
        <v>622</v>
      </c>
      <c r="T514" s="71" t="str">
        <f>Attaccanti!K70</f>
        <v>3a fascia</v>
      </c>
      <c r="U514" s="71" t="s">
        <v>333</v>
      </c>
      <c r="V514" s="71">
        <v>0.0</v>
      </c>
      <c r="W514" s="71">
        <f t="shared" si="1"/>
        <v>448</v>
      </c>
    </row>
    <row r="515" ht="15.75" customHeight="1">
      <c r="A515" s="71" t="s">
        <v>1376</v>
      </c>
      <c r="B515" s="71" t="s">
        <v>74</v>
      </c>
      <c r="C515" s="71">
        <v>71.0</v>
      </c>
      <c r="D515" s="71" t="s">
        <v>625</v>
      </c>
      <c r="E515" s="71" t="s">
        <v>1241</v>
      </c>
      <c r="F515" s="71" t="s">
        <v>177</v>
      </c>
      <c r="G515" s="71" t="s">
        <v>287</v>
      </c>
      <c r="H515" s="71">
        <v>8.0</v>
      </c>
      <c r="I515" s="71">
        <v>8.0</v>
      </c>
      <c r="J515" s="71">
        <v>28.0</v>
      </c>
      <c r="K515" s="72">
        <f>Attaccanti!I71</f>
        <v>25</v>
      </c>
      <c r="L515" s="73">
        <f>Attaccanti!AE71</f>
        <v>5.5</v>
      </c>
      <c r="M515" s="74">
        <f>Attaccanti!B71</f>
        <v>5.3</v>
      </c>
      <c r="N515" s="71">
        <f>Attaccanti!A71</f>
        <v>68</v>
      </c>
      <c r="O515" s="71" t="s">
        <v>68</v>
      </c>
      <c r="P515" s="71">
        <v>0.0</v>
      </c>
      <c r="R515" s="71" t="s">
        <v>71</v>
      </c>
      <c r="S515" s="71" t="s">
        <v>626</v>
      </c>
      <c r="T515" s="71" t="str">
        <f>Attaccanti!K71</f>
        <v>2a fascia</v>
      </c>
      <c r="U515" s="71" t="s">
        <v>294</v>
      </c>
      <c r="V515" s="71">
        <v>1.0</v>
      </c>
      <c r="W515" s="71">
        <f t="shared" si="1"/>
        <v>117</v>
      </c>
    </row>
    <row r="516" ht="15.75" customHeight="1">
      <c r="A516" s="71" t="s">
        <v>1379</v>
      </c>
      <c r="B516" s="71" t="s">
        <v>74</v>
      </c>
      <c r="C516" s="71">
        <v>72.0</v>
      </c>
      <c r="D516" s="71" t="s">
        <v>629</v>
      </c>
      <c r="E516" s="71" t="s">
        <v>1245</v>
      </c>
      <c r="F516" s="71" t="s">
        <v>261</v>
      </c>
      <c r="G516" s="71" t="s">
        <v>287</v>
      </c>
      <c r="H516" s="71">
        <v>7.0</v>
      </c>
      <c r="I516" s="71">
        <v>9.0</v>
      </c>
      <c r="J516" s="71">
        <v>27.0</v>
      </c>
      <c r="K516" s="72">
        <f>Attaccanti!I72</f>
        <v>25</v>
      </c>
      <c r="L516" s="73">
        <f>Attaccanti!AE72</f>
        <v>5.5</v>
      </c>
      <c r="M516" s="74">
        <f>Attaccanti!B72</f>
        <v>5.2</v>
      </c>
      <c r="N516" s="71">
        <f>Attaccanti!A72</f>
        <v>69</v>
      </c>
      <c r="O516" s="71" t="s">
        <v>68</v>
      </c>
      <c r="P516" s="71">
        <v>0.0</v>
      </c>
      <c r="R516" s="71" t="s">
        <v>71</v>
      </c>
      <c r="S516" s="71" t="s">
        <v>585</v>
      </c>
      <c r="T516" s="71" t="str">
        <f>Attaccanti!K72</f>
        <v>2a fascia</v>
      </c>
      <c r="U516" s="71" t="s">
        <v>100</v>
      </c>
      <c r="V516" s="71">
        <v>2.0</v>
      </c>
      <c r="W516" s="71">
        <f t="shared" si="1"/>
        <v>123</v>
      </c>
    </row>
    <row r="517" ht="15.75" customHeight="1">
      <c r="A517" s="71" t="s">
        <v>1382</v>
      </c>
      <c r="B517" s="71" t="s">
        <v>74</v>
      </c>
      <c r="C517" s="71">
        <v>73.0</v>
      </c>
      <c r="D517" s="71" t="s">
        <v>633</v>
      </c>
      <c r="E517" s="71" t="s">
        <v>1219</v>
      </c>
      <c r="F517" s="71" t="s">
        <v>195</v>
      </c>
      <c r="G517" s="71" t="s">
        <v>287</v>
      </c>
      <c r="H517" s="71">
        <v>10.0</v>
      </c>
      <c r="I517" s="71">
        <v>9.0</v>
      </c>
      <c r="J517" s="71">
        <v>22.0</v>
      </c>
      <c r="K517" s="72">
        <f>Attaccanti!I73</f>
        <v>22</v>
      </c>
      <c r="L517" s="73">
        <f>Attaccanti!AE73</f>
        <v>5.54</v>
      </c>
      <c r="M517" s="74">
        <f>Attaccanti!B73</f>
        <v>5.1</v>
      </c>
      <c r="N517" s="71">
        <f>Attaccanti!A73</f>
        <v>70</v>
      </c>
      <c r="O517" s="71" t="s">
        <v>68</v>
      </c>
      <c r="P517" s="71">
        <v>7.0</v>
      </c>
      <c r="Q517" s="71">
        <v>5.64</v>
      </c>
      <c r="R517" s="71" t="s">
        <v>71</v>
      </c>
      <c r="S517" s="71" t="s">
        <v>635</v>
      </c>
      <c r="T517" s="71" t="str">
        <f>Attaccanti!K73</f>
        <v>2a fascia</v>
      </c>
      <c r="U517" s="71" t="s">
        <v>146</v>
      </c>
      <c r="V517" s="71">
        <v>0.0</v>
      </c>
      <c r="W517" s="71">
        <f t="shared" si="1"/>
        <v>159</v>
      </c>
    </row>
    <row r="518" ht="15.75" customHeight="1">
      <c r="A518" s="71" t="s">
        <v>1385</v>
      </c>
      <c r="B518" s="71" t="s">
        <v>74</v>
      </c>
      <c r="C518" s="71">
        <v>74.0</v>
      </c>
      <c r="D518" s="71" t="s">
        <v>637</v>
      </c>
      <c r="E518" s="71" t="s">
        <v>1225</v>
      </c>
      <c r="F518" s="71" t="s">
        <v>208</v>
      </c>
      <c r="G518" s="71" t="s">
        <v>287</v>
      </c>
      <c r="H518" s="71">
        <v>7.0</v>
      </c>
      <c r="I518" s="71">
        <v>7.0</v>
      </c>
      <c r="J518" s="71">
        <v>25.0</v>
      </c>
      <c r="K518" s="72">
        <f>Attaccanti!I74</f>
        <v>23</v>
      </c>
      <c r="L518" s="73">
        <f>Attaccanti!AE74</f>
        <v>5.5</v>
      </c>
      <c r="M518" s="74">
        <f>Attaccanti!B74</f>
        <v>4.9</v>
      </c>
      <c r="N518" s="71">
        <f>Attaccanti!A74</f>
        <v>71</v>
      </c>
      <c r="O518" s="71" t="s">
        <v>226</v>
      </c>
      <c r="P518" s="71">
        <v>0.0</v>
      </c>
      <c r="R518" s="71" t="s">
        <v>71</v>
      </c>
      <c r="S518" s="71" t="s">
        <v>368</v>
      </c>
      <c r="T518" s="71" t="str">
        <f>Attaccanti!K74</f>
        <v>2a fascia</v>
      </c>
      <c r="U518" s="71" t="s">
        <v>227</v>
      </c>
      <c r="V518" s="71">
        <v>0.0</v>
      </c>
      <c r="W518" s="71">
        <f t="shared" si="1"/>
        <v>133</v>
      </c>
    </row>
    <row r="519" ht="15.75" customHeight="1">
      <c r="A519" s="71" t="s">
        <v>1388</v>
      </c>
      <c r="B519" s="71" t="s">
        <v>74</v>
      </c>
      <c r="C519" s="71">
        <v>75.0</v>
      </c>
      <c r="D519" s="71" t="s">
        <v>641</v>
      </c>
      <c r="E519" s="71" t="s">
        <v>1245</v>
      </c>
      <c r="F519" s="71" t="s">
        <v>261</v>
      </c>
      <c r="G519" s="71" t="s">
        <v>287</v>
      </c>
      <c r="H519" s="71">
        <v>4.0</v>
      </c>
      <c r="I519" s="71">
        <v>6.0</v>
      </c>
      <c r="J519" s="71">
        <v>24.0</v>
      </c>
      <c r="K519" s="72">
        <f>Attaccanti!I75</f>
        <v>23</v>
      </c>
      <c r="L519" s="73">
        <f>Attaccanti!AE75</f>
        <v>5.5</v>
      </c>
      <c r="M519" s="74">
        <f>Attaccanti!B75</f>
        <v>4.8</v>
      </c>
      <c r="N519" s="71">
        <f>Attaccanti!A75</f>
        <v>72</v>
      </c>
      <c r="O519" s="71" t="s">
        <v>332</v>
      </c>
      <c r="P519" s="71">
        <v>0.0</v>
      </c>
      <c r="R519" s="71" t="s">
        <v>71</v>
      </c>
      <c r="S519" s="71" t="s">
        <v>643</v>
      </c>
      <c r="T519" s="71" t="str">
        <f>Attaccanti!K75</f>
        <v>2a fascia</v>
      </c>
      <c r="U519" s="71" t="s">
        <v>473</v>
      </c>
      <c r="V519" s="71">
        <v>2.0</v>
      </c>
      <c r="W519" s="71">
        <f t="shared" si="1"/>
        <v>147</v>
      </c>
    </row>
    <row r="520" ht="15.75" customHeight="1">
      <c r="A520" s="71" t="s">
        <v>1391</v>
      </c>
      <c r="B520" s="71" t="s">
        <v>74</v>
      </c>
      <c r="C520" s="71">
        <v>76.0</v>
      </c>
      <c r="D520" s="71" t="s">
        <v>647</v>
      </c>
      <c r="E520" s="71" t="s">
        <v>1233</v>
      </c>
      <c r="F520" s="71" t="s">
        <v>185</v>
      </c>
      <c r="G520" s="71" t="s">
        <v>287</v>
      </c>
      <c r="H520" s="71">
        <v>1.0</v>
      </c>
      <c r="I520" s="71">
        <v>1.0</v>
      </c>
      <c r="J520" s="71">
        <v>3.0</v>
      </c>
      <c r="K520" s="72">
        <f>Attaccanti!I76</f>
        <v>7</v>
      </c>
      <c r="L520" s="73">
        <f>Attaccanti!AE76</f>
        <v>5.66</v>
      </c>
      <c r="M520" s="74">
        <f>Attaccanti!B76</f>
        <v>4.5</v>
      </c>
      <c r="N520" s="71">
        <f>Attaccanti!A76</f>
        <v>73</v>
      </c>
      <c r="O520" s="71" t="s">
        <v>226</v>
      </c>
      <c r="P520" s="71">
        <v>12.0</v>
      </c>
      <c r="Q520" s="71">
        <v>5.83</v>
      </c>
      <c r="R520" s="71" t="s">
        <v>71</v>
      </c>
      <c r="S520" s="71" t="s">
        <v>512</v>
      </c>
      <c r="T520" s="71" t="str">
        <f>Attaccanti!K76</f>
        <v>3a fascia</v>
      </c>
      <c r="U520" s="71" t="s">
        <v>301</v>
      </c>
      <c r="V520" s="71">
        <v>1.0</v>
      </c>
      <c r="W520" s="71">
        <f t="shared" si="1"/>
        <v>462</v>
      </c>
    </row>
    <row r="521" ht="15.75" customHeight="1">
      <c r="A521" s="71" t="s">
        <v>1394</v>
      </c>
      <c r="B521" s="71" t="s">
        <v>74</v>
      </c>
      <c r="C521" s="71">
        <v>77.0</v>
      </c>
      <c r="D521" s="71" t="s">
        <v>650</v>
      </c>
      <c r="E521" s="71" t="s">
        <v>1252</v>
      </c>
      <c r="F521" s="71" t="s">
        <v>272</v>
      </c>
      <c r="G521" s="71" t="s">
        <v>287</v>
      </c>
      <c r="H521" s="71">
        <v>5.0</v>
      </c>
      <c r="I521" s="71">
        <v>4.0</v>
      </c>
      <c r="J521" s="71">
        <v>8.0</v>
      </c>
      <c r="K521" s="72">
        <f>Attaccanti!I77</f>
        <v>12</v>
      </c>
      <c r="L521" s="73">
        <f>Attaccanti!AE77</f>
        <v>5.5</v>
      </c>
      <c r="M521" s="74">
        <f>Attaccanti!B77</f>
        <v>4.4</v>
      </c>
      <c r="N521" s="71">
        <f>Attaccanti!A77</f>
        <v>74</v>
      </c>
      <c r="O521" s="71" t="s">
        <v>332</v>
      </c>
      <c r="P521" s="71">
        <v>0.0</v>
      </c>
      <c r="R521" s="71" t="s">
        <v>71</v>
      </c>
      <c r="S521" s="71" t="s">
        <v>512</v>
      </c>
      <c r="T521" s="71" t="str">
        <f>Attaccanti!K77</f>
        <v>3a fascia</v>
      </c>
      <c r="U521" s="71" t="s">
        <v>338</v>
      </c>
      <c r="V521" s="71">
        <v>0.0</v>
      </c>
      <c r="W521" s="71">
        <f t="shared" si="1"/>
        <v>384</v>
      </c>
    </row>
    <row r="522" ht="15.75" customHeight="1">
      <c r="A522" s="71" t="s">
        <v>1397</v>
      </c>
      <c r="B522" s="71" t="s">
        <v>74</v>
      </c>
      <c r="C522" s="71">
        <v>78.0</v>
      </c>
      <c r="D522" s="71" t="s">
        <v>653</v>
      </c>
      <c r="E522" s="71" t="s">
        <v>1252</v>
      </c>
      <c r="F522" s="71" t="s">
        <v>272</v>
      </c>
      <c r="G522" s="71" t="s">
        <v>287</v>
      </c>
      <c r="H522" s="71">
        <v>6.0</v>
      </c>
      <c r="I522" s="71">
        <v>6.0</v>
      </c>
      <c r="J522" s="71">
        <v>18.0</v>
      </c>
      <c r="K522" s="72">
        <f>Attaccanti!I78</f>
        <v>19</v>
      </c>
      <c r="L522" s="73">
        <f>Attaccanti!AE78</f>
        <v>5.5</v>
      </c>
      <c r="M522" s="74">
        <f>Attaccanti!B78</f>
        <v>4</v>
      </c>
      <c r="N522" s="71">
        <f>Attaccanti!A78</f>
        <v>75</v>
      </c>
      <c r="O522" s="71" t="s">
        <v>226</v>
      </c>
      <c r="P522" s="71">
        <v>0.0</v>
      </c>
      <c r="R522" s="71" t="s">
        <v>71</v>
      </c>
      <c r="S522" s="71" t="s">
        <v>658</v>
      </c>
      <c r="T522" s="71" t="str">
        <f>Attaccanti!K78</f>
        <v>2a fascia</v>
      </c>
      <c r="U522" s="71" t="s">
        <v>227</v>
      </c>
      <c r="V522" s="71">
        <v>0.0</v>
      </c>
      <c r="W522" s="71">
        <f t="shared" si="1"/>
        <v>200</v>
      </c>
    </row>
    <row r="523" ht="15.75" customHeight="1">
      <c r="A523" s="71" t="s">
        <v>1400</v>
      </c>
      <c r="B523" s="71" t="s">
        <v>74</v>
      </c>
      <c r="C523" s="71">
        <v>79.0</v>
      </c>
      <c r="D523" s="71" t="s">
        <v>664</v>
      </c>
      <c r="E523" s="71" t="s">
        <v>1207</v>
      </c>
      <c r="F523" s="71" t="s">
        <v>93</v>
      </c>
      <c r="G523" s="71" t="s">
        <v>287</v>
      </c>
      <c r="H523" s="71">
        <v>5.0</v>
      </c>
      <c r="I523" s="71">
        <v>4.0</v>
      </c>
      <c r="J523" s="71">
        <v>10.0</v>
      </c>
      <c r="K523" s="72">
        <f>Attaccanti!I79</f>
        <v>14</v>
      </c>
      <c r="L523" s="73">
        <f>Attaccanti!AE79</f>
        <v>5.54</v>
      </c>
      <c r="M523" s="74">
        <f>Attaccanti!B79</f>
        <v>3.5</v>
      </c>
      <c r="N523" s="71">
        <f>Attaccanti!A79</f>
        <v>76</v>
      </c>
      <c r="O523" s="71" t="s">
        <v>332</v>
      </c>
      <c r="P523" s="71">
        <v>2.0</v>
      </c>
      <c r="Q523" s="71">
        <v>6.0</v>
      </c>
      <c r="R523" s="71" t="s">
        <v>71</v>
      </c>
      <c r="S523" s="71" t="s">
        <v>635</v>
      </c>
      <c r="T523" s="71" t="str">
        <f>Attaccanti!K79</f>
        <v>3a fascia</v>
      </c>
      <c r="U523" s="71" t="s">
        <v>333</v>
      </c>
      <c r="V523" s="71">
        <v>0.0</v>
      </c>
      <c r="W523" s="71">
        <f t="shared" si="1"/>
        <v>342</v>
      </c>
    </row>
    <row r="524" ht="15.75" customHeight="1">
      <c r="A524" s="71" t="s">
        <v>1403</v>
      </c>
      <c r="B524" s="71" t="s">
        <v>74</v>
      </c>
      <c r="C524" s="71">
        <v>80.0</v>
      </c>
      <c r="D524" s="71" t="s">
        <v>673</v>
      </c>
      <c r="E524" s="71" t="s">
        <v>1236</v>
      </c>
      <c r="F524" s="71" t="s">
        <v>232</v>
      </c>
      <c r="G524" s="71" t="s">
        <v>287</v>
      </c>
      <c r="H524" s="71">
        <v>4.0</v>
      </c>
      <c r="I524" s="71">
        <v>4.0</v>
      </c>
      <c r="J524" s="71">
        <v>14.0</v>
      </c>
      <c r="K524" s="72">
        <f>Attaccanti!I80</f>
        <v>17</v>
      </c>
      <c r="L524" s="73">
        <f>Attaccanti!AE80</f>
        <v>5.5</v>
      </c>
      <c r="M524" s="74">
        <f>Attaccanti!B80</f>
        <v>3.4</v>
      </c>
      <c r="N524" s="71">
        <f>Attaccanti!A80</f>
        <v>77</v>
      </c>
      <c r="O524" s="71" t="s">
        <v>226</v>
      </c>
      <c r="P524" s="71">
        <v>0.0</v>
      </c>
      <c r="R524" s="71" t="s">
        <v>71</v>
      </c>
      <c r="S524" s="71" t="s">
        <v>452</v>
      </c>
      <c r="T524" s="71" t="str">
        <f>Attaccanti!K80</f>
        <v>2a fascia</v>
      </c>
      <c r="U524" s="71" t="s">
        <v>495</v>
      </c>
      <c r="V524" s="71">
        <v>1.0</v>
      </c>
      <c r="W524" s="71">
        <f t="shared" si="1"/>
        <v>248</v>
      </c>
    </row>
    <row r="525" ht="15.75" customHeight="1">
      <c r="A525" s="71" t="s">
        <v>1406</v>
      </c>
      <c r="B525" s="71" t="s">
        <v>74</v>
      </c>
      <c r="C525" s="71">
        <v>81.0</v>
      </c>
      <c r="D525" s="71" t="s">
        <v>692</v>
      </c>
      <c r="E525" s="71" t="s">
        <v>1247</v>
      </c>
      <c r="F525" s="71" t="s">
        <v>264</v>
      </c>
      <c r="G525" s="71" t="s">
        <v>287</v>
      </c>
      <c r="H525" s="71">
        <v>8.0</v>
      </c>
      <c r="I525" s="71">
        <v>7.0</v>
      </c>
      <c r="J525" s="71">
        <v>13.0</v>
      </c>
      <c r="K525" s="72">
        <f>Attaccanti!I81</f>
        <v>16</v>
      </c>
      <c r="L525" s="73">
        <f>Attaccanti!AE81</f>
        <v>5.5</v>
      </c>
      <c r="M525" s="74">
        <f>Attaccanti!B81</f>
        <v>3.3</v>
      </c>
      <c r="N525" s="71">
        <f>Attaccanti!A81</f>
        <v>78</v>
      </c>
      <c r="O525" s="71" t="s">
        <v>226</v>
      </c>
      <c r="P525" s="71">
        <v>0.0</v>
      </c>
      <c r="R525" s="71" t="s">
        <v>71</v>
      </c>
      <c r="S525" s="71" t="s">
        <v>703</v>
      </c>
      <c r="T525" s="71" t="str">
        <f>Attaccanti!K81</f>
        <v>2a fascia</v>
      </c>
      <c r="U525" s="71" t="s">
        <v>227</v>
      </c>
      <c r="V525" s="71">
        <v>0.0</v>
      </c>
      <c r="W525" s="71">
        <f t="shared" si="1"/>
        <v>262</v>
      </c>
    </row>
    <row r="526" ht="15.75" customHeight="1">
      <c r="A526" s="71" t="s">
        <v>1409</v>
      </c>
      <c r="B526" s="71" t="s">
        <v>74</v>
      </c>
      <c r="C526" s="71">
        <v>82.0</v>
      </c>
      <c r="D526" s="71" t="s">
        <v>711</v>
      </c>
      <c r="E526" s="71" t="s">
        <v>1245</v>
      </c>
      <c r="F526" s="71" t="s">
        <v>261</v>
      </c>
      <c r="G526" s="71" t="s">
        <v>287</v>
      </c>
      <c r="H526" s="71">
        <v>5.0</v>
      </c>
      <c r="I526" s="71">
        <v>5.0</v>
      </c>
      <c r="J526" s="71">
        <v>11.0</v>
      </c>
      <c r="K526" s="72">
        <f>Attaccanti!I82</f>
        <v>14</v>
      </c>
      <c r="L526" s="73">
        <f>Attaccanti!AE82</f>
        <v>5.5</v>
      </c>
      <c r="M526" s="74">
        <f>Attaccanti!B82</f>
        <v>3</v>
      </c>
      <c r="N526" s="71">
        <f>Attaccanti!A82</f>
        <v>79</v>
      </c>
      <c r="O526" s="71" t="s">
        <v>332</v>
      </c>
      <c r="P526" s="71">
        <v>0.0</v>
      </c>
      <c r="R526" s="71" t="s">
        <v>71</v>
      </c>
      <c r="S526" s="71" t="s">
        <v>643</v>
      </c>
      <c r="T526" s="71" t="str">
        <f>Attaccanti!K82</f>
        <v>3a fascia</v>
      </c>
      <c r="U526" s="71" t="s">
        <v>338</v>
      </c>
      <c r="V526" s="71">
        <v>0.0</v>
      </c>
      <c r="W526" s="71">
        <f t="shared" si="1"/>
        <v>323</v>
      </c>
    </row>
    <row r="527" ht="15.75" customHeight="1">
      <c r="A527" s="71" t="s">
        <v>1412</v>
      </c>
      <c r="B527" s="71" t="s">
        <v>74</v>
      </c>
      <c r="C527" s="71">
        <v>83.0</v>
      </c>
      <c r="D527" s="71" t="s">
        <v>721</v>
      </c>
      <c r="E527" s="71" t="s">
        <v>1256</v>
      </c>
      <c r="F527" s="71" t="s">
        <v>283</v>
      </c>
      <c r="G527" s="71" t="s">
        <v>287</v>
      </c>
      <c r="H527" s="71">
        <v>1.0</v>
      </c>
      <c r="I527" s="71">
        <v>3.0</v>
      </c>
      <c r="J527" s="71">
        <v>11.0</v>
      </c>
      <c r="K527" s="72">
        <f>Attaccanti!I83</f>
        <v>14</v>
      </c>
      <c r="L527" s="73">
        <f>Attaccanti!AE83</f>
        <v>5.5</v>
      </c>
      <c r="M527" s="74">
        <f>Attaccanti!B83</f>
        <v>3</v>
      </c>
      <c r="N527" s="71">
        <f>Attaccanti!A83</f>
        <v>79</v>
      </c>
      <c r="O527" s="71" t="s">
        <v>332</v>
      </c>
      <c r="P527" s="71">
        <v>0.0</v>
      </c>
      <c r="R527" s="71" t="s">
        <v>71</v>
      </c>
      <c r="S527" s="71" t="s">
        <v>658</v>
      </c>
      <c r="T527" s="71" t="str">
        <f>Attaccanti!K83</f>
        <v>3a fascia</v>
      </c>
      <c r="U527" s="71" t="s">
        <v>473</v>
      </c>
      <c r="V527" s="71">
        <v>2.0</v>
      </c>
      <c r="W527" s="71">
        <f t="shared" si="1"/>
        <v>323</v>
      </c>
    </row>
    <row r="528" ht="15.75" customHeight="1">
      <c r="A528" s="71" t="s">
        <v>1416</v>
      </c>
      <c r="B528" s="71" t="s">
        <v>74</v>
      </c>
      <c r="C528" s="71">
        <v>84.0</v>
      </c>
      <c r="D528" s="71" t="s">
        <v>724</v>
      </c>
      <c r="E528" s="71" t="s">
        <v>1237</v>
      </c>
      <c r="F528" s="71" t="s">
        <v>239</v>
      </c>
      <c r="G528" s="71" t="s">
        <v>287</v>
      </c>
      <c r="H528" s="71">
        <v>6.0</v>
      </c>
      <c r="I528" s="71">
        <v>6.0</v>
      </c>
      <c r="J528" s="71">
        <v>7.0</v>
      </c>
      <c r="K528" s="72">
        <f>Attaccanti!I84</f>
        <v>11</v>
      </c>
      <c r="L528" s="73">
        <f>Attaccanti!AE84</f>
        <v>5.5</v>
      </c>
      <c r="M528" s="74">
        <f>Attaccanti!B84</f>
        <v>2.5</v>
      </c>
      <c r="N528" s="71">
        <f>Attaccanti!A84</f>
        <v>81</v>
      </c>
      <c r="O528" s="71" t="s">
        <v>68</v>
      </c>
      <c r="P528" s="71">
        <v>0.0</v>
      </c>
      <c r="R528" s="71" t="s">
        <v>71</v>
      </c>
      <c r="S528" s="71" t="s">
        <v>643</v>
      </c>
      <c r="T528" s="71" t="str">
        <f>Attaccanti!K84</f>
        <v>3a fascia</v>
      </c>
      <c r="U528" s="71" t="s">
        <v>214</v>
      </c>
      <c r="V528" s="71">
        <v>0.0</v>
      </c>
      <c r="W528" s="71">
        <f t="shared" si="1"/>
        <v>408</v>
      </c>
    </row>
    <row r="529" ht="15.75" customHeight="1">
      <c r="A529" s="71" t="s">
        <v>1419</v>
      </c>
      <c r="B529" s="71" t="s">
        <v>74</v>
      </c>
      <c r="C529" s="71">
        <v>85.0</v>
      </c>
      <c r="D529" s="71" t="s">
        <v>726</v>
      </c>
      <c r="E529" s="71" t="s">
        <v>1256</v>
      </c>
      <c r="F529" s="71" t="s">
        <v>283</v>
      </c>
      <c r="G529" s="71" t="s">
        <v>287</v>
      </c>
      <c r="H529" s="71">
        <v>5.0</v>
      </c>
      <c r="I529" s="71">
        <v>4.0</v>
      </c>
      <c r="J529" s="71">
        <v>6.0</v>
      </c>
      <c r="K529" s="72">
        <f>Attaccanti!I85</f>
        <v>10</v>
      </c>
      <c r="L529" s="73">
        <f>Attaccanti!AE85</f>
        <v>5.5</v>
      </c>
      <c r="M529" s="74">
        <f>Attaccanti!B85</f>
        <v>2.4</v>
      </c>
      <c r="N529" s="71">
        <f>Attaccanti!A85</f>
        <v>82</v>
      </c>
      <c r="O529" s="71" t="s">
        <v>226</v>
      </c>
      <c r="P529" s="71">
        <v>0.0</v>
      </c>
      <c r="R529" s="71" t="s">
        <v>71</v>
      </c>
      <c r="S529" s="71" t="s">
        <v>658</v>
      </c>
      <c r="T529" s="71" t="str">
        <f>Attaccanti!K85</f>
        <v>3a fascia</v>
      </c>
      <c r="U529" s="71" t="s">
        <v>281</v>
      </c>
      <c r="V529" s="71">
        <v>0.0</v>
      </c>
      <c r="W529" s="71">
        <f t="shared" si="1"/>
        <v>420</v>
      </c>
    </row>
    <row r="530" ht="15.75" customHeight="1">
      <c r="A530" s="71" t="s">
        <v>1422</v>
      </c>
      <c r="B530" s="71" t="s">
        <v>74</v>
      </c>
      <c r="C530" s="71">
        <v>86.0</v>
      </c>
      <c r="D530" s="71" t="s">
        <v>729</v>
      </c>
      <c r="E530" s="71" t="s">
        <v>1241</v>
      </c>
      <c r="F530" s="71" t="s">
        <v>177</v>
      </c>
      <c r="G530" s="71" t="s">
        <v>287</v>
      </c>
      <c r="H530" s="71">
        <v>4.0</v>
      </c>
      <c r="I530" s="71">
        <v>4.0</v>
      </c>
      <c r="J530" s="71">
        <v>5.0</v>
      </c>
      <c r="K530" s="72">
        <f>Attaccanti!I86</f>
        <v>9</v>
      </c>
      <c r="L530" s="73">
        <f>Attaccanti!AE86</f>
        <v>5.5</v>
      </c>
      <c r="M530" s="74">
        <f>Attaccanti!B86</f>
        <v>2.2</v>
      </c>
      <c r="N530" s="71">
        <f>Attaccanti!A86</f>
        <v>83</v>
      </c>
      <c r="O530" s="71" t="s">
        <v>332</v>
      </c>
      <c r="P530" s="71">
        <v>0.0</v>
      </c>
      <c r="R530" s="71" t="s">
        <v>71</v>
      </c>
      <c r="S530" s="71" t="s">
        <v>733</v>
      </c>
      <c r="T530" s="71" t="str">
        <f>Attaccanti!K86</f>
        <v>3a fascia</v>
      </c>
      <c r="U530" s="71" t="s">
        <v>338</v>
      </c>
      <c r="V530" s="71">
        <v>0.0</v>
      </c>
      <c r="W530" s="71">
        <f t="shared" si="1"/>
        <v>427</v>
      </c>
    </row>
    <row r="531" ht="15.75" customHeight="1">
      <c r="A531" s="71" t="s">
        <v>1426</v>
      </c>
      <c r="B531" s="71" t="s">
        <v>74</v>
      </c>
      <c r="C531" s="71">
        <v>87.0</v>
      </c>
      <c r="D531" s="71" t="s">
        <v>736</v>
      </c>
      <c r="E531" s="71" t="s">
        <v>1252</v>
      </c>
      <c r="F531" s="71" t="s">
        <v>272</v>
      </c>
      <c r="G531" s="71" t="s">
        <v>287</v>
      </c>
      <c r="H531" s="71">
        <v>4.0</v>
      </c>
      <c r="I531" s="71">
        <v>4.0</v>
      </c>
      <c r="J531" s="71">
        <v>5.0</v>
      </c>
      <c r="K531" s="72">
        <f>Attaccanti!I87</f>
        <v>9</v>
      </c>
      <c r="L531" s="73">
        <f>Attaccanti!AE87</f>
        <v>5.5</v>
      </c>
      <c r="M531" s="74">
        <f>Attaccanti!B87</f>
        <v>2.2</v>
      </c>
      <c r="N531" s="71">
        <f>Attaccanti!A87</f>
        <v>83</v>
      </c>
      <c r="O531" s="71" t="s">
        <v>332</v>
      </c>
      <c r="P531" s="71">
        <v>0.0</v>
      </c>
      <c r="R531" s="71" t="s">
        <v>71</v>
      </c>
      <c r="S531" s="71" t="s">
        <v>658</v>
      </c>
      <c r="T531" s="71" t="str">
        <f>Attaccanti!K87</f>
        <v>3a fascia</v>
      </c>
      <c r="U531" s="71" t="s">
        <v>338</v>
      </c>
      <c r="V531" s="71">
        <v>0.0</v>
      </c>
      <c r="W531" s="71">
        <f t="shared" si="1"/>
        <v>427</v>
      </c>
    </row>
    <row r="532" ht="15.75" customHeight="1">
      <c r="A532" s="71" t="s">
        <v>1429</v>
      </c>
      <c r="B532" s="71" t="s">
        <v>74</v>
      </c>
      <c r="C532" s="71">
        <v>88.0</v>
      </c>
      <c r="D532" s="71" t="s">
        <v>684</v>
      </c>
      <c r="E532" s="71" t="s">
        <v>1237</v>
      </c>
      <c r="F532" s="71" t="s">
        <v>239</v>
      </c>
      <c r="G532" s="71" t="s">
        <v>287</v>
      </c>
      <c r="H532" s="71">
        <v>1.0</v>
      </c>
      <c r="I532" s="71">
        <v>1.0</v>
      </c>
      <c r="J532" s="71">
        <v>2.0</v>
      </c>
      <c r="K532" s="72">
        <f>Attaccanti!I88</f>
        <v>5</v>
      </c>
      <c r="L532" s="73">
        <f>Attaccanti!AE88</f>
        <v>5.52</v>
      </c>
      <c r="M532" s="74">
        <f>Attaccanti!B88</f>
        <v>2.1</v>
      </c>
      <c r="N532" s="71">
        <f>Attaccanti!A88</f>
        <v>85</v>
      </c>
      <c r="O532" s="71" t="s">
        <v>332</v>
      </c>
      <c r="P532" s="71">
        <v>3.0</v>
      </c>
      <c r="Q532" s="71">
        <v>5.67</v>
      </c>
      <c r="R532" s="71" t="s">
        <v>71</v>
      </c>
      <c r="S532" s="71" t="s">
        <v>643</v>
      </c>
      <c r="T532" s="71" t="str">
        <f>Attaccanti!K88</f>
        <v>4a fascia</v>
      </c>
      <c r="U532" s="71" t="s">
        <v>477</v>
      </c>
      <c r="V532" s="71">
        <v>0.0</v>
      </c>
      <c r="W532" s="71">
        <f t="shared" si="1"/>
        <v>473</v>
      </c>
    </row>
    <row r="533" ht="15.75" customHeight="1">
      <c r="A533" s="71" t="s">
        <v>1432</v>
      </c>
      <c r="B533" s="71" t="s">
        <v>74</v>
      </c>
      <c r="C533" s="71">
        <v>89.0</v>
      </c>
      <c r="D533" s="71" t="s">
        <v>752</v>
      </c>
      <c r="E533" s="71" t="s">
        <v>1241</v>
      </c>
      <c r="F533" s="71" t="s">
        <v>177</v>
      </c>
      <c r="G533" s="71" t="s">
        <v>287</v>
      </c>
      <c r="H533" s="71">
        <v>1.0</v>
      </c>
      <c r="I533" s="71">
        <v>1.0</v>
      </c>
      <c r="J533" s="71">
        <v>3.0</v>
      </c>
      <c r="K533" s="72">
        <f>Attaccanti!I89</f>
        <v>7</v>
      </c>
      <c r="L533" s="73">
        <f>Attaccanti!AE89</f>
        <v>5.5</v>
      </c>
      <c r="M533" s="74">
        <f>Attaccanti!B89</f>
        <v>2</v>
      </c>
      <c r="N533" s="71">
        <f>Attaccanti!A89</f>
        <v>86</v>
      </c>
      <c r="O533" s="71" t="s">
        <v>332</v>
      </c>
      <c r="P533" s="71">
        <v>0.0</v>
      </c>
      <c r="R533" s="71" t="s">
        <v>71</v>
      </c>
      <c r="S533" s="71" t="s">
        <v>754</v>
      </c>
      <c r="T533" s="71" t="str">
        <f>Attaccanti!K89</f>
        <v>3a fascia</v>
      </c>
      <c r="U533" s="71" t="s">
        <v>338</v>
      </c>
      <c r="V533" s="71">
        <v>0.0</v>
      </c>
      <c r="W533" s="71">
        <f t="shared" si="1"/>
        <v>462</v>
      </c>
    </row>
    <row r="534" ht="15.75" customHeight="1">
      <c r="A534" s="71" t="s">
        <v>1435</v>
      </c>
      <c r="B534" s="71" t="s">
        <v>74</v>
      </c>
      <c r="C534" s="71">
        <v>90.0</v>
      </c>
      <c r="D534" s="71" t="s">
        <v>759</v>
      </c>
      <c r="E534" s="71" t="s">
        <v>1256</v>
      </c>
      <c r="F534" s="71" t="s">
        <v>283</v>
      </c>
      <c r="G534" s="71" t="s">
        <v>287</v>
      </c>
      <c r="H534" s="71">
        <v>1.0</v>
      </c>
      <c r="I534" s="71">
        <v>1.0</v>
      </c>
      <c r="J534" s="71">
        <v>1.0</v>
      </c>
      <c r="K534" s="72">
        <f>Attaccanti!I90</f>
        <v>3</v>
      </c>
      <c r="L534" s="73">
        <f>Attaccanti!AE90</f>
        <v>5.5</v>
      </c>
      <c r="M534" s="74">
        <f>Attaccanti!B90</f>
        <v>1.7</v>
      </c>
      <c r="N534" s="71">
        <f>Attaccanti!A90</f>
        <v>87</v>
      </c>
      <c r="O534" s="71" t="s">
        <v>332</v>
      </c>
      <c r="P534" s="71">
        <v>0.0</v>
      </c>
      <c r="R534" s="71" t="s">
        <v>71</v>
      </c>
      <c r="S534" s="71" t="s">
        <v>761</v>
      </c>
      <c r="T534" s="71" t="str">
        <f>Attaccanti!K90</f>
        <v>4a fascia</v>
      </c>
      <c r="U534" s="71" t="s">
        <v>338</v>
      </c>
      <c r="V534" s="71">
        <v>0.0</v>
      </c>
      <c r="W534" s="71">
        <f t="shared" si="1"/>
        <v>478</v>
      </c>
    </row>
    <row r="535" ht="15.75" customHeight="1">
      <c r="A535" s="71" t="s">
        <v>1438</v>
      </c>
      <c r="B535" s="71" t="s">
        <v>74</v>
      </c>
      <c r="C535" s="71">
        <v>91.0</v>
      </c>
      <c r="D535" s="71" t="s">
        <v>765</v>
      </c>
      <c r="E535" s="71" t="s">
        <v>1247</v>
      </c>
      <c r="F535" s="71" t="s">
        <v>264</v>
      </c>
      <c r="G535" s="71" t="s">
        <v>287</v>
      </c>
      <c r="H535" s="71">
        <v>1.0</v>
      </c>
      <c r="I535" s="71">
        <v>1.0</v>
      </c>
      <c r="J535" s="71">
        <v>1.0</v>
      </c>
      <c r="K535" s="72">
        <f>Attaccanti!I91</f>
        <v>3</v>
      </c>
      <c r="L535" s="73">
        <f>Attaccanti!AE91</f>
        <v>5.5</v>
      </c>
      <c r="M535" s="74">
        <f>Attaccanti!B91</f>
        <v>1.7</v>
      </c>
      <c r="N535" s="71">
        <f>Attaccanti!A91</f>
        <v>87</v>
      </c>
      <c r="O535" s="71" t="s">
        <v>332</v>
      </c>
      <c r="P535" s="71">
        <v>0.0</v>
      </c>
      <c r="R535" s="71" t="s">
        <v>71</v>
      </c>
      <c r="S535" s="71" t="s">
        <v>771</v>
      </c>
      <c r="T535" s="71" t="str">
        <f>Attaccanti!K91</f>
        <v>4a fascia</v>
      </c>
      <c r="U535" s="71" t="s">
        <v>338</v>
      </c>
      <c r="V535" s="71">
        <v>0.0</v>
      </c>
      <c r="W535" s="71">
        <f t="shared" si="1"/>
        <v>478</v>
      </c>
    </row>
    <row r="536" ht="15.75" customHeight="1">
      <c r="A536" s="71" t="s">
        <v>1441</v>
      </c>
      <c r="B536" s="71" t="s">
        <v>74</v>
      </c>
      <c r="C536" s="71">
        <v>92.0</v>
      </c>
      <c r="D536" s="71" t="s">
        <v>775</v>
      </c>
      <c r="E536" s="71" t="s">
        <v>1247</v>
      </c>
      <c r="F536" s="71" t="s">
        <v>264</v>
      </c>
      <c r="G536" s="71" t="s">
        <v>287</v>
      </c>
      <c r="H536" s="71">
        <v>1.0</v>
      </c>
      <c r="I536" s="71">
        <v>1.0</v>
      </c>
      <c r="J536" s="71">
        <v>1.0</v>
      </c>
      <c r="K536" s="72">
        <f>Attaccanti!I92</f>
        <v>3</v>
      </c>
      <c r="L536" s="73">
        <f>Attaccanti!AE92</f>
        <v>5.5</v>
      </c>
      <c r="M536" s="74">
        <f>Attaccanti!B92</f>
        <v>1.7</v>
      </c>
      <c r="N536" s="71">
        <f>Attaccanti!A92</f>
        <v>87</v>
      </c>
      <c r="O536" s="71" t="s">
        <v>332</v>
      </c>
      <c r="P536" s="71">
        <v>0.0</v>
      </c>
      <c r="R536" s="71" t="s">
        <v>71</v>
      </c>
      <c r="S536" s="71" t="s">
        <v>771</v>
      </c>
      <c r="T536" s="71" t="str">
        <f>Attaccanti!K92</f>
        <v>4a fascia</v>
      </c>
      <c r="U536" s="71" t="s">
        <v>338</v>
      </c>
      <c r="V536" s="71">
        <v>0.0</v>
      </c>
      <c r="W536" s="71">
        <f t="shared" si="1"/>
        <v>478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